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DieseArbeitsmappe"/>
  <mc:AlternateContent xmlns:mc="http://schemas.openxmlformats.org/markup-compatibility/2006">
    <mc:Choice Requires="x15">
      <x15ac:absPath xmlns:x15ac="http://schemas.microsoft.com/office/spreadsheetml/2010/11/ac" url="Z:\RF intern\Firma\Organisation\Leitung\Betriebsorganisation\Arbeitsorganisation\"/>
    </mc:Choice>
  </mc:AlternateContent>
  <xr:revisionPtr revIDLastSave="0" documentId="13_ncr:1_{ABC509F6-E6E9-4DAD-878A-39B795FF4FE5}" xr6:coauthVersionLast="47" xr6:coauthVersionMax="47" xr10:uidLastSave="{00000000-0000-0000-0000-000000000000}"/>
  <bookViews>
    <workbookView xWindow="-120" yWindow="-120" windowWidth="29040" windowHeight="15840" tabRatio="500" xr2:uid="{00000000-000D-0000-FFFF-FFFF00000000}"/>
  </bookViews>
  <sheets>
    <sheet name="RennsteigFinanz" sheetId="1" r:id="rId1"/>
    <sheet name="Favoriten" sheetId="2" r:id="rId2"/>
    <sheet name="Tools" sheetId="3" r:id="rId3"/>
    <sheet name="ex BH PW" sheetId="5" r:id="rId4"/>
    <sheet name="BÜ´s" sheetId="6" r:id="rId5"/>
    <sheet name="Post" sheetId="7" r:id="rId6"/>
    <sheet name="Einzel" sheetId="8" r:id="rId7"/>
    <sheet name="VEMA-Nr´n" sheetId="9" r:id="rId8"/>
    <sheet name="Invers interne Nr´n" sheetId="10" r:id="rId9"/>
    <sheet name="Frank Malzahn" sheetId="11" r:id="rId10"/>
  </sheets>
  <externalReferences>
    <externalReference r:id="rId11"/>
  </externalReferences>
  <definedNames>
    <definedName name="_xlnm._FilterDatabase" localSheetId="0" hidden="1">RennsteigFinanz!$A$1:$ALM$118</definedName>
    <definedName name="Z_3306A449_89C6_46B4_ABF7_658F003FF274_.wvu.Cols" localSheetId="6" hidden="1">Einzel!$D:$Y</definedName>
    <definedName name="Z_4076B397_909E_4026_BE11_525A508BFFEA_.wvu.Cols" localSheetId="6">Einzel!$D:$Y</definedName>
    <definedName name="Z_BCD1B658_489F_4064_A696_D5FA21A794F2_.wvu.Cols" localSheetId="6" hidden="1">Einzel!$D:$Y</definedName>
    <definedName name="Z_EF60762C_634B_4E37_9575_37987277FB5D_.wvu.Cols" localSheetId="6" hidden="1">Einzel!$D:$Y</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205" i="8" l="1"/>
  <c r="Y205" i="8"/>
  <c r="X205" i="8"/>
  <c r="W205" i="8"/>
  <c r="V205" i="8"/>
  <c r="U205" i="8"/>
  <c r="T205" i="8"/>
  <c r="S205" i="8"/>
  <c r="R205" i="8"/>
  <c r="Q205" i="8"/>
  <c r="P205" i="8"/>
  <c r="O205" i="8"/>
  <c r="N205" i="8"/>
  <c r="M205" i="8"/>
  <c r="L205" i="8"/>
  <c r="K205" i="8"/>
  <c r="J205" i="8"/>
  <c r="I205" i="8"/>
  <c r="H205" i="8"/>
  <c r="G205" i="8"/>
  <c r="F205" i="8"/>
  <c r="E205" i="8"/>
  <c r="D205" i="8"/>
  <c r="C205" i="8"/>
  <c r="B205" i="8"/>
  <c r="A205" i="8"/>
  <c r="Z204" i="8"/>
  <c r="Y204" i="8"/>
  <c r="X204" i="8"/>
  <c r="W204" i="8"/>
  <c r="V204" i="8"/>
  <c r="U204" i="8"/>
  <c r="T204" i="8"/>
  <c r="S204" i="8"/>
  <c r="R204" i="8"/>
  <c r="Q204" i="8"/>
  <c r="P204" i="8"/>
  <c r="O204" i="8"/>
  <c r="N204" i="8"/>
  <c r="M204" i="8"/>
  <c r="L204" i="8"/>
  <c r="K204" i="8"/>
  <c r="J204" i="8"/>
  <c r="I204" i="8"/>
  <c r="H204" i="8"/>
  <c r="G204" i="8"/>
  <c r="F204" i="8"/>
  <c r="E204" i="8"/>
  <c r="D204" i="8"/>
  <c r="C204" i="8"/>
  <c r="B204" i="8"/>
  <c r="A204" i="8"/>
  <c r="Z203" i="8"/>
  <c r="Y203" i="8"/>
  <c r="X203" i="8"/>
  <c r="W203" i="8"/>
  <c r="V203" i="8"/>
  <c r="U203" i="8"/>
  <c r="T203" i="8"/>
  <c r="S203" i="8"/>
  <c r="R203" i="8"/>
  <c r="Q203" i="8"/>
  <c r="P203" i="8"/>
  <c r="O203" i="8"/>
  <c r="N203" i="8"/>
  <c r="M203" i="8"/>
  <c r="L203" i="8"/>
  <c r="K203" i="8"/>
  <c r="J203" i="8"/>
  <c r="I203" i="8"/>
  <c r="H203" i="8"/>
  <c r="G203" i="8"/>
  <c r="F203" i="8"/>
  <c r="E203" i="8"/>
  <c r="D203" i="8"/>
  <c r="C203" i="8"/>
  <c r="B203" i="8"/>
  <c r="A203" i="8"/>
  <c r="Z202" i="8"/>
  <c r="Y202" i="8"/>
  <c r="X202" i="8"/>
  <c r="W202" i="8"/>
  <c r="V202" i="8"/>
  <c r="U202" i="8"/>
  <c r="T202" i="8"/>
  <c r="S202" i="8"/>
  <c r="R202" i="8"/>
  <c r="Q202" i="8"/>
  <c r="P202" i="8"/>
  <c r="O202" i="8"/>
  <c r="N202" i="8"/>
  <c r="M202" i="8"/>
  <c r="L202" i="8"/>
  <c r="K202" i="8"/>
  <c r="J202" i="8"/>
  <c r="I202" i="8"/>
  <c r="H202" i="8"/>
  <c r="G202" i="8"/>
  <c r="F202" i="8"/>
  <c r="E202" i="8"/>
  <c r="D202" i="8"/>
  <c r="C202" i="8"/>
  <c r="B202" i="8"/>
  <c r="A202" i="8"/>
  <c r="Z201" i="8"/>
  <c r="Y201" i="8"/>
  <c r="X201" i="8"/>
  <c r="W201" i="8"/>
  <c r="V201" i="8"/>
  <c r="U201" i="8"/>
  <c r="T201" i="8"/>
  <c r="S201" i="8"/>
  <c r="R201" i="8"/>
  <c r="Q201" i="8"/>
  <c r="P201" i="8"/>
  <c r="O201" i="8"/>
  <c r="N201" i="8"/>
  <c r="M201" i="8"/>
  <c r="L201" i="8"/>
  <c r="K201" i="8"/>
  <c r="J201" i="8"/>
  <c r="I201" i="8"/>
  <c r="H201" i="8"/>
  <c r="G201" i="8"/>
  <c r="F201" i="8"/>
  <c r="E201" i="8"/>
  <c r="D201" i="8"/>
  <c r="C201" i="8"/>
  <c r="B201" i="8"/>
  <c r="A201" i="8"/>
  <c r="Z200" i="8"/>
  <c r="Y200" i="8"/>
  <c r="X200" i="8"/>
  <c r="W200" i="8"/>
  <c r="V200" i="8"/>
  <c r="U200" i="8"/>
  <c r="T200" i="8"/>
  <c r="S200" i="8"/>
  <c r="R200" i="8"/>
  <c r="Q200" i="8"/>
  <c r="P200" i="8"/>
  <c r="O200" i="8"/>
  <c r="N200" i="8"/>
  <c r="M200" i="8"/>
  <c r="L200" i="8"/>
  <c r="K200" i="8"/>
  <c r="J200" i="8"/>
  <c r="I200" i="8"/>
  <c r="H200" i="8"/>
  <c r="G200" i="8"/>
  <c r="F200" i="8"/>
  <c r="E200" i="8"/>
  <c r="D200" i="8"/>
  <c r="C200" i="8"/>
  <c r="B200" i="8"/>
  <c r="A200" i="8"/>
  <c r="Z199" i="8"/>
  <c r="Y199" i="8"/>
  <c r="X199" i="8"/>
  <c r="W199" i="8"/>
  <c r="V199" i="8"/>
  <c r="U199" i="8"/>
  <c r="T199" i="8"/>
  <c r="S199" i="8"/>
  <c r="R199" i="8"/>
  <c r="Q199" i="8"/>
  <c r="P199" i="8"/>
  <c r="O199" i="8"/>
  <c r="N199" i="8"/>
  <c r="M199" i="8"/>
  <c r="L199" i="8"/>
  <c r="K199" i="8"/>
  <c r="J199" i="8"/>
  <c r="I199" i="8"/>
  <c r="H199" i="8"/>
  <c r="G199" i="8"/>
  <c r="F199" i="8"/>
  <c r="E199" i="8"/>
  <c r="D199" i="8"/>
  <c r="C199" i="8"/>
  <c r="B199" i="8"/>
  <c r="A199" i="8"/>
  <c r="Z198" i="8"/>
  <c r="Y198" i="8"/>
  <c r="X198" i="8"/>
  <c r="W198" i="8"/>
  <c r="V198" i="8"/>
  <c r="U198" i="8"/>
  <c r="T198" i="8"/>
  <c r="S198" i="8"/>
  <c r="R198" i="8"/>
  <c r="Q198" i="8"/>
  <c r="P198" i="8"/>
  <c r="O198" i="8"/>
  <c r="N198" i="8"/>
  <c r="M198" i="8"/>
  <c r="L198" i="8"/>
  <c r="K198" i="8"/>
  <c r="J198" i="8"/>
  <c r="I198" i="8"/>
  <c r="H198" i="8"/>
  <c r="G198" i="8"/>
  <c r="F198" i="8"/>
  <c r="E198" i="8"/>
  <c r="D198" i="8"/>
  <c r="C198" i="8"/>
  <c r="B198" i="8"/>
  <c r="A198" i="8"/>
  <c r="Z197" i="8"/>
  <c r="Y197" i="8"/>
  <c r="X197" i="8"/>
  <c r="W197" i="8"/>
  <c r="V197" i="8"/>
  <c r="U197" i="8"/>
  <c r="T197" i="8"/>
  <c r="S197" i="8"/>
  <c r="R197" i="8"/>
  <c r="Q197" i="8"/>
  <c r="P197" i="8"/>
  <c r="O197" i="8"/>
  <c r="N197" i="8"/>
  <c r="M197" i="8"/>
  <c r="L197" i="8"/>
  <c r="K197" i="8"/>
  <c r="J197" i="8"/>
  <c r="I197" i="8"/>
  <c r="H197" i="8"/>
  <c r="G197" i="8"/>
  <c r="F197" i="8"/>
  <c r="E197" i="8"/>
  <c r="D197" i="8"/>
  <c r="C197" i="8"/>
  <c r="B197" i="8"/>
  <c r="A197" i="8"/>
  <c r="Z196" i="8"/>
  <c r="Y196" i="8"/>
  <c r="X196" i="8"/>
  <c r="W196" i="8"/>
  <c r="V196" i="8"/>
  <c r="U196" i="8"/>
  <c r="T196" i="8"/>
  <c r="S196" i="8"/>
  <c r="R196" i="8"/>
  <c r="Q196" i="8"/>
  <c r="P196" i="8"/>
  <c r="O196" i="8"/>
  <c r="N196" i="8"/>
  <c r="M196" i="8"/>
  <c r="L196" i="8"/>
  <c r="K196" i="8"/>
  <c r="J196" i="8"/>
  <c r="I196" i="8"/>
  <c r="H196" i="8"/>
  <c r="G196" i="8"/>
  <c r="F196" i="8"/>
  <c r="E196" i="8"/>
  <c r="D196" i="8"/>
  <c r="C196" i="8"/>
  <c r="B196" i="8"/>
  <c r="A196" i="8"/>
  <c r="Z195" i="8"/>
  <c r="Y195" i="8"/>
  <c r="X195" i="8"/>
  <c r="W195" i="8"/>
  <c r="V195" i="8"/>
  <c r="U195" i="8"/>
  <c r="T195" i="8"/>
  <c r="S195" i="8"/>
  <c r="R195" i="8"/>
  <c r="Q195" i="8"/>
  <c r="P195" i="8"/>
  <c r="O195" i="8"/>
  <c r="N195" i="8"/>
  <c r="M195" i="8"/>
  <c r="L195" i="8"/>
  <c r="K195" i="8"/>
  <c r="J195" i="8"/>
  <c r="I195" i="8"/>
  <c r="H195" i="8"/>
  <c r="G195" i="8"/>
  <c r="F195" i="8"/>
  <c r="E195" i="8"/>
  <c r="D195" i="8"/>
  <c r="C195" i="8"/>
  <c r="B195" i="8"/>
  <c r="A195" i="8"/>
  <c r="Z194" i="8"/>
  <c r="Y194" i="8"/>
  <c r="X194" i="8"/>
  <c r="W194" i="8"/>
  <c r="V194" i="8"/>
  <c r="U194" i="8"/>
  <c r="T194" i="8"/>
  <c r="S194" i="8"/>
  <c r="R194" i="8"/>
  <c r="Q194" i="8"/>
  <c r="P194" i="8"/>
  <c r="O194" i="8"/>
  <c r="N194" i="8"/>
  <c r="M194" i="8"/>
  <c r="L194" i="8"/>
  <c r="K194" i="8"/>
  <c r="J194" i="8"/>
  <c r="I194" i="8"/>
  <c r="H194" i="8"/>
  <c r="G194" i="8"/>
  <c r="F194" i="8"/>
  <c r="E194" i="8"/>
  <c r="D194" i="8"/>
  <c r="C194" i="8"/>
  <c r="B194" i="8"/>
  <c r="A194" i="8"/>
  <c r="Z193" i="8"/>
  <c r="Y193" i="8"/>
  <c r="X193" i="8"/>
  <c r="W193" i="8"/>
  <c r="V193" i="8"/>
  <c r="U193" i="8"/>
  <c r="T193" i="8"/>
  <c r="S193" i="8"/>
  <c r="R193" i="8"/>
  <c r="Q193" i="8"/>
  <c r="P193" i="8"/>
  <c r="O193" i="8"/>
  <c r="N193" i="8"/>
  <c r="M193" i="8"/>
  <c r="L193" i="8"/>
  <c r="K193" i="8"/>
  <c r="J193" i="8"/>
  <c r="I193" i="8"/>
  <c r="H193" i="8"/>
  <c r="G193" i="8"/>
  <c r="F193" i="8"/>
  <c r="E193" i="8"/>
  <c r="D193" i="8"/>
  <c r="C193" i="8"/>
  <c r="B193" i="8"/>
  <c r="A193" i="8"/>
  <c r="Z192" i="8"/>
  <c r="Y192" i="8"/>
  <c r="X192" i="8"/>
  <c r="W192" i="8"/>
  <c r="V192" i="8"/>
  <c r="U192" i="8"/>
  <c r="T192" i="8"/>
  <c r="S192" i="8"/>
  <c r="R192" i="8"/>
  <c r="Q192" i="8"/>
  <c r="P192" i="8"/>
  <c r="O192" i="8"/>
  <c r="N192" i="8"/>
  <c r="M192" i="8"/>
  <c r="L192" i="8"/>
  <c r="K192" i="8"/>
  <c r="J192" i="8"/>
  <c r="I192" i="8"/>
  <c r="H192" i="8"/>
  <c r="G192" i="8"/>
  <c r="F192" i="8"/>
  <c r="E192" i="8"/>
  <c r="D192" i="8"/>
  <c r="C192" i="8"/>
  <c r="B192" i="8"/>
  <c r="A192" i="8"/>
  <c r="Z191" i="8"/>
  <c r="Y191" i="8"/>
  <c r="X191" i="8"/>
  <c r="W191" i="8"/>
  <c r="V191" i="8"/>
  <c r="U191" i="8"/>
  <c r="T191" i="8"/>
  <c r="S191" i="8"/>
  <c r="R191" i="8"/>
  <c r="Q191" i="8"/>
  <c r="P191" i="8"/>
  <c r="O191" i="8"/>
  <c r="N191" i="8"/>
  <c r="M191" i="8"/>
  <c r="L191" i="8"/>
  <c r="K191" i="8"/>
  <c r="J191" i="8"/>
  <c r="I191" i="8"/>
  <c r="H191" i="8"/>
  <c r="G191" i="8"/>
  <c r="F191" i="8"/>
  <c r="E191" i="8"/>
  <c r="D191" i="8"/>
  <c r="C191" i="8"/>
  <c r="B191" i="8"/>
  <c r="A191" i="8"/>
  <c r="Z190" i="8"/>
  <c r="Y190" i="8"/>
  <c r="X190" i="8"/>
  <c r="W190" i="8"/>
  <c r="V190" i="8"/>
  <c r="U190" i="8"/>
  <c r="T190" i="8"/>
  <c r="S190" i="8"/>
  <c r="R190" i="8"/>
  <c r="Q190" i="8"/>
  <c r="P190" i="8"/>
  <c r="O190" i="8"/>
  <c r="N190" i="8"/>
  <c r="M190" i="8"/>
  <c r="L190" i="8"/>
  <c r="K190" i="8"/>
  <c r="J190" i="8"/>
  <c r="I190" i="8"/>
  <c r="H190" i="8"/>
  <c r="G190" i="8"/>
  <c r="F190" i="8"/>
  <c r="E190" i="8"/>
  <c r="D190" i="8"/>
  <c r="C190" i="8"/>
  <c r="B190" i="8"/>
  <c r="A190" i="8"/>
  <c r="Z189" i="8"/>
  <c r="Y189" i="8"/>
  <c r="X189" i="8"/>
  <c r="W189" i="8"/>
  <c r="V189" i="8"/>
  <c r="U189" i="8"/>
  <c r="T189" i="8"/>
  <c r="S189" i="8"/>
  <c r="R189" i="8"/>
  <c r="Q189" i="8"/>
  <c r="P189" i="8"/>
  <c r="O189" i="8"/>
  <c r="N189" i="8"/>
  <c r="M189" i="8"/>
  <c r="L189" i="8"/>
  <c r="K189" i="8"/>
  <c r="J189" i="8"/>
  <c r="I189" i="8"/>
  <c r="H189" i="8"/>
  <c r="G189" i="8"/>
  <c r="F189" i="8"/>
  <c r="E189" i="8"/>
  <c r="D189" i="8"/>
  <c r="C189" i="8"/>
  <c r="B189" i="8"/>
  <c r="A189" i="8"/>
  <c r="Z188" i="8"/>
  <c r="Y188" i="8"/>
  <c r="X188" i="8"/>
  <c r="W188" i="8"/>
  <c r="V188" i="8"/>
  <c r="U188" i="8"/>
  <c r="T188" i="8"/>
  <c r="S188" i="8"/>
  <c r="R188" i="8"/>
  <c r="Q188" i="8"/>
  <c r="P188" i="8"/>
  <c r="O188" i="8"/>
  <c r="N188" i="8"/>
  <c r="M188" i="8"/>
  <c r="L188" i="8"/>
  <c r="K188" i="8"/>
  <c r="J188" i="8"/>
  <c r="I188" i="8"/>
  <c r="H188" i="8"/>
  <c r="G188" i="8"/>
  <c r="F188" i="8"/>
  <c r="E188" i="8"/>
  <c r="D188" i="8"/>
  <c r="C188" i="8"/>
  <c r="B188" i="8"/>
  <c r="A188" i="8"/>
  <c r="Z187" i="8"/>
  <c r="Y187" i="8"/>
  <c r="X187" i="8"/>
  <c r="W187" i="8"/>
  <c r="V187" i="8"/>
  <c r="U187" i="8"/>
  <c r="T187" i="8"/>
  <c r="S187" i="8"/>
  <c r="R187" i="8"/>
  <c r="Q187" i="8"/>
  <c r="P187" i="8"/>
  <c r="O187" i="8"/>
  <c r="N187" i="8"/>
  <c r="M187" i="8"/>
  <c r="L187" i="8"/>
  <c r="K187" i="8"/>
  <c r="J187" i="8"/>
  <c r="I187" i="8"/>
  <c r="H187" i="8"/>
  <c r="G187" i="8"/>
  <c r="F187" i="8"/>
  <c r="E187" i="8"/>
  <c r="D187" i="8"/>
  <c r="C187" i="8"/>
  <c r="B187" i="8"/>
  <c r="A187" i="8"/>
  <c r="Z186" i="8"/>
  <c r="Y186" i="8"/>
  <c r="X186" i="8"/>
  <c r="W186" i="8"/>
  <c r="V186" i="8"/>
  <c r="U186" i="8"/>
  <c r="T186" i="8"/>
  <c r="S186" i="8"/>
  <c r="R186" i="8"/>
  <c r="Q186" i="8"/>
  <c r="P186" i="8"/>
  <c r="O186" i="8"/>
  <c r="N186" i="8"/>
  <c r="M186" i="8"/>
  <c r="L186" i="8"/>
  <c r="K186" i="8"/>
  <c r="J186" i="8"/>
  <c r="I186" i="8"/>
  <c r="H186" i="8"/>
  <c r="G186" i="8"/>
  <c r="F186" i="8"/>
  <c r="E186" i="8"/>
  <c r="D186" i="8"/>
  <c r="C186" i="8"/>
  <c r="B186" i="8"/>
  <c r="A186" i="8"/>
  <c r="Z185" i="8"/>
  <c r="Y185" i="8"/>
  <c r="X185" i="8"/>
  <c r="W185" i="8"/>
  <c r="V185" i="8"/>
  <c r="U185" i="8"/>
  <c r="T185" i="8"/>
  <c r="S185" i="8"/>
  <c r="R185" i="8"/>
  <c r="Q185" i="8"/>
  <c r="P185" i="8"/>
  <c r="O185" i="8"/>
  <c r="N185" i="8"/>
  <c r="M185" i="8"/>
  <c r="L185" i="8"/>
  <c r="K185" i="8"/>
  <c r="J185" i="8"/>
  <c r="I185" i="8"/>
  <c r="H185" i="8"/>
  <c r="G185" i="8"/>
  <c r="F185" i="8"/>
  <c r="E185" i="8"/>
  <c r="D185" i="8"/>
  <c r="C185" i="8"/>
  <c r="B185" i="8"/>
  <c r="A185" i="8"/>
  <c r="Z184" i="8"/>
  <c r="Y184" i="8"/>
  <c r="X184" i="8"/>
  <c r="W184" i="8"/>
  <c r="V184" i="8"/>
  <c r="U184" i="8"/>
  <c r="T184" i="8"/>
  <c r="S184" i="8"/>
  <c r="R184" i="8"/>
  <c r="Q184" i="8"/>
  <c r="P184" i="8"/>
  <c r="O184" i="8"/>
  <c r="N184" i="8"/>
  <c r="M184" i="8"/>
  <c r="L184" i="8"/>
  <c r="K184" i="8"/>
  <c r="J184" i="8"/>
  <c r="I184" i="8"/>
  <c r="H184" i="8"/>
  <c r="G184" i="8"/>
  <c r="F184" i="8"/>
  <c r="E184" i="8"/>
  <c r="D184" i="8"/>
  <c r="C184" i="8"/>
  <c r="B184" i="8"/>
  <c r="A184" i="8"/>
  <c r="Z183" i="8"/>
  <c r="Y183" i="8"/>
  <c r="X183" i="8"/>
  <c r="W183" i="8"/>
  <c r="V183" i="8"/>
  <c r="U183" i="8"/>
  <c r="T183" i="8"/>
  <c r="S183" i="8"/>
  <c r="R183" i="8"/>
  <c r="Q183" i="8"/>
  <c r="P183" i="8"/>
  <c r="O183" i="8"/>
  <c r="N183" i="8"/>
  <c r="M183" i="8"/>
  <c r="L183" i="8"/>
  <c r="K183" i="8"/>
  <c r="J183" i="8"/>
  <c r="I183" i="8"/>
  <c r="H183" i="8"/>
  <c r="G183" i="8"/>
  <c r="F183" i="8"/>
  <c r="E183" i="8"/>
  <c r="D183" i="8"/>
  <c r="C183" i="8"/>
  <c r="B183" i="8"/>
  <c r="A183" i="8"/>
  <c r="Z182" i="8"/>
  <c r="Y182" i="8"/>
  <c r="X182" i="8"/>
  <c r="W182" i="8"/>
  <c r="V182" i="8"/>
  <c r="U182" i="8"/>
  <c r="T182" i="8"/>
  <c r="S182" i="8"/>
  <c r="R182" i="8"/>
  <c r="Q182" i="8"/>
  <c r="P182" i="8"/>
  <c r="O182" i="8"/>
  <c r="N182" i="8"/>
  <c r="M182" i="8"/>
  <c r="L182" i="8"/>
  <c r="K182" i="8"/>
  <c r="J182" i="8"/>
  <c r="I182" i="8"/>
  <c r="H182" i="8"/>
  <c r="G182" i="8"/>
  <c r="F182" i="8"/>
  <c r="E182" i="8"/>
  <c r="D182" i="8"/>
  <c r="C182" i="8"/>
  <c r="B182" i="8"/>
  <c r="A182" i="8"/>
  <c r="Z181" i="8"/>
  <c r="Y181" i="8"/>
  <c r="X181" i="8"/>
  <c r="W181" i="8"/>
  <c r="V181" i="8"/>
  <c r="U181" i="8"/>
  <c r="T181" i="8"/>
  <c r="S181" i="8"/>
  <c r="R181" i="8"/>
  <c r="Q181" i="8"/>
  <c r="P181" i="8"/>
  <c r="O181" i="8"/>
  <c r="N181" i="8"/>
  <c r="M181" i="8"/>
  <c r="L181" i="8"/>
  <c r="K181" i="8"/>
  <c r="J181" i="8"/>
  <c r="I181" i="8"/>
  <c r="H181" i="8"/>
  <c r="G181" i="8"/>
  <c r="F181" i="8"/>
  <c r="E181" i="8"/>
  <c r="D181" i="8"/>
  <c r="C181" i="8"/>
  <c r="B181" i="8"/>
  <c r="A181" i="8"/>
  <c r="Z180" i="8"/>
  <c r="Y180" i="8"/>
  <c r="X180" i="8"/>
  <c r="W180" i="8"/>
  <c r="V180" i="8"/>
  <c r="U180" i="8"/>
  <c r="T180" i="8"/>
  <c r="S180" i="8"/>
  <c r="R180" i="8"/>
  <c r="Q180" i="8"/>
  <c r="P180" i="8"/>
  <c r="O180" i="8"/>
  <c r="N180" i="8"/>
  <c r="M180" i="8"/>
  <c r="L180" i="8"/>
  <c r="K180" i="8"/>
  <c r="J180" i="8"/>
  <c r="I180" i="8"/>
  <c r="H180" i="8"/>
  <c r="G180" i="8"/>
  <c r="F180" i="8"/>
  <c r="E180" i="8"/>
  <c r="D180" i="8"/>
  <c r="C180" i="8"/>
  <c r="B180" i="8"/>
  <c r="A180" i="8"/>
  <c r="Z179" i="8"/>
  <c r="Y179" i="8"/>
  <c r="X179" i="8"/>
  <c r="W179" i="8"/>
  <c r="V179" i="8"/>
  <c r="U179" i="8"/>
  <c r="T179" i="8"/>
  <c r="S179" i="8"/>
  <c r="R179" i="8"/>
  <c r="Q179" i="8"/>
  <c r="P179" i="8"/>
  <c r="O179" i="8"/>
  <c r="N179" i="8"/>
  <c r="M179" i="8"/>
  <c r="L179" i="8"/>
  <c r="K179" i="8"/>
  <c r="J179" i="8"/>
  <c r="I179" i="8"/>
  <c r="H179" i="8"/>
  <c r="G179" i="8"/>
  <c r="F179" i="8"/>
  <c r="E179" i="8"/>
  <c r="D179" i="8"/>
  <c r="C179" i="8"/>
  <c r="B179" i="8"/>
  <c r="A179" i="8"/>
  <c r="Z178" i="8"/>
  <c r="Y178" i="8"/>
  <c r="X178" i="8"/>
  <c r="W178" i="8"/>
  <c r="V178" i="8"/>
  <c r="U178" i="8"/>
  <c r="T178" i="8"/>
  <c r="S178" i="8"/>
  <c r="R178" i="8"/>
  <c r="Q178" i="8"/>
  <c r="P178" i="8"/>
  <c r="O178" i="8"/>
  <c r="N178" i="8"/>
  <c r="M178" i="8"/>
  <c r="L178" i="8"/>
  <c r="K178" i="8"/>
  <c r="J178" i="8"/>
  <c r="I178" i="8"/>
  <c r="H178" i="8"/>
  <c r="G178" i="8"/>
  <c r="F178" i="8"/>
  <c r="E178" i="8"/>
  <c r="D178" i="8"/>
  <c r="C178" i="8"/>
  <c r="B178" i="8"/>
  <c r="A178" i="8"/>
  <c r="Z177" i="8"/>
  <c r="Y177" i="8"/>
  <c r="X177" i="8"/>
  <c r="W177" i="8"/>
  <c r="V177" i="8"/>
  <c r="U177" i="8"/>
  <c r="T177" i="8"/>
  <c r="S177" i="8"/>
  <c r="R177" i="8"/>
  <c r="Q177" i="8"/>
  <c r="P177" i="8"/>
  <c r="O177" i="8"/>
  <c r="N177" i="8"/>
  <c r="M177" i="8"/>
  <c r="L177" i="8"/>
  <c r="K177" i="8"/>
  <c r="J177" i="8"/>
  <c r="I177" i="8"/>
  <c r="H177" i="8"/>
  <c r="G177" i="8"/>
  <c r="F177" i="8"/>
  <c r="E177" i="8"/>
  <c r="D177" i="8"/>
  <c r="C177" i="8"/>
  <c r="B177" i="8"/>
  <c r="A177" i="8"/>
  <c r="Z176" i="8"/>
  <c r="Y176" i="8"/>
  <c r="X176" i="8"/>
  <c r="W176" i="8"/>
  <c r="V176" i="8"/>
  <c r="U176" i="8"/>
  <c r="T176" i="8"/>
  <c r="S176" i="8"/>
  <c r="R176" i="8"/>
  <c r="Q176" i="8"/>
  <c r="P176" i="8"/>
  <c r="O176" i="8"/>
  <c r="N176" i="8"/>
  <c r="M176" i="8"/>
  <c r="L176" i="8"/>
  <c r="K176" i="8"/>
  <c r="J176" i="8"/>
  <c r="I176" i="8"/>
  <c r="H176" i="8"/>
  <c r="G176" i="8"/>
  <c r="F176" i="8"/>
  <c r="E176" i="8"/>
  <c r="D176" i="8"/>
  <c r="C176" i="8"/>
  <c r="B176" i="8"/>
  <c r="A176" i="8"/>
  <c r="Z175" i="8"/>
  <c r="Y175" i="8"/>
  <c r="X175" i="8"/>
  <c r="W175" i="8"/>
  <c r="V175" i="8"/>
  <c r="U175" i="8"/>
  <c r="T175" i="8"/>
  <c r="S175" i="8"/>
  <c r="R175" i="8"/>
  <c r="Q175" i="8"/>
  <c r="P175" i="8"/>
  <c r="O175" i="8"/>
  <c r="N175" i="8"/>
  <c r="M175" i="8"/>
  <c r="L175" i="8"/>
  <c r="K175" i="8"/>
  <c r="J175" i="8"/>
  <c r="I175" i="8"/>
  <c r="H175" i="8"/>
  <c r="G175" i="8"/>
  <c r="F175" i="8"/>
  <c r="E175" i="8"/>
  <c r="D175" i="8"/>
  <c r="C175" i="8"/>
  <c r="B175" i="8"/>
  <c r="A175" i="8"/>
  <c r="Z174" i="8"/>
  <c r="Y174" i="8"/>
  <c r="X174" i="8"/>
  <c r="W174" i="8"/>
  <c r="V174" i="8"/>
  <c r="U174" i="8"/>
  <c r="T174" i="8"/>
  <c r="S174" i="8"/>
  <c r="R174" i="8"/>
  <c r="Q174" i="8"/>
  <c r="P174" i="8"/>
  <c r="O174" i="8"/>
  <c r="N174" i="8"/>
  <c r="M174" i="8"/>
  <c r="L174" i="8"/>
  <c r="K174" i="8"/>
  <c r="J174" i="8"/>
  <c r="I174" i="8"/>
  <c r="H174" i="8"/>
  <c r="G174" i="8"/>
  <c r="F174" i="8"/>
  <c r="E174" i="8"/>
  <c r="D174" i="8"/>
  <c r="C174" i="8"/>
  <c r="B174" i="8"/>
  <c r="A174" i="8"/>
  <c r="Z173" i="8"/>
  <c r="Y173" i="8"/>
  <c r="X173" i="8"/>
  <c r="W173" i="8"/>
  <c r="V173" i="8"/>
  <c r="U173" i="8"/>
  <c r="T173" i="8"/>
  <c r="S173" i="8"/>
  <c r="R173" i="8"/>
  <c r="Q173" i="8"/>
  <c r="P173" i="8"/>
  <c r="O173" i="8"/>
  <c r="N173" i="8"/>
  <c r="M173" i="8"/>
  <c r="L173" i="8"/>
  <c r="K173" i="8"/>
  <c r="J173" i="8"/>
  <c r="I173" i="8"/>
  <c r="H173" i="8"/>
  <c r="G173" i="8"/>
  <c r="F173" i="8"/>
  <c r="E173" i="8"/>
  <c r="D173" i="8"/>
  <c r="C173" i="8"/>
  <c r="B173" i="8"/>
  <c r="A173" i="8"/>
  <c r="Z172" i="8"/>
  <c r="Y172" i="8"/>
  <c r="X172" i="8"/>
  <c r="W172" i="8"/>
  <c r="V172" i="8"/>
  <c r="U172" i="8"/>
  <c r="T172" i="8"/>
  <c r="S172" i="8"/>
  <c r="R172" i="8"/>
  <c r="Q172" i="8"/>
  <c r="P172" i="8"/>
  <c r="O172" i="8"/>
  <c r="N172" i="8"/>
  <c r="M172" i="8"/>
  <c r="L172" i="8"/>
  <c r="K172" i="8"/>
  <c r="J172" i="8"/>
  <c r="I172" i="8"/>
  <c r="H172" i="8"/>
  <c r="G172" i="8"/>
  <c r="F172" i="8"/>
  <c r="E172" i="8"/>
  <c r="D172" i="8"/>
  <c r="C172" i="8"/>
  <c r="B172" i="8"/>
  <c r="A172" i="8"/>
  <c r="Z171" i="8"/>
  <c r="Y171" i="8"/>
  <c r="X171" i="8"/>
  <c r="W171" i="8"/>
  <c r="V171" i="8"/>
  <c r="U171" i="8"/>
  <c r="T171" i="8"/>
  <c r="S171" i="8"/>
  <c r="R171" i="8"/>
  <c r="Q171" i="8"/>
  <c r="P171" i="8"/>
  <c r="O171" i="8"/>
  <c r="N171" i="8"/>
  <c r="M171" i="8"/>
  <c r="L171" i="8"/>
  <c r="K171" i="8"/>
  <c r="J171" i="8"/>
  <c r="I171" i="8"/>
  <c r="H171" i="8"/>
  <c r="G171" i="8"/>
  <c r="F171" i="8"/>
  <c r="E171" i="8"/>
  <c r="D171" i="8"/>
  <c r="C171" i="8"/>
  <c r="B171" i="8"/>
  <c r="A171" i="8"/>
  <c r="Z170" i="8"/>
  <c r="Y170" i="8"/>
  <c r="X170" i="8"/>
  <c r="W170" i="8"/>
  <c r="V170" i="8"/>
  <c r="U170" i="8"/>
  <c r="T170" i="8"/>
  <c r="S170" i="8"/>
  <c r="R170" i="8"/>
  <c r="Q170" i="8"/>
  <c r="P170" i="8"/>
  <c r="O170" i="8"/>
  <c r="N170" i="8"/>
  <c r="M170" i="8"/>
  <c r="L170" i="8"/>
  <c r="K170" i="8"/>
  <c r="J170" i="8"/>
  <c r="I170" i="8"/>
  <c r="H170" i="8"/>
  <c r="G170" i="8"/>
  <c r="F170" i="8"/>
  <c r="E170" i="8"/>
  <c r="D170" i="8"/>
  <c r="C170" i="8"/>
  <c r="B170" i="8"/>
  <c r="A170" i="8"/>
  <c r="Z169" i="8"/>
  <c r="Y169" i="8"/>
  <c r="X169" i="8"/>
  <c r="W169" i="8"/>
  <c r="V169" i="8"/>
  <c r="U169" i="8"/>
  <c r="T169" i="8"/>
  <c r="S169" i="8"/>
  <c r="R169" i="8"/>
  <c r="Q169" i="8"/>
  <c r="P169" i="8"/>
  <c r="O169" i="8"/>
  <c r="N169" i="8"/>
  <c r="M169" i="8"/>
  <c r="L169" i="8"/>
  <c r="K169" i="8"/>
  <c r="J169" i="8"/>
  <c r="I169" i="8"/>
  <c r="H169" i="8"/>
  <c r="G169" i="8"/>
  <c r="F169" i="8"/>
  <c r="E169" i="8"/>
  <c r="D169" i="8"/>
  <c r="C169" i="8"/>
  <c r="B169" i="8"/>
  <c r="A169" i="8"/>
  <c r="Z168" i="8"/>
  <c r="Y168" i="8"/>
  <c r="X168" i="8"/>
  <c r="W168" i="8"/>
  <c r="V168" i="8"/>
  <c r="U168" i="8"/>
  <c r="T168" i="8"/>
  <c r="S168" i="8"/>
  <c r="R168" i="8"/>
  <c r="Q168" i="8"/>
  <c r="P168" i="8"/>
  <c r="O168" i="8"/>
  <c r="N168" i="8"/>
  <c r="M168" i="8"/>
  <c r="L168" i="8"/>
  <c r="K168" i="8"/>
  <c r="J168" i="8"/>
  <c r="I168" i="8"/>
  <c r="H168" i="8"/>
  <c r="G168" i="8"/>
  <c r="F168" i="8"/>
  <c r="E168" i="8"/>
  <c r="D168" i="8"/>
  <c r="C168" i="8"/>
  <c r="B168" i="8"/>
  <c r="A168" i="8"/>
  <c r="Z167" i="8"/>
  <c r="Y167" i="8"/>
  <c r="X167" i="8"/>
  <c r="W167" i="8"/>
  <c r="V167" i="8"/>
  <c r="U167" i="8"/>
  <c r="T167" i="8"/>
  <c r="S167" i="8"/>
  <c r="R167" i="8"/>
  <c r="Q167" i="8"/>
  <c r="P167" i="8"/>
  <c r="O167" i="8"/>
  <c r="N167" i="8"/>
  <c r="M167" i="8"/>
  <c r="L167" i="8"/>
  <c r="K167" i="8"/>
  <c r="J167" i="8"/>
  <c r="I167" i="8"/>
  <c r="H167" i="8"/>
  <c r="G167" i="8"/>
  <c r="F167" i="8"/>
  <c r="E167" i="8"/>
  <c r="D167" i="8"/>
  <c r="C167" i="8"/>
  <c r="B167" i="8"/>
  <c r="A167" i="8"/>
  <c r="Z166" i="8"/>
  <c r="Y166" i="8"/>
  <c r="X166" i="8"/>
  <c r="W166" i="8"/>
  <c r="V166" i="8"/>
  <c r="U166" i="8"/>
  <c r="T166" i="8"/>
  <c r="S166" i="8"/>
  <c r="R166" i="8"/>
  <c r="Q166" i="8"/>
  <c r="P166" i="8"/>
  <c r="O166" i="8"/>
  <c r="N166" i="8"/>
  <c r="M166" i="8"/>
  <c r="L166" i="8"/>
  <c r="K166" i="8"/>
  <c r="J166" i="8"/>
  <c r="I166" i="8"/>
  <c r="H166" i="8"/>
  <c r="G166" i="8"/>
  <c r="F166" i="8"/>
  <c r="E166" i="8"/>
  <c r="D166" i="8"/>
  <c r="C166" i="8"/>
  <c r="B166" i="8"/>
  <c r="A166" i="8"/>
  <c r="Z165" i="8"/>
  <c r="Y165" i="8"/>
  <c r="X165" i="8"/>
  <c r="W165" i="8"/>
  <c r="V165" i="8"/>
  <c r="U165" i="8"/>
  <c r="T165" i="8"/>
  <c r="S165" i="8"/>
  <c r="R165" i="8"/>
  <c r="Q165" i="8"/>
  <c r="P165" i="8"/>
  <c r="O165" i="8"/>
  <c r="N165" i="8"/>
  <c r="M165" i="8"/>
  <c r="L165" i="8"/>
  <c r="K165" i="8"/>
  <c r="J165" i="8"/>
  <c r="I165" i="8"/>
  <c r="H165" i="8"/>
  <c r="G165" i="8"/>
  <c r="F165" i="8"/>
  <c r="E165" i="8"/>
  <c r="D165" i="8"/>
  <c r="C165" i="8"/>
  <c r="B165" i="8"/>
  <c r="A165" i="8"/>
  <c r="Z164" i="8"/>
  <c r="Y164" i="8"/>
  <c r="X164" i="8"/>
  <c r="W164" i="8"/>
  <c r="V164" i="8"/>
  <c r="U164" i="8"/>
  <c r="T164" i="8"/>
  <c r="S164" i="8"/>
  <c r="R164" i="8"/>
  <c r="Q164" i="8"/>
  <c r="P164" i="8"/>
  <c r="O164" i="8"/>
  <c r="N164" i="8"/>
  <c r="M164" i="8"/>
  <c r="L164" i="8"/>
  <c r="K164" i="8"/>
  <c r="J164" i="8"/>
  <c r="I164" i="8"/>
  <c r="H164" i="8"/>
  <c r="G164" i="8"/>
  <c r="F164" i="8"/>
  <c r="E164" i="8"/>
  <c r="D164" i="8"/>
  <c r="C164" i="8"/>
  <c r="B164" i="8"/>
  <c r="A164" i="8"/>
  <c r="Z163" i="8"/>
  <c r="Y163" i="8"/>
  <c r="X163" i="8"/>
  <c r="W163" i="8"/>
  <c r="V163" i="8"/>
  <c r="U163" i="8"/>
  <c r="T163" i="8"/>
  <c r="S163" i="8"/>
  <c r="R163" i="8"/>
  <c r="Q163" i="8"/>
  <c r="P163" i="8"/>
  <c r="O163" i="8"/>
  <c r="N163" i="8"/>
  <c r="M163" i="8"/>
  <c r="L163" i="8"/>
  <c r="K163" i="8"/>
  <c r="J163" i="8"/>
  <c r="I163" i="8"/>
  <c r="H163" i="8"/>
  <c r="G163" i="8"/>
  <c r="F163" i="8"/>
  <c r="E163" i="8"/>
  <c r="D163" i="8"/>
  <c r="C163" i="8"/>
  <c r="B163" i="8"/>
  <c r="A163" i="8"/>
  <c r="Z162" i="8"/>
  <c r="Y162" i="8"/>
  <c r="X162" i="8"/>
  <c r="W162" i="8"/>
  <c r="V162" i="8"/>
  <c r="U162" i="8"/>
  <c r="T162" i="8"/>
  <c r="S162" i="8"/>
  <c r="R162" i="8"/>
  <c r="Q162" i="8"/>
  <c r="P162" i="8"/>
  <c r="O162" i="8"/>
  <c r="N162" i="8"/>
  <c r="M162" i="8"/>
  <c r="L162" i="8"/>
  <c r="K162" i="8"/>
  <c r="J162" i="8"/>
  <c r="I162" i="8"/>
  <c r="H162" i="8"/>
  <c r="G162" i="8"/>
  <c r="F162" i="8"/>
  <c r="E162" i="8"/>
  <c r="D162" i="8"/>
  <c r="C162" i="8"/>
  <c r="B162" i="8"/>
  <c r="A162" i="8"/>
  <c r="Z161" i="8"/>
  <c r="Y161" i="8"/>
  <c r="X161" i="8"/>
  <c r="W161" i="8"/>
  <c r="V161" i="8"/>
  <c r="U161" i="8"/>
  <c r="T161" i="8"/>
  <c r="S161" i="8"/>
  <c r="R161" i="8"/>
  <c r="Q161" i="8"/>
  <c r="P161" i="8"/>
  <c r="O161" i="8"/>
  <c r="N161" i="8"/>
  <c r="M161" i="8"/>
  <c r="L161" i="8"/>
  <c r="K161" i="8"/>
  <c r="J161" i="8"/>
  <c r="I161" i="8"/>
  <c r="H161" i="8"/>
  <c r="G161" i="8"/>
  <c r="F161" i="8"/>
  <c r="E161" i="8"/>
  <c r="D161" i="8"/>
  <c r="C161" i="8"/>
  <c r="B161" i="8"/>
  <c r="A161" i="8"/>
  <c r="Z160" i="8"/>
  <c r="Y160" i="8"/>
  <c r="X160" i="8"/>
  <c r="W160" i="8"/>
  <c r="V160" i="8"/>
  <c r="U160" i="8"/>
  <c r="T160" i="8"/>
  <c r="S160" i="8"/>
  <c r="R160" i="8"/>
  <c r="Q160" i="8"/>
  <c r="P160" i="8"/>
  <c r="O160" i="8"/>
  <c r="N160" i="8"/>
  <c r="M160" i="8"/>
  <c r="L160" i="8"/>
  <c r="K160" i="8"/>
  <c r="J160" i="8"/>
  <c r="I160" i="8"/>
  <c r="H160" i="8"/>
  <c r="G160" i="8"/>
  <c r="F160" i="8"/>
  <c r="E160" i="8"/>
  <c r="D160" i="8"/>
  <c r="C160" i="8"/>
  <c r="B160" i="8"/>
  <c r="A160" i="8"/>
  <c r="Z159" i="8"/>
  <c r="Y159" i="8"/>
  <c r="X159" i="8"/>
  <c r="W159" i="8"/>
  <c r="V159" i="8"/>
  <c r="U159" i="8"/>
  <c r="T159" i="8"/>
  <c r="S159" i="8"/>
  <c r="R159" i="8"/>
  <c r="Q159" i="8"/>
  <c r="P159" i="8"/>
  <c r="O159" i="8"/>
  <c r="N159" i="8"/>
  <c r="M159" i="8"/>
  <c r="L159" i="8"/>
  <c r="K159" i="8"/>
  <c r="J159" i="8"/>
  <c r="I159" i="8"/>
  <c r="H159" i="8"/>
  <c r="G159" i="8"/>
  <c r="F159" i="8"/>
  <c r="E159" i="8"/>
  <c r="D159" i="8"/>
  <c r="C159" i="8"/>
  <c r="B159" i="8"/>
  <c r="A159" i="8"/>
  <c r="Z158" i="8"/>
  <c r="Y158" i="8"/>
  <c r="X158" i="8"/>
  <c r="W158" i="8"/>
  <c r="V158" i="8"/>
  <c r="U158" i="8"/>
  <c r="T158" i="8"/>
  <c r="S158" i="8"/>
  <c r="R158" i="8"/>
  <c r="Q158" i="8"/>
  <c r="P158" i="8"/>
  <c r="O158" i="8"/>
  <c r="N158" i="8"/>
  <c r="M158" i="8"/>
  <c r="L158" i="8"/>
  <c r="K158" i="8"/>
  <c r="J158" i="8"/>
  <c r="I158" i="8"/>
  <c r="H158" i="8"/>
  <c r="G158" i="8"/>
  <c r="F158" i="8"/>
  <c r="E158" i="8"/>
  <c r="D158" i="8"/>
  <c r="C158" i="8"/>
  <c r="B158" i="8"/>
  <c r="A158" i="8"/>
  <c r="Z157" i="8"/>
  <c r="Y157" i="8"/>
  <c r="X157" i="8"/>
  <c r="W157" i="8"/>
  <c r="V157" i="8"/>
  <c r="U157" i="8"/>
  <c r="T157" i="8"/>
  <c r="S157" i="8"/>
  <c r="R157" i="8"/>
  <c r="Q157" i="8"/>
  <c r="P157" i="8"/>
  <c r="O157" i="8"/>
  <c r="N157" i="8"/>
  <c r="M157" i="8"/>
  <c r="L157" i="8"/>
  <c r="K157" i="8"/>
  <c r="J157" i="8"/>
  <c r="I157" i="8"/>
  <c r="H157" i="8"/>
  <c r="G157" i="8"/>
  <c r="F157" i="8"/>
  <c r="E157" i="8"/>
  <c r="D157" i="8"/>
  <c r="C157" i="8"/>
  <c r="B157" i="8"/>
  <c r="A157" i="8"/>
  <c r="Z156" i="8"/>
  <c r="Y156" i="8"/>
  <c r="X156" i="8"/>
  <c r="W156" i="8"/>
  <c r="V156" i="8"/>
  <c r="U156" i="8"/>
  <c r="T156" i="8"/>
  <c r="S156" i="8"/>
  <c r="R156" i="8"/>
  <c r="Q156" i="8"/>
  <c r="P156" i="8"/>
  <c r="O156" i="8"/>
  <c r="N156" i="8"/>
  <c r="M156" i="8"/>
  <c r="L156" i="8"/>
  <c r="K156" i="8"/>
  <c r="J156" i="8"/>
  <c r="I156" i="8"/>
  <c r="H156" i="8"/>
  <c r="G156" i="8"/>
  <c r="F156" i="8"/>
  <c r="E156" i="8"/>
  <c r="D156" i="8"/>
  <c r="C156" i="8"/>
  <c r="B156" i="8"/>
  <c r="A156" i="8"/>
  <c r="Z155" i="8"/>
  <c r="Y155" i="8"/>
  <c r="X155" i="8"/>
  <c r="W155" i="8"/>
  <c r="V155" i="8"/>
  <c r="U155" i="8"/>
  <c r="T155" i="8"/>
  <c r="S155" i="8"/>
  <c r="R155" i="8"/>
  <c r="Q155" i="8"/>
  <c r="P155" i="8"/>
  <c r="O155" i="8"/>
  <c r="N155" i="8"/>
  <c r="M155" i="8"/>
  <c r="L155" i="8"/>
  <c r="K155" i="8"/>
  <c r="J155" i="8"/>
  <c r="I155" i="8"/>
  <c r="H155" i="8"/>
  <c r="G155" i="8"/>
  <c r="F155" i="8"/>
  <c r="E155" i="8"/>
  <c r="D155" i="8"/>
  <c r="C155" i="8"/>
  <c r="B155" i="8"/>
  <c r="A155" i="8"/>
  <c r="Z154" i="8"/>
  <c r="Y154" i="8"/>
  <c r="X154" i="8"/>
  <c r="W154" i="8"/>
  <c r="V154" i="8"/>
  <c r="U154" i="8"/>
  <c r="T154" i="8"/>
  <c r="S154" i="8"/>
  <c r="R154" i="8"/>
  <c r="Q154" i="8"/>
  <c r="P154" i="8"/>
  <c r="O154" i="8"/>
  <c r="N154" i="8"/>
  <c r="M154" i="8"/>
  <c r="L154" i="8"/>
  <c r="K154" i="8"/>
  <c r="J154" i="8"/>
  <c r="I154" i="8"/>
  <c r="H154" i="8"/>
  <c r="G154" i="8"/>
  <c r="F154" i="8"/>
  <c r="E154" i="8"/>
  <c r="D154" i="8"/>
  <c r="C154" i="8"/>
  <c r="B154" i="8"/>
  <c r="A154" i="8"/>
  <c r="Z153" i="8"/>
  <c r="Y153" i="8"/>
  <c r="X153" i="8"/>
  <c r="W153" i="8"/>
  <c r="V153" i="8"/>
  <c r="U153" i="8"/>
  <c r="T153" i="8"/>
  <c r="S153" i="8"/>
  <c r="R153" i="8"/>
  <c r="Q153" i="8"/>
  <c r="P153" i="8"/>
  <c r="O153" i="8"/>
  <c r="N153" i="8"/>
  <c r="M153" i="8"/>
  <c r="L153" i="8"/>
  <c r="K153" i="8"/>
  <c r="J153" i="8"/>
  <c r="I153" i="8"/>
  <c r="H153" i="8"/>
  <c r="G153" i="8"/>
  <c r="F153" i="8"/>
  <c r="E153" i="8"/>
  <c r="D153" i="8"/>
  <c r="C153" i="8"/>
  <c r="B153" i="8"/>
  <c r="A153" i="8"/>
  <c r="Z152" i="8"/>
  <c r="Y152" i="8"/>
  <c r="X152" i="8"/>
  <c r="W152" i="8"/>
  <c r="V152" i="8"/>
  <c r="U152" i="8"/>
  <c r="T152" i="8"/>
  <c r="S152" i="8"/>
  <c r="R152" i="8"/>
  <c r="Q152" i="8"/>
  <c r="P152" i="8"/>
  <c r="O152" i="8"/>
  <c r="N152" i="8"/>
  <c r="M152" i="8"/>
  <c r="L152" i="8"/>
  <c r="K152" i="8"/>
  <c r="J152" i="8"/>
  <c r="I152" i="8"/>
  <c r="H152" i="8"/>
  <c r="G152" i="8"/>
  <c r="F152" i="8"/>
  <c r="E152" i="8"/>
  <c r="D152" i="8"/>
  <c r="C152" i="8"/>
  <c r="B152" i="8"/>
  <c r="A152" i="8"/>
  <c r="Z151" i="8"/>
  <c r="Y151" i="8"/>
  <c r="X151" i="8"/>
  <c r="W151" i="8"/>
  <c r="V151" i="8"/>
  <c r="U151" i="8"/>
  <c r="T151" i="8"/>
  <c r="S151" i="8"/>
  <c r="R151" i="8"/>
  <c r="Q151" i="8"/>
  <c r="P151" i="8"/>
  <c r="O151" i="8"/>
  <c r="N151" i="8"/>
  <c r="M151" i="8"/>
  <c r="L151" i="8"/>
  <c r="K151" i="8"/>
  <c r="J151" i="8"/>
  <c r="I151" i="8"/>
  <c r="H151" i="8"/>
  <c r="G151" i="8"/>
  <c r="F151" i="8"/>
  <c r="E151" i="8"/>
  <c r="D151" i="8"/>
  <c r="C151" i="8"/>
  <c r="B151" i="8"/>
  <c r="A151" i="8"/>
  <c r="Z150" i="8"/>
  <c r="Y150" i="8"/>
  <c r="X150" i="8"/>
  <c r="W150" i="8"/>
  <c r="V150" i="8"/>
  <c r="U150" i="8"/>
  <c r="T150" i="8"/>
  <c r="S150" i="8"/>
  <c r="R150" i="8"/>
  <c r="Q150" i="8"/>
  <c r="P150" i="8"/>
  <c r="O150" i="8"/>
  <c r="N150" i="8"/>
  <c r="M150" i="8"/>
  <c r="L150" i="8"/>
  <c r="K150" i="8"/>
  <c r="J150" i="8"/>
  <c r="I150" i="8"/>
  <c r="H150" i="8"/>
  <c r="G150" i="8"/>
  <c r="F150" i="8"/>
  <c r="E150" i="8"/>
  <c r="D150" i="8"/>
  <c r="C150" i="8"/>
  <c r="B150" i="8"/>
  <c r="A150" i="8"/>
  <c r="Z149" i="8"/>
  <c r="Y149" i="8"/>
  <c r="X149" i="8"/>
  <c r="W149" i="8"/>
  <c r="V149" i="8"/>
  <c r="U149" i="8"/>
  <c r="T149" i="8"/>
  <c r="S149" i="8"/>
  <c r="R149" i="8"/>
  <c r="Q149" i="8"/>
  <c r="P149" i="8"/>
  <c r="O149" i="8"/>
  <c r="N149" i="8"/>
  <c r="M149" i="8"/>
  <c r="L149" i="8"/>
  <c r="K149" i="8"/>
  <c r="J149" i="8"/>
  <c r="I149" i="8"/>
  <c r="H149" i="8"/>
  <c r="G149" i="8"/>
  <c r="F149" i="8"/>
  <c r="E149" i="8"/>
  <c r="D149" i="8"/>
  <c r="C149" i="8"/>
  <c r="B149" i="8"/>
  <c r="A149" i="8"/>
  <c r="Z148" i="8"/>
  <c r="Y148" i="8"/>
  <c r="X148" i="8"/>
  <c r="W148" i="8"/>
  <c r="V148" i="8"/>
  <c r="U148" i="8"/>
  <c r="T148" i="8"/>
  <c r="S148" i="8"/>
  <c r="R148" i="8"/>
  <c r="Q148" i="8"/>
  <c r="P148" i="8"/>
  <c r="O148" i="8"/>
  <c r="N148" i="8"/>
  <c r="M148" i="8"/>
  <c r="L148" i="8"/>
  <c r="K148" i="8"/>
  <c r="J148" i="8"/>
  <c r="I148" i="8"/>
  <c r="H148" i="8"/>
  <c r="G148" i="8"/>
  <c r="F148" i="8"/>
  <c r="E148" i="8"/>
  <c r="D148" i="8"/>
  <c r="C148" i="8"/>
  <c r="B148" i="8"/>
  <c r="A148" i="8"/>
  <c r="Z147" i="8"/>
  <c r="Y147" i="8"/>
  <c r="X147" i="8"/>
  <c r="W147" i="8"/>
  <c r="V147" i="8"/>
  <c r="U147" i="8"/>
  <c r="T147" i="8"/>
  <c r="S147" i="8"/>
  <c r="R147" i="8"/>
  <c r="Q147" i="8"/>
  <c r="P147" i="8"/>
  <c r="O147" i="8"/>
  <c r="N147" i="8"/>
  <c r="M147" i="8"/>
  <c r="L147" i="8"/>
  <c r="K147" i="8"/>
  <c r="J147" i="8"/>
  <c r="I147" i="8"/>
  <c r="H147" i="8"/>
  <c r="G147" i="8"/>
  <c r="F147" i="8"/>
  <c r="E147" i="8"/>
  <c r="D147" i="8"/>
  <c r="C147" i="8"/>
  <c r="B147" i="8"/>
  <c r="A147" i="8"/>
  <c r="Z146" i="8"/>
  <c r="Y146" i="8"/>
  <c r="X146" i="8"/>
  <c r="W146" i="8"/>
  <c r="V146" i="8"/>
  <c r="U146" i="8"/>
  <c r="T146" i="8"/>
  <c r="S146" i="8"/>
  <c r="R146" i="8"/>
  <c r="Q146" i="8"/>
  <c r="P146" i="8"/>
  <c r="O146" i="8"/>
  <c r="N146" i="8"/>
  <c r="M146" i="8"/>
  <c r="L146" i="8"/>
  <c r="K146" i="8"/>
  <c r="J146" i="8"/>
  <c r="I146" i="8"/>
  <c r="H146" i="8"/>
  <c r="G146" i="8"/>
  <c r="F146" i="8"/>
  <c r="E146" i="8"/>
  <c r="D146" i="8"/>
  <c r="C146" i="8"/>
  <c r="B146" i="8"/>
  <c r="A146" i="8"/>
  <c r="Z145" i="8"/>
  <c r="Y145" i="8"/>
  <c r="X145" i="8"/>
  <c r="W145" i="8"/>
  <c r="V145" i="8"/>
  <c r="U145" i="8"/>
  <c r="T145" i="8"/>
  <c r="S145" i="8"/>
  <c r="R145" i="8"/>
  <c r="Q145" i="8"/>
  <c r="P145" i="8"/>
  <c r="O145" i="8"/>
  <c r="N145" i="8"/>
  <c r="M145" i="8"/>
  <c r="L145" i="8"/>
  <c r="K145" i="8"/>
  <c r="J145" i="8"/>
  <c r="I145" i="8"/>
  <c r="H145" i="8"/>
  <c r="G145" i="8"/>
  <c r="F145" i="8"/>
  <c r="E145" i="8"/>
  <c r="D145" i="8"/>
  <c r="C145" i="8"/>
  <c r="B145" i="8"/>
  <c r="A145" i="8"/>
  <c r="Z144" i="8"/>
  <c r="Y144" i="8"/>
  <c r="X144" i="8"/>
  <c r="W144" i="8"/>
  <c r="V144" i="8"/>
  <c r="U144" i="8"/>
  <c r="T144" i="8"/>
  <c r="S144" i="8"/>
  <c r="R144" i="8"/>
  <c r="Q144" i="8"/>
  <c r="P144" i="8"/>
  <c r="O144" i="8"/>
  <c r="N144" i="8"/>
  <c r="M144" i="8"/>
  <c r="L144" i="8"/>
  <c r="K144" i="8"/>
  <c r="J144" i="8"/>
  <c r="I144" i="8"/>
  <c r="H144" i="8"/>
  <c r="G144" i="8"/>
  <c r="F144" i="8"/>
  <c r="E144" i="8"/>
  <c r="D144" i="8"/>
  <c r="C144" i="8"/>
  <c r="B144" i="8"/>
  <c r="A144" i="8"/>
  <c r="Z143" i="8"/>
  <c r="Y143" i="8"/>
  <c r="X143" i="8"/>
  <c r="W143" i="8"/>
  <c r="V143" i="8"/>
  <c r="U143" i="8"/>
  <c r="T143" i="8"/>
  <c r="S143" i="8"/>
  <c r="R143" i="8"/>
  <c r="Q143" i="8"/>
  <c r="P143" i="8"/>
  <c r="O143" i="8"/>
  <c r="N143" i="8"/>
  <c r="M143" i="8"/>
  <c r="L143" i="8"/>
  <c r="K143" i="8"/>
  <c r="J143" i="8"/>
  <c r="I143" i="8"/>
  <c r="H143" i="8"/>
  <c r="G143" i="8"/>
  <c r="F143" i="8"/>
  <c r="E143" i="8"/>
  <c r="D143" i="8"/>
  <c r="C143" i="8"/>
  <c r="B143" i="8"/>
  <c r="A143" i="8"/>
  <c r="Z142" i="8"/>
  <c r="Y142" i="8"/>
  <c r="X142" i="8"/>
  <c r="W142" i="8"/>
  <c r="V142" i="8"/>
  <c r="U142" i="8"/>
  <c r="T142" i="8"/>
  <c r="S142" i="8"/>
  <c r="R142" i="8"/>
  <c r="Q142" i="8"/>
  <c r="P142" i="8"/>
  <c r="O142" i="8"/>
  <c r="N142" i="8"/>
  <c r="M142" i="8"/>
  <c r="L142" i="8"/>
  <c r="K142" i="8"/>
  <c r="J142" i="8"/>
  <c r="I142" i="8"/>
  <c r="H142" i="8"/>
  <c r="G142" i="8"/>
  <c r="F142" i="8"/>
  <c r="E142" i="8"/>
  <c r="D142" i="8"/>
  <c r="C142" i="8"/>
  <c r="B142" i="8"/>
  <c r="A142" i="8"/>
  <c r="Z141" i="8"/>
  <c r="Y141" i="8"/>
  <c r="X141" i="8"/>
  <c r="W141" i="8"/>
  <c r="V141" i="8"/>
  <c r="U141" i="8"/>
  <c r="T141" i="8"/>
  <c r="S141" i="8"/>
  <c r="R141" i="8"/>
  <c r="Q141" i="8"/>
  <c r="P141" i="8"/>
  <c r="O141" i="8"/>
  <c r="N141" i="8"/>
  <c r="M141" i="8"/>
  <c r="L141" i="8"/>
  <c r="K141" i="8"/>
  <c r="J141" i="8"/>
  <c r="I141" i="8"/>
  <c r="H141" i="8"/>
  <c r="G141" i="8"/>
  <c r="F141" i="8"/>
  <c r="E141" i="8"/>
  <c r="D141" i="8"/>
  <c r="C141" i="8"/>
  <c r="B141" i="8"/>
  <c r="A141" i="8"/>
  <c r="Z140" i="8"/>
  <c r="Y140" i="8"/>
  <c r="X140" i="8"/>
  <c r="W140" i="8"/>
  <c r="V140" i="8"/>
  <c r="U140" i="8"/>
  <c r="T140" i="8"/>
  <c r="S140" i="8"/>
  <c r="R140" i="8"/>
  <c r="Q140" i="8"/>
  <c r="P140" i="8"/>
  <c r="O140" i="8"/>
  <c r="N140" i="8"/>
  <c r="M140" i="8"/>
  <c r="L140" i="8"/>
  <c r="K140" i="8"/>
  <c r="J140" i="8"/>
  <c r="I140" i="8"/>
  <c r="H140" i="8"/>
  <c r="G140" i="8"/>
  <c r="F140" i="8"/>
  <c r="E140" i="8"/>
  <c r="D140" i="8"/>
  <c r="C140" i="8"/>
  <c r="B140" i="8"/>
  <c r="A140" i="8"/>
  <c r="Z139" i="8"/>
  <c r="Y139" i="8"/>
  <c r="X139" i="8"/>
  <c r="W139" i="8"/>
  <c r="V139" i="8"/>
  <c r="U139" i="8"/>
  <c r="T139" i="8"/>
  <c r="S139" i="8"/>
  <c r="R139" i="8"/>
  <c r="Q139" i="8"/>
  <c r="P139" i="8"/>
  <c r="O139" i="8"/>
  <c r="N139" i="8"/>
  <c r="M139" i="8"/>
  <c r="L139" i="8"/>
  <c r="K139" i="8"/>
  <c r="J139" i="8"/>
  <c r="I139" i="8"/>
  <c r="H139" i="8"/>
  <c r="G139" i="8"/>
  <c r="F139" i="8"/>
  <c r="E139" i="8"/>
  <c r="D139" i="8"/>
  <c r="C139" i="8"/>
  <c r="B139" i="8"/>
  <c r="A139" i="8"/>
  <c r="Z138" i="8"/>
  <c r="Y138" i="8"/>
  <c r="X138" i="8"/>
  <c r="W138" i="8"/>
  <c r="V138" i="8"/>
  <c r="U138" i="8"/>
  <c r="T138" i="8"/>
  <c r="S138" i="8"/>
  <c r="R138" i="8"/>
  <c r="Q138" i="8"/>
  <c r="P138" i="8"/>
  <c r="O138" i="8"/>
  <c r="N138" i="8"/>
  <c r="M138" i="8"/>
  <c r="L138" i="8"/>
  <c r="K138" i="8"/>
  <c r="J138" i="8"/>
  <c r="I138" i="8"/>
  <c r="H138" i="8"/>
  <c r="G138" i="8"/>
  <c r="F138" i="8"/>
  <c r="E138" i="8"/>
  <c r="D138" i="8"/>
  <c r="C138" i="8"/>
  <c r="B138" i="8"/>
  <c r="A138" i="8"/>
  <c r="Z137" i="8"/>
  <c r="Y137" i="8"/>
  <c r="X137" i="8"/>
  <c r="W137" i="8"/>
  <c r="V137" i="8"/>
  <c r="U137" i="8"/>
  <c r="T137" i="8"/>
  <c r="S137" i="8"/>
  <c r="R137" i="8"/>
  <c r="Q137" i="8"/>
  <c r="P137" i="8"/>
  <c r="O137" i="8"/>
  <c r="N137" i="8"/>
  <c r="M137" i="8"/>
  <c r="L137" i="8"/>
  <c r="K137" i="8"/>
  <c r="J137" i="8"/>
  <c r="I137" i="8"/>
  <c r="H137" i="8"/>
  <c r="G137" i="8"/>
  <c r="F137" i="8"/>
  <c r="E137" i="8"/>
  <c r="D137" i="8"/>
  <c r="C137" i="8"/>
  <c r="B137" i="8"/>
  <c r="A137" i="8"/>
  <c r="Z136" i="8"/>
  <c r="Y136" i="8"/>
  <c r="X136" i="8"/>
  <c r="W136" i="8"/>
  <c r="V136" i="8"/>
  <c r="U136" i="8"/>
  <c r="T136" i="8"/>
  <c r="S136" i="8"/>
  <c r="R136" i="8"/>
  <c r="Q136" i="8"/>
  <c r="P136" i="8"/>
  <c r="O136" i="8"/>
  <c r="N136" i="8"/>
  <c r="M136" i="8"/>
  <c r="L136" i="8"/>
  <c r="K136" i="8"/>
  <c r="J136" i="8"/>
  <c r="I136" i="8"/>
  <c r="H136" i="8"/>
  <c r="G136" i="8"/>
  <c r="F136" i="8"/>
  <c r="E136" i="8"/>
  <c r="D136" i="8"/>
  <c r="C136" i="8"/>
  <c r="B136" i="8"/>
  <c r="A136" i="8"/>
  <c r="Z135" i="8"/>
  <c r="Y135" i="8"/>
  <c r="X135" i="8"/>
  <c r="W135" i="8"/>
  <c r="V135" i="8"/>
  <c r="U135" i="8"/>
  <c r="T135" i="8"/>
  <c r="S135" i="8"/>
  <c r="R135" i="8"/>
  <c r="Q135" i="8"/>
  <c r="P135" i="8"/>
  <c r="O135" i="8"/>
  <c r="N135" i="8"/>
  <c r="M135" i="8"/>
  <c r="L135" i="8"/>
  <c r="K135" i="8"/>
  <c r="J135" i="8"/>
  <c r="I135" i="8"/>
  <c r="H135" i="8"/>
  <c r="G135" i="8"/>
  <c r="F135" i="8"/>
  <c r="E135" i="8"/>
  <c r="D135" i="8"/>
  <c r="C135" i="8"/>
  <c r="B135" i="8"/>
  <c r="A135" i="8"/>
  <c r="Z134" i="8"/>
  <c r="Y134" i="8"/>
  <c r="X134" i="8"/>
  <c r="W134" i="8"/>
  <c r="V134" i="8"/>
  <c r="U134" i="8"/>
  <c r="T134" i="8"/>
  <c r="S134" i="8"/>
  <c r="R134" i="8"/>
  <c r="Q134" i="8"/>
  <c r="P134" i="8"/>
  <c r="O134" i="8"/>
  <c r="N134" i="8"/>
  <c r="M134" i="8"/>
  <c r="L134" i="8"/>
  <c r="K134" i="8"/>
  <c r="J134" i="8"/>
  <c r="I134" i="8"/>
  <c r="H134" i="8"/>
  <c r="G134" i="8"/>
  <c r="F134" i="8"/>
  <c r="E134" i="8"/>
  <c r="D134" i="8"/>
  <c r="C134" i="8"/>
  <c r="B134" i="8"/>
  <c r="A134" i="8"/>
  <c r="Z133" i="8"/>
  <c r="Y133" i="8"/>
  <c r="X133" i="8"/>
  <c r="W133" i="8"/>
  <c r="V133" i="8"/>
  <c r="U133" i="8"/>
  <c r="T133" i="8"/>
  <c r="S133" i="8"/>
  <c r="R133" i="8"/>
  <c r="Q133" i="8"/>
  <c r="P133" i="8"/>
  <c r="O133" i="8"/>
  <c r="N133" i="8"/>
  <c r="M133" i="8"/>
  <c r="L133" i="8"/>
  <c r="K133" i="8"/>
  <c r="J133" i="8"/>
  <c r="I133" i="8"/>
  <c r="H133" i="8"/>
  <c r="G133" i="8"/>
  <c r="F133" i="8"/>
  <c r="E133" i="8"/>
  <c r="D133" i="8"/>
  <c r="C133" i="8"/>
  <c r="B133" i="8"/>
  <c r="A133" i="8"/>
  <c r="Z132" i="8"/>
  <c r="Y132" i="8"/>
  <c r="X132" i="8"/>
  <c r="W132" i="8"/>
  <c r="V132" i="8"/>
  <c r="U132" i="8"/>
  <c r="T132" i="8"/>
  <c r="S132" i="8"/>
  <c r="R132" i="8"/>
  <c r="Q132" i="8"/>
  <c r="P132" i="8"/>
  <c r="O132" i="8"/>
  <c r="N132" i="8"/>
  <c r="M132" i="8"/>
  <c r="L132" i="8"/>
  <c r="K132" i="8"/>
  <c r="J132" i="8"/>
  <c r="I132" i="8"/>
  <c r="H132" i="8"/>
  <c r="G132" i="8"/>
  <c r="F132" i="8"/>
  <c r="E132" i="8"/>
  <c r="D132" i="8"/>
  <c r="C132" i="8"/>
  <c r="B132" i="8"/>
  <c r="A132" i="8"/>
  <c r="Z131" i="8"/>
  <c r="Y131" i="8"/>
  <c r="X131" i="8"/>
  <c r="W131" i="8"/>
  <c r="V131" i="8"/>
  <c r="U131" i="8"/>
  <c r="T131" i="8"/>
  <c r="S131" i="8"/>
  <c r="R131" i="8"/>
  <c r="Q131" i="8"/>
  <c r="P131" i="8"/>
  <c r="O131" i="8"/>
  <c r="N131" i="8"/>
  <c r="M131" i="8"/>
  <c r="L131" i="8"/>
  <c r="K131" i="8"/>
  <c r="J131" i="8"/>
  <c r="I131" i="8"/>
  <c r="H131" i="8"/>
  <c r="G131" i="8"/>
  <c r="F131" i="8"/>
  <c r="E131" i="8"/>
  <c r="D131" i="8"/>
  <c r="C131" i="8"/>
  <c r="B131" i="8"/>
  <c r="A131" i="8"/>
  <c r="Z130" i="8"/>
  <c r="Y130" i="8"/>
  <c r="X130" i="8"/>
  <c r="W130" i="8"/>
  <c r="V130" i="8"/>
  <c r="U130" i="8"/>
  <c r="T130" i="8"/>
  <c r="S130" i="8"/>
  <c r="R130" i="8"/>
  <c r="Q130" i="8"/>
  <c r="P130" i="8"/>
  <c r="O130" i="8"/>
  <c r="N130" i="8"/>
  <c r="M130" i="8"/>
  <c r="L130" i="8"/>
  <c r="K130" i="8"/>
  <c r="J130" i="8"/>
  <c r="I130" i="8"/>
  <c r="H130" i="8"/>
  <c r="G130" i="8"/>
  <c r="F130" i="8"/>
  <c r="E130" i="8"/>
  <c r="D130" i="8"/>
  <c r="C130" i="8"/>
  <c r="B130" i="8"/>
  <c r="A130" i="8"/>
  <c r="Z129" i="8"/>
  <c r="Y129" i="8"/>
  <c r="X129" i="8"/>
  <c r="W129" i="8"/>
  <c r="V129" i="8"/>
  <c r="U129" i="8"/>
  <c r="T129" i="8"/>
  <c r="S129" i="8"/>
  <c r="R129" i="8"/>
  <c r="Q129" i="8"/>
  <c r="P129" i="8"/>
  <c r="O129" i="8"/>
  <c r="N129" i="8"/>
  <c r="M129" i="8"/>
  <c r="L129" i="8"/>
  <c r="K129" i="8"/>
  <c r="J129" i="8"/>
  <c r="I129" i="8"/>
  <c r="H129" i="8"/>
  <c r="G129" i="8"/>
  <c r="F129" i="8"/>
  <c r="E129" i="8"/>
  <c r="D129" i="8"/>
  <c r="C129" i="8"/>
  <c r="B129" i="8"/>
  <c r="A129" i="8"/>
  <c r="Z128" i="8"/>
  <c r="Y128" i="8"/>
  <c r="X128" i="8"/>
  <c r="W128" i="8"/>
  <c r="V128" i="8"/>
  <c r="U128" i="8"/>
  <c r="T128" i="8"/>
  <c r="S128" i="8"/>
  <c r="R128" i="8"/>
  <c r="Q128" i="8"/>
  <c r="P128" i="8"/>
  <c r="O128" i="8"/>
  <c r="N128" i="8"/>
  <c r="M128" i="8"/>
  <c r="L128" i="8"/>
  <c r="K128" i="8"/>
  <c r="J128" i="8"/>
  <c r="I128" i="8"/>
  <c r="H128" i="8"/>
  <c r="G128" i="8"/>
  <c r="F128" i="8"/>
  <c r="E128" i="8"/>
  <c r="D128" i="8"/>
  <c r="C128" i="8"/>
  <c r="B128" i="8"/>
  <c r="A128" i="8"/>
  <c r="Z127" i="8"/>
  <c r="Y127" i="8"/>
  <c r="X127" i="8"/>
  <c r="W127" i="8"/>
  <c r="V127" i="8"/>
  <c r="U127" i="8"/>
  <c r="T127" i="8"/>
  <c r="S127" i="8"/>
  <c r="R127" i="8"/>
  <c r="Q127" i="8"/>
  <c r="P127" i="8"/>
  <c r="O127" i="8"/>
  <c r="N127" i="8"/>
  <c r="M127" i="8"/>
  <c r="L127" i="8"/>
  <c r="K127" i="8"/>
  <c r="J127" i="8"/>
  <c r="I127" i="8"/>
  <c r="H127" i="8"/>
  <c r="G127" i="8"/>
  <c r="F127" i="8"/>
  <c r="E127" i="8"/>
  <c r="D127" i="8"/>
  <c r="C127" i="8"/>
  <c r="B127" i="8"/>
  <c r="A127" i="8"/>
  <c r="Z126" i="8"/>
  <c r="Y126" i="8"/>
  <c r="X126" i="8"/>
  <c r="W126" i="8"/>
  <c r="V126" i="8"/>
  <c r="U126" i="8"/>
  <c r="T126" i="8"/>
  <c r="S126" i="8"/>
  <c r="R126" i="8"/>
  <c r="Q126" i="8"/>
  <c r="P126" i="8"/>
  <c r="O126" i="8"/>
  <c r="N126" i="8"/>
  <c r="M126" i="8"/>
  <c r="L126" i="8"/>
  <c r="K126" i="8"/>
  <c r="J126" i="8"/>
  <c r="I126" i="8"/>
  <c r="H126" i="8"/>
  <c r="G126" i="8"/>
  <c r="F126" i="8"/>
  <c r="E126" i="8"/>
  <c r="D126" i="8"/>
  <c r="C126" i="8"/>
  <c r="B126" i="8"/>
  <c r="A126" i="8"/>
  <c r="Z125" i="8"/>
  <c r="Y125" i="8"/>
  <c r="X125" i="8"/>
  <c r="W125" i="8"/>
  <c r="V125" i="8"/>
  <c r="U125" i="8"/>
  <c r="T125" i="8"/>
  <c r="S125" i="8"/>
  <c r="R125" i="8"/>
  <c r="Q125" i="8"/>
  <c r="P125" i="8"/>
  <c r="O125" i="8"/>
  <c r="N125" i="8"/>
  <c r="M125" i="8"/>
  <c r="L125" i="8"/>
  <c r="K125" i="8"/>
  <c r="J125" i="8"/>
  <c r="I125" i="8"/>
  <c r="H125" i="8"/>
  <c r="G125" i="8"/>
  <c r="F125" i="8"/>
  <c r="E125" i="8"/>
  <c r="D125" i="8"/>
  <c r="C125" i="8"/>
  <c r="B125" i="8"/>
  <c r="A125" i="8"/>
  <c r="Z124" i="8"/>
  <c r="Y124" i="8"/>
  <c r="X124" i="8"/>
  <c r="W124" i="8"/>
  <c r="V124" i="8"/>
  <c r="U124" i="8"/>
  <c r="T124" i="8"/>
  <c r="S124" i="8"/>
  <c r="R124" i="8"/>
  <c r="Q124" i="8"/>
  <c r="P124" i="8"/>
  <c r="O124" i="8"/>
  <c r="N124" i="8"/>
  <c r="M124" i="8"/>
  <c r="L124" i="8"/>
  <c r="K124" i="8"/>
  <c r="J124" i="8"/>
  <c r="I124" i="8"/>
  <c r="H124" i="8"/>
  <c r="G124" i="8"/>
  <c r="F124" i="8"/>
  <c r="E124" i="8"/>
  <c r="D124" i="8"/>
  <c r="C124" i="8"/>
  <c r="B124" i="8"/>
  <c r="A124" i="8"/>
  <c r="Z123" i="8"/>
  <c r="Y123" i="8"/>
  <c r="X123" i="8"/>
  <c r="W123" i="8"/>
  <c r="V123" i="8"/>
  <c r="U123" i="8"/>
  <c r="T123" i="8"/>
  <c r="S123" i="8"/>
  <c r="R123" i="8"/>
  <c r="Q123" i="8"/>
  <c r="P123" i="8"/>
  <c r="O123" i="8"/>
  <c r="N123" i="8"/>
  <c r="M123" i="8"/>
  <c r="L123" i="8"/>
  <c r="K123" i="8"/>
  <c r="J123" i="8"/>
  <c r="I123" i="8"/>
  <c r="H123" i="8"/>
  <c r="G123" i="8"/>
  <c r="F123" i="8"/>
  <c r="E123" i="8"/>
  <c r="D123" i="8"/>
  <c r="C123" i="8"/>
  <c r="B123" i="8"/>
  <c r="A123" i="8"/>
  <c r="Z122" i="8"/>
  <c r="Y122" i="8"/>
  <c r="X122" i="8"/>
  <c r="W122" i="8"/>
  <c r="V122" i="8"/>
  <c r="U122" i="8"/>
  <c r="T122" i="8"/>
  <c r="S122" i="8"/>
  <c r="R122" i="8"/>
  <c r="Q122" i="8"/>
  <c r="P122" i="8"/>
  <c r="O122" i="8"/>
  <c r="N122" i="8"/>
  <c r="M122" i="8"/>
  <c r="L122" i="8"/>
  <c r="K122" i="8"/>
  <c r="J122" i="8"/>
  <c r="I122" i="8"/>
  <c r="H122" i="8"/>
  <c r="G122" i="8"/>
  <c r="F122" i="8"/>
  <c r="E122" i="8"/>
  <c r="D122" i="8"/>
  <c r="C122" i="8"/>
  <c r="B122" i="8"/>
  <c r="A122" i="8"/>
  <c r="Z121" i="8"/>
  <c r="Y121" i="8"/>
  <c r="X121" i="8"/>
  <c r="W121" i="8"/>
  <c r="V121" i="8"/>
  <c r="U121" i="8"/>
  <c r="T121" i="8"/>
  <c r="S121" i="8"/>
  <c r="R121" i="8"/>
  <c r="Q121" i="8"/>
  <c r="P121" i="8"/>
  <c r="O121" i="8"/>
  <c r="N121" i="8"/>
  <c r="M121" i="8"/>
  <c r="L121" i="8"/>
  <c r="K121" i="8"/>
  <c r="J121" i="8"/>
  <c r="I121" i="8"/>
  <c r="H121" i="8"/>
  <c r="G121" i="8"/>
  <c r="F121" i="8"/>
  <c r="E121" i="8"/>
  <c r="D121" i="8"/>
  <c r="C121" i="8"/>
  <c r="B121" i="8"/>
  <c r="A121" i="8"/>
  <c r="Z120" i="8"/>
  <c r="Y120" i="8"/>
  <c r="X120" i="8"/>
  <c r="W120" i="8"/>
  <c r="V120" i="8"/>
  <c r="U120" i="8"/>
  <c r="T120" i="8"/>
  <c r="S120" i="8"/>
  <c r="R120" i="8"/>
  <c r="Q120" i="8"/>
  <c r="P120" i="8"/>
  <c r="O120" i="8"/>
  <c r="N120" i="8"/>
  <c r="M120" i="8"/>
  <c r="L120" i="8"/>
  <c r="K120" i="8"/>
  <c r="J120" i="8"/>
  <c r="I120" i="8"/>
  <c r="H120" i="8"/>
  <c r="G120" i="8"/>
  <c r="F120" i="8"/>
  <c r="E120" i="8"/>
  <c r="D120" i="8"/>
  <c r="C120" i="8"/>
  <c r="B120" i="8"/>
  <c r="A120" i="8"/>
  <c r="Z119" i="8"/>
  <c r="Y119" i="8"/>
  <c r="X119" i="8"/>
  <c r="W119" i="8"/>
  <c r="V119" i="8"/>
  <c r="U119" i="8"/>
  <c r="T119" i="8"/>
  <c r="S119" i="8"/>
  <c r="R119" i="8"/>
  <c r="Q119" i="8"/>
  <c r="P119" i="8"/>
  <c r="O119" i="8"/>
  <c r="N119" i="8"/>
  <c r="M119" i="8"/>
  <c r="L119" i="8"/>
  <c r="K119" i="8"/>
  <c r="J119" i="8"/>
  <c r="I119" i="8"/>
  <c r="H119" i="8"/>
  <c r="G119" i="8"/>
  <c r="F119" i="8"/>
  <c r="E119" i="8"/>
  <c r="D119" i="8"/>
  <c r="C119" i="8"/>
  <c r="B119" i="8"/>
  <c r="A119" i="8"/>
  <c r="Z118" i="8"/>
  <c r="Y118" i="8"/>
  <c r="X118" i="8"/>
  <c r="W118" i="8"/>
  <c r="V118" i="8"/>
  <c r="U118" i="8"/>
  <c r="T118" i="8"/>
  <c r="S118" i="8"/>
  <c r="R118" i="8"/>
  <c r="Q118" i="8"/>
  <c r="P118" i="8"/>
  <c r="O118" i="8"/>
  <c r="N118" i="8"/>
  <c r="M118" i="8"/>
  <c r="L118" i="8"/>
  <c r="K118" i="8"/>
  <c r="J118" i="8"/>
  <c r="I118" i="8"/>
  <c r="H118" i="8"/>
  <c r="G118" i="8"/>
  <c r="F118" i="8"/>
  <c r="E118" i="8"/>
  <c r="D118" i="8"/>
  <c r="C118" i="8"/>
  <c r="B118" i="8"/>
  <c r="A118" i="8"/>
  <c r="Z117" i="8"/>
  <c r="Y117" i="8"/>
  <c r="X117" i="8"/>
  <c r="W117" i="8"/>
  <c r="V117" i="8"/>
  <c r="U117" i="8"/>
  <c r="T117" i="8"/>
  <c r="S117" i="8"/>
  <c r="R117" i="8"/>
  <c r="Q117" i="8"/>
  <c r="P117" i="8"/>
  <c r="O117" i="8"/>
  <c r="N117" i="8"/>
  <c r="M117" i="8"/>
  <c r="L117" i="8"/>
  <c r="K117" i="8"/>
  <c r="J117" i="8"/>
  <c r="I117" i="8"/>
  <c r="H117" i="8"/>
  <c r="G117" i="8"/>
  <c r="F117" i="8"/>
  <c r="E117" i="8"/>
  <c r="D117" i="8"/>
  <c r="C117" i="8"/>
  <c r="B117" i="8"/>
  <c r="A117" i="8"/>
  <c r="Z116" i="8"/>
  <c r="Y116" i="8"/>
  <c r="X116" i="8"/>
  <c r="W116" i="8"/>
  <c r="V116" i="8"/>
  <c r="U116" i="8"/>
  <c r="T116" i="8"/>
  <c r="S116" i="8"/>
  <c r="R116" i="8"/>
  <c r="Q116" i="8"/>
  <c r="P116" i="8"/>
  <c r="O116" i="8"/>
  <c r="N116" i="8"/>
  <c r="M116" i="8"/>
  <c r="L116" i="8"/>
  <c r="K116" i="8"/>
  <c r="J116" i="8"/>
  <c r="I116" i="8"/>
  <c r="H116" i="8"/>
  <c r="G116" i="8"/>
  <c r="F116" i="8"/>
  <c r="E116" i="8"/>
  <c r="D116" i="8"/>
  <c r="C116" i="8"/>
  <c r="B116" i="8"/>
  <c r="A116" i="8"/>
  <c r="Z115" i="8"/>
  <c r="Y115" i="8"/>
  <c r="X115" i="8"/>
  <c r="W115" i="8"/>
  <c r="V115" i="8"/>
  <c r="U115" i="8"/>
  <c r="T115" i="8"/>
  <c r="S115" i="8"/>
  <c r="R115" i="8"/>
  <c r="Q115" i="8"/>
  <c r="P115" i="8"/>
  <c r="O115" i="8"/>
  <c r="N115" i="8"/>
  <c r="M115" i="8"/>
  <c r="L115" i="8"/>
  <c r="K115" i="8"/>
  <c r="J115" i="8"/>
  <c r="I115" i="8"/>
  <c r="H115" i="8"/>
  <c r="G115" i="8"/>
  <c r="F115" i="8"/>
  <c r="E115" i="8"/>
  <c r="D115" i="8"/>
  <c r="C115" i="8"/>
  <c r="B115" i="8"/>
  <c r="A115" i="8"/>
  <c r="Z114" i="8"/>
  <c r="Y114" i="8"/>
  <c r="X114" i="8"/>
  <c r="W114" i="8"/>
  <c r="V114" i="8"/>
  <c r="U114" i="8"/>
  <c r="T114" i="8"/>
  <c r="S114" i="8"/>
  <c r="R114" i="8"/>
  <c r="Q114" i="8"/>
  <c r="P114" i="8"/>
  <c r="O114" i="8"/>
  <c r="N114" i="8"/>
  <c r="M114" i="8"/>
  <c r="L114" i="8"/>
  <c r="K114" i="8"/>
  <c r="J114" i="8"/>
  <c r="I114" i="8"/>
  <c r="H114" i="8"/>
  <c r="G114" i="8"/>
  <c r="F114" i="8"/>
  <c r="E114" i="8"/>
  <c r="D114" i="8"/>
  <c r="C114" i="8"/>
  <c r="B114" i="8"/>
  <c r="A114" i="8"/>
  <c r="Z113" i="8"/>
  <c r="Y113" i="8"/>
  <c r="X113" i="8"/>
  <c r="W113" i="8"/>
  <c r="V113" i="8"/>
  <c r="U113" i="8"/>
  <c r="T113" i="8"/>
  <c r="S113" i="8"/>
  <c r="R113" i="8"/>
  <c r="Q113" i="8"/>
  <c r="P113" i="8"/>
  <c r="O113" i="8"/>
  <c r="N113" i="8"/>
  <c r="M113" i="8"/>
  <c r="L113" i="8"/>
  <c r="K113" i="8"/>
  <c r="J113" i="8"/>
  <c r="I113" i="8"/>
  <c r="H113" i="8"/>
  <c r="G113" i="8"/>
  <c r="F113" i="8"/>
  <c r="E113" i="8"/>
  <c r="D113" i="8"/>
  <c r="C113" i="8"/>
  <c r="B113" i="8"/>
  <c r="A113" i="8"/>
  <c r="Z112" i="8"/>
  <c r="Y112" i="8"/>
  <c r="X112" i="8"/>
  <c r="W112" i="8"/>
  <c r="V112" i="8"/>
  <c r="U112" i="8"/>
  <c r="T112" i="8"/>
  <c r="S112" i="8"/>
  <c r="R112" i="8"/>
  <c r="Q112" i="8"/>
  <c r="P112" i="8"/>
  <c r="O112" i="8"/>
  <c r="N112" i="8"/>
  <c r="M112" i="8"/>
  <c r="L112" i="8"/>
  <c r="K112" i="8"/>
  <c r="J112" i="8"/>
  <c r="I112" i="8"/>
  <c r="H112" i="8"/>
  <c r="G112" i="8"/>
  <c r="F112" i="8"/>
  <c r="E112" i="8"/>
  <c r="D112" i="8"/>
  <c r="C112" i="8"/>
  <c r="B112" i="8"/>
  <c r="A112" i="8"/>
  <c r="Z111" i="8"/>
  <c r="Y111" i="8"/>
  <c r="X111" i="8"/>
  <c r="W111" i="8"/>
  <c r="V111" i="8"/>
  <c r="U111" i="8"/>
  <c r="T111" i="8"/>
  <c r="S111" i="8"/>
  <c r="R111" i="8"/>
  <c r="Q111" i="8"/>
  <c r="P111" i="8"/>
  <c r="O111" i="8"/>
  <c r="N111" i="8"/>
  <c r="M111" i="8"/>
  <c r="L111" i="8"/>
  <c r="K111" i="8"/>
  <c r="J111" i="8"/>
  <c r="I111" i="8"/>
  <c r="H111" i="8"/>
  <c r="G111" i="8"/>
  <c r="F111" i="8"/>
  <c r="E111" i="8"/>
  <c r="D111" i="8"/>
  <c r="C111" i="8"/>
  <c r="B111" i="8"/>
  <c r="A111" i="8"/>
  <c r="Z110" i="8"/>
  <c r="Y110" i="8"/>
  <c r="X110" i="8"/>
  <c r="W110" i="8"/>
  <c r="V110" i="8"/>
  <c r="U110" i="8"/>
  <c r="T110" i="8"/>
  <c r="S110" i="8"/>
  <c r="R110" i="8"/>
  <c r="Q110" i="8"/>
  <c r="P110" i="8"/>
  <c r="O110" i="8"/>
  <c r="N110" i="8"/>
  <c r="M110" i="8"/>
  <c r="L110" i="8"/>
  <c r="K110" i="8"/>
  <c r="J110" i="8"/>
  <c r="I110" i="8"/>
  <c r="H110" i="8"/>
  <c r="G110" i="8"/>
  <c r="F110" i="8"/>
  <c r="E110" i="8"/>
  <c r="D110" i="8"/>
  <c r="C110" i="8"/>
  <c r="B110" i="8"/>
  <c r="A110" i="8"/>
  <c r="Z109" i="8"/>
  <c r="Y109" i="8"/>
  <c r="X109" i="8"/>
  <c r="W109" i="8"/>
  <c r="V109" i="8"/>
  <c r="U109" i="8"/>
  <c r="T109" i="8"/>
  <c r="S109" i="8"/>
  <c r="R109" i="8"/>
  <c r="Q109" i="8"/>
  <c r="P109" i="8"/>
  <c r="O109" i="8"/>
  <c r="N109" i="8"/>
  <c r="M109" i="8"/>
  <c r="L109" i="8"/>
  <c r="K109" i="8"/>
  <c r="J109" i="8"/>
  <c r="I109" i="8"/>
  <c r="H109" i="8"/>
  <c r="G109" i="8"/>
  <c r="F109" i="8"/>
  <c r="E109" i="8"/>
  <c r="D109" i="8"/>
  <c r="C109" i="8"/>
  <c r="B109" i="8"/>
  <c r="A109" i="8"/>
  <c r="Y108" i="8"/>
  <c r="X108" i="8"/>
  <c r="W108" i="8"/>
  <c r="V108" i="8"/>
  <c r="U108" i="8"/>
  <c r="T108" i="8"/>
  <c r="S108" i="8"/>
  <c r="R108" i="8"/>
  <c r="Q108" i="8"/>
  <c r="P108" i="8"/>
  <c r="O108" i="8"/>
  <c r="N108" i="8"/>
  <c r="M108" i="8"/>
  <c r="L108" i="8"/>
  <c r="K108" i="8"/>
  <c r="J108" i="8"/>
  <c r="I108" i="8"/>
  <c r="H108" i="8"/>
  <c r="G108" i="8"/>
  <c r="F108" i="8"/>
  <c r="E108" i="8"/>
  <c r="D108" i="8"/>
  <c r="C108" i="8"/>
  <c r="B108" i="8"/>
  <c r="A108" i="8"/>
  <c r="Z107" i="8"/>
  <c r="Y107" i="8"/>
  <c r="X107" i="8"/>
  <c r="W107" i="8"/>
  <c r="V107" i="8"/>
  <c r="U107" i="8"/>
  <c r="T107" i="8"/>
  <c r="S107" i="8"/>
  <c r="R107" i="8"/>
  <c r="Q107" i="8"/>
  <c r="P107" i="8"/>
  <c r="O107" i="8"/>
  <c r="N107" i="8"/>
  <c r="M107" i="8"/>
  <c r="L107" i="8"/>
  <c r="K107" i="8"/>
  <c r="J107" i="8"/>
  <c r="I107" i="8"/>
  <c r="H107" i="8"/>
  <c r="G107" i="8"/>
  <c r="F107" i="8"/>
  <c r="E107" i="8"/>
  <c r="D107" i="8"/>
  <c r="C107" i="8"/>
  <c r="B107" i="8"/>
  <c r="A107" i="8"/>
  <c r="Z106" i="8"/>
  <c r="Y106" i="8"/>
  <c r="X106" i="8"/>
  <c r="W106" i="8"/>
  <c r="V106" i="8"/>
  <c r="U106" i="8"/>
  <c r="T106" i="8"/>
  <c r="S106" i="8"/>
  <c r="R106" i="8"/>
  <c r="Q106" i="8"/>
  <c r="P106" i="8"/>
  <c r="O106" i="8"/>
  <c r="N106" i="8"/>
  <c r="M106" i="8"/>
  <c r="L106" i="8"/>
  <c r="K106" i="8"/>
  <c r="J106" i="8"/>
  <c r="I106" i="8"/>
  <c r="H106" i="8"/>
  <c r="G106" i="8"/>
  <c r="F106" i="8"/>
  <c r="E106" i="8"/>
  <c r="D106" i="8"/>
  <c r="C106" i="8"/>
  <c r="B106" i="8"/>
  <c r="A106" i="8"/>
  <c r="Z105" i="8"/>
  <c r="Y105" i="8"/>
  <c r="X105" i="8"/>
  <c r="W105" i="8"/>
  <c r="V105" i="8"/>
  <c r="U105" i="8"/>
  <c r="T105" i="8"/>
  <c r="S105" i="8"/>
  <c r="R105" i="8"/>
  <c r="Q105" i="8"/>
  <c r="P105" i="8"/>
  <c r="O105" i="8"/>
  <c r="N105" i="8"/>
  <c r="M105" i="8"/>
  <c r="L105" i="8"/>
  <c r="K105" i="8"/>
  <c r="J105" i="8"/>
  <c r="I105" i="8"/>
  <c r="H105" i="8"/>
  <c r="G105" i="8"/>
  <c r="F105" i="8"/>
  <c r="E105" i="8"/>
  <c r="D105" i="8"/>
  <c r="C105" i="8"/>
  <c r="B105" i="8"/>
  <c r="A105" i="8"/>
  <c r="Z104" i="8"/>
  <c r="Y104" i="8"/>
  <c r="X104" i="8"/>
  <c r="W104" i="8"/>
  <c r="V104" i="8"/>
  <c r="U104" i="8"/>
  <c r="T104" i="8"/>
  <c r="S104" i="8"/>
  <c r="R104" i="8"/>
  <c r="Q104" i="8"/>
  <c r="P104" i="8"/>
  <c r="O104" i="8"/>
  <c r="N104" i="8"/>
  <c r="M104" i="8"/>
  <c r="L104" i="8"/>
  <c r="K104" i="8"/>
  <c r="J104" i="8"/>
  <c r="I104" i="8"/>
  <c r="H104" i="8"/>
  <c r="G104" i="8"/>
  <c r="F104" i="8"/>
  <c r="E104" i="8"/>
  <c r="D104" i="8"/>
  <c r="C104" i="8"/>
  <c r="B104" i="8"/>
  <c r="A104" i="8"/>
  <c r="Z103" i="8"/>
  <c r="Y103" i="8"/>
  <c r="X103" i="8"/>
  <c r="W103" i="8"/>
  <c r="V103" i="8"/>
  <c r="U103" i="8"/>
  <c r="T103" i="8"/>
  <c r="S103" i="8"/>
  <c r="R103" i="8"/>
  <c r="Q103" i="8"/>
  <c r="P103" i="8"/>
  <c r="O103" i="8"/>
  <c r="N103" i="8"/>
  <c r="M103" i="8"/>
  <c r="L103" i="8"/>
  <c r="K103" i="8"/>
  <c r="J103" i="8"/>
  <c r="I103" i="8"/>
  <c r="H103" i="8"/>
  <c r="G103" i="8"/>
  <c r="F103" i="8"/>
  <c r="E103" i="8"/>
  <c r="D103" i="8"/>
  <c r="C103" i="8"/>
  <c r="B103" i="8"/>
  <c r="A103" i="8"/>
  <c r="Z102" i="8"/>
  <c r="Y102" i="8"/>
  <c r="X102" i="8"/>
  <c r="W102" i="8"/>
  <c r="V102" i="8"/>
  <c r="U102" i="8"/>
  <c r="T102" i="8"/>
  <c r="S102" i="8"/>
  <c r="R102" i="8"/>
  <c r="Q102" i="8"/>
  <c r="P102" i="8"/>
  <c r="O102" i="8"/>
  <c r="N102" i="8"/>
  <c r="M102" i="8"/>
  <c r="L102" i="8"/>
  <c r="K102" i="8"/>
  <c r="J102" i="8"/>
  <c r="I102" i="8"/>
  <c r="H102" i="8"/>
  <c r="G102" i="8"/>
  <c r="F102" i="8"/>
  <c r="E102" i="8"/>
  <c r="D102" i="8"/>
  <c r="C102" i="8"/>
  <c r="B102" i="8"/>
  <c r="A102" i="8"/>
  <c r="Z101" i="8"/>
  <c r="Y101" i="8"/>
  <c r="X101" i="8"/>
  <c r="W101" i="8"/>
  <c r="V101" i="8"/>
  <c r="U101" i="8"/>
  <c r="T101" i="8"/>
  <c r="S101" i="8"/>
  <c r="R101" i="8"/>
  <c r="Q101" i="8"/>
  <c r="P101" i="8"/>
  <c r="O101" i="8"/>
  <c r="N101" i="8"/>
  <c r="M101" i="8"/>
  <c r="L101" i="8"/>
  <c r="K101" i="8"/>
  <c r="J101" i="8"/>
  <c r="I101" i="8"/>
  <c r="H101" i="8"/>
  <c r="G101" i="8"/>
  <c r="F101" i="8"/>
  <c r="E101" i="8"/>
  <c r="D101" i="8"/>
  <c r="C101" i="8"/>
  <c r="B101" i="8"/>
  <c r="A101" i="8"/>
  <c r="Z100" i="8"/>
  <c r="Y100" i="8"/>
  <c r="X100" i="8"/>
  <c r="W100" i="8"/>
  <c r="V100" i="8"/>
  <c r="U100" i="8"/>
  <c r="T100" i="8"/>
  <c r="S100" i="8"/>
  <c r="R100" i="8"/>
  <c r="Q100" i="8"/>
  <c r="P100" i="8"/>
  <c r="O100" i="8"/>
  <c r="N100" i="8"/>
  <c r="M100" i="8"/>
  <c r="L100" i="8"/>
  <c r="K100" i="8"/>
  <c r="J100" i="8"/>
  <c r="I100" i="8"/>
  <c r="H100" i="8"/>
  <c r="G100" i="8"/>
  <c r="F100" i="8"/>
  <c r="E100" i="8"/>
  <c r="D100" i="8"/>
  <c r="C100" i="8"/>
  <c r="B100" i="8"/>
  <c r="A100" i="8"/>
  <c r="Z99" i="8"/>
  <c r="Y99" i="8"/>
  <c r="X99" i="8"/>
  <c r="W99" i="8"/>
  <c r="V99" i="8"/>
  <c r="U99" i="8"/>
  <c r="T99" i="8"/>
  <c r="S99" i="8"/>
  <c r="R99" i="8"/>
  <c r="Q99" i="8"/>
  <c r="P99" i="8"/>
  <c r="O99" i="8"/>
  <c r="N99" i="8"/>
  <c r="M99" i="8"/>
  <c r="L99" i="8"/>
  <c r="K99" i="8"/>
  <c r="J99" i="8"/>
  <c r="I99" i="8"/>
  <c r="H99" i="8"/>
  <c r="G99" i="8"/>
  <c r="F99" i="8"/>
  <c r="E99" i="8"/>
  <c r="D99" i="8"/>
  <c r="C99" i="8"/>
  <c r="B99" i="8"/>
  <c r="A99" i="8"/>
  <c r="Z98" i="8"/>
  <c r="Y98" i="8"/>
  <c r="X98" i="8"/>
  <c r="W98" i="8"/>
  <c r="V98" i="8"/>
  <c r="U98" i="8"/>
  <c r="T98" i="8"/>
  <c r="S98" i="8"/>
  <c r="R98" i="8"/>
  <c r="Q98" i="8"/>
  <c r="P98" i="8"/>
  <c r="O98" i="8"/>
  <c r="N98" i="8"/>
  <c r="M98" i="8"/>
  <c r="L98" i="8"/>
  <c r="K98" i="8"/>
  <c r="J98" i="8"/>
  <c r="I98" i="8"/>
  <c r="H98" i="8"/>
  <c r="G98" i="8"/>
  <c r="F98" i="8"/>
  <c r="E98" i="8"/>
  <c r="D98" i="8"/>
  <c r="C98" i="8"/>
  <c r="B98" i="8"/>
  <c r="A98" i="8"/>
  <c r="Z97" i="8"/>
  <c r="Y97" i="8"/>
  <c r="X97" i="8"/>
  <c r="W97" i="8"/>
  <c r="V97" i="8"/>
  <c r="U97" i="8"/>
  <c r="T97" i="8"/>
  <c r="S97" i="8"/>
  <c r="R97" i="8"/>
  <c r="Q97" i="8"/>
  <c r="P97" i="8"/>
  <c r="O97" i="8"/>
  <c r="N97" i="8"/>
  <c r="M97" i="8"/>
  <c r="L97" i="8"/>
  <c r="K97" i="8"/>
  <c r="J97" i="8"/>
  <c r="I97" i="8"/>
  <c r="H97" i="8"/>
  <c r="G97" i="8"/>
  <c r="F97" i="8"/>
  <c r="E97" i="8"/>
  <c r="D97" i="8"/>
  <c r="C97" i="8"/>
  <c r="B97" i="8"/>
  <c r="A97" i="8"/>
  <c r="Z96" i="8"/>
  <c r="Y96" i="8"/>
  <c r="X96" i="8"/>
  <c r="W96" i="8"/>
  <c r="V96" i="8"/>
  <c r="U96" i="8"/>
  <c r="T96" i="8"/>
  <c r="S96" i="8"/>
  <c r="R96" i="8"/>
  <c r="Q96" i="8"/>
  <c r="P96" i="8"/>
  <c r="O96" i="8"/>
  <c r="N96" i="8"/>
  <c r="M96" i="8"/>
  <c r="L96" i="8"/>
  <c r="K96" i="8"/>
  <c r="J96" i="8"/>
  <c r="I96" i="8"/>
  <c r="H96" i="8"/>
  <c r="G96" i="8"/>
  <c r="F96" i="8"/>
  <c r="E96" i="8"/>
  <c r="D96" i="8"/>
  <c r="C96" i="8"/>
  <c r="B96" i="8"/>
  <c r="A96" i="8"/>
  <c r="Z95" i="8"/>
  <c r="Y95" i="8"/>
  <c r="X95" i="8"/>
  <c r="W95" i="8"/>
  <c r="V95" i="8"/>
  <c r="U95" i="8"/>
  <c r="T95" i="8"/>
  <c r="S95" i="8"/>
  <c r="R95" i="8"/>
  <c r="Q95" i="8"/>
  <c r="P95" i="8"/>
  <c r="O95" i="8"/>
  <c r="N95" i="8"/>
  <c r="M95" i="8"/>
  <c r="L95" i="8"/>
  <c r="K95" i="8"/>
  <c r="J95" i="8"/>
  <c r="I95" i="8"/>
  <c r="H95" i="8"/>
  <c r="G95" i="8"/>
  <c r="F95" i="8"/>
  <c r="E95" i="8"/>
  <c r="D95" i="8"/>
  <c r="C95" i="8"/>
  <c r="B95" i="8"/>
  <c r="A95" i="8"/>
  <c r="Z94" i="8"/>
  <c r="Y94" i="8"/>
  <c r="X94" i="8"/>
  <c r="W94" i="8"/>
  <c r="V94" i="8"/>
  <c r="U94" i="8"/>
  <c r="T94" i="8"/>
  <c r="S94" i="8"/>
  <c r="R94" i="8"/>
  <c r="Q94" i="8"/>
  <c r="P94" i="8"/>
  <c r="O94" i="8"/>
  <c r="N94" i="8"/>
  <c r="M94" i="8"/>
  <c r="L94" i="8"/>
  <c r="K94" i="8"/>
  <c r="J94" i="8"/>
  <c r="I94" i="8"/>
  <c r="H94" i="8"/>
  <c r="G94" i="8"/>
  <c r="F94" i="8"/>
  <c r="E94" i="8"/>
  <c r="D94" i="8"/>
  <c r="C94" i="8"/>
  <c r="B94" i="8"/>
  <c r="A94" i="8"/>
  <c r="Z93" i="8"/>
  <c r="Y93" i="8"/>
  <c r="X93" i="8"/>
  <c r="W93" i="8"/>
  <c r="V93" i="8"/>
  <c r="U93" i="8"/>
  <c r="T93" i="8"/>
  <c r="S93" i="8"/>
  <c r="R93" i="8"/>
  <c r="Q93" i="8"/>
  <c r="P93" i="8"/>
  <c r="O93" i="8"/>
  <c r="N93" i="8"/>
  <c r="M93" i="8"/>
  <c r="L93" i="8"/>
  <c r="K93" i="8"/>
  <c r="J93" i="8"/>
  <c r="I93" i="8"/>
  <c r="H93" i="8"/>
  <c r="G93" i="8"/>
  <c r="F93" i="8"/>
  <c r="E93" i="8"/>
  <c r="D93" i="8"/>
  <c r="C93" i="8"/>
  <c r="B93" i="8"/>
  <c r="A93" i="8"/>
  <c r="Z92" i="8"/>
  <c r="Y92" i="8"/>
  <c r="X92" i="8"/>
  <c r="W92" i="8"/>
  <c r="V92" i="8"/>
  <c r="U92" i="8"/>
  <c r="T92" i="8"/>
  <c r="S92" i="8"/>
  <c r="R92" i="8"/>
  <c r="Q92" i="8"/>
  <c r="P92" i="8"/>
  <c r="O92" i="8"/>
  <c r="N92" i="8"/>
  <c r="M92" i="8"/>
  <c r="L92" i="8"/>
  <c r="K92" i="8"/>
  <c r="J92" i="8"/>
  <c r="I92" i="8"/>
  <c r="H92" i="8"/>
  <c r="G92" i="8"/>
  <c r="F92" i="8"/>
  <c r="E92" i="8"/>
  <c r="D92" i="8"/>
  <c r="C92" i="8"/>
  <c r="B92" i="8"/>
  <c r="A92" i="8"/>
  <c r="Z91" i="8"/>
  <c r="Y91" i="8"/>
  <c r="X91" i="8"/>
  <c r="W91" i="8"/>
  <c r="V91" i="8"/>
  <c r="U91" i="8"/>
  <c r="T91" i="8"/>
  <c r="S91" i="8"/>
  <c r="R91" i="8"/>
  <c r="Q91" i="8"/>
  <c r="P91" i="8"/>
  <c r="O91" i="8"/>
  <c r="N91" i="8"/>
  <c r="M91" i="8"/>
  <c r="L91" i="8"/>
  <c r="K91" i="8"/>
  <c r="J91" i="8"/>
  <c r="I91" i="8"/>
  <c r="H91" i="8"/>
  <c r="G91" i="8"/>
  <c r="F91" i="8"/>
  <c r="E91" i="8"/>
  <c r="D91" i="8"/>
  <c r="C91" i="8"/>
  <c r="B91" i="8"/>
  <c r="A91" i="8"/>
  <c r="Z90" i="8"/>
  <c r="Y90" i="8"/>
  <c r="X90" i="8"/>
  <c r="W90" i="8"/>
  <c r="V90" i="8"/>
  <c r="U90" i="8"/>
  <c r="T90" i="8"/>
  <c r="S90" i="8"/>
  <c r="R90" i="8"/>
  <c r="Q90" i="8"/>
  <c r="P90" i="8"/>
  <c r="O90" i="8"/>
  <c r="N90" i="8"/>
  <c r="M90" i="8"/>
  <c r="L90" i="8"/>
  <c r="K90" i="8"/>
  <c r="J90" i="8"/>
  <c r="I90" i="8"/>
  <c r="H90" i="8"/>
  <c r="G90" i="8"/>
  <c r="F90" i="8"/>
  <c r="E90" i="8"/>
  <c r="D90" i="8"/>
  <c r="C90" i="8"/>
  <c r="B90" i="8"/>
  <c r="A90" i="8"/>
  <c r="Z89" i="8"/>
  <c r="Y89" i="8"/>
  <c r="X89" i="8"/>
  <c r="W89" i="8"/>
  <c r="V89" i="8"/>
  <c r="U89" i="8"/>
  <c r="T89" i="8"/>
  <c r="S89" i="8"/>
  <c r="R89" i="8"/>
  <c r="Q89" i="8"/>
  <c r="P89" i="8"/>
  <c r="O89" i="8"/>
  <c r="N89" i="8"/>
  <c r="M89" i="8"/>
  <c r="L89" i="8"/>
  <c r="K89" i="8"/>
  <c r="J89" i="8"/>
  <c r="I89" i="8"/>
  <c r="H89" i="8"/>
  <c r="G89" i="8"/>
  <c r="F89" i="8"/>
  <c r="E89" i="8"/>
  <c r="D89" i="8"/>
  <c r="C89" i="8"/>
  <c r="B89" i="8"/>
  <c r="A89" i="8"/>
  <c r="Z88" i="8"/>
  <c r="Y88" i="8"/>
  <c r="X88" i="8"/>
  <c r="W88" i="8"/>
  <c r="V88" i="8"/>
  <c r="U88" i="8"/>
  <c r="T88" i="8"/>
  <c r="S88" i="8"/>
  <c r="R88" i="8"/>
  <c r="Q88" i="8"/>
  <c r="P88" i="8"/>
  <c r="O88" i="8"/>
  <c r="N88" i="8"/>
  <c r="M88" i="8"/>
  <c r="L88" i="8"/>
  <c r="K88" i="8"/>
  <c r="J88" i="8"/>
  <c r="I88" i="8"/>
  <c r="H88" i="8"/>
  <c r="G88" i="8"/>
  <c r="F88" i="8"/>
  <c r="E88" i="8"/>
  <c r="D88" i="8"/>
  <c r="C88" i="8"/>
  <c r="B88" i="8"/>
  <c r="A88" i="8"/>
  <c r="Z87" i="8"/>
  <c r="Y87" i="8"/>
  <c r="X87" i="8"/>
  <c r="W87" i="8"/>
  <c r="V87" i="8"/>
  <c r="U87" i="8"/>
  <c r="T87" i="8"/>
  <c r="S87" i="8"/>
  <c r="R87" i="8"/>
  <c r="Q87" i="8"/>
  <c r="P87" i="8"/>
  <c r="O87" i="8"/>
  <c r="N87" i="8"/>
  <c r="M87" i="8"/>
  <c r="L87" i="8"/>
  <c r="K87" i="8"/>
  <c r="J87" i="8"/>
  <c r="I87" i="8"/>
  <c r="H87" i="8"/>
  <c r="G87" i="8"/>
  <c r="F87" i="8"/>
  <c r="E87" i="8"/>
  <c r="D87" i="8"/>
  <c r="C87" i="8"/>
  <c r="B87" i="8"/>
  <c r="A87" i="8"/>
  <c r="Z86" i="8"/>
  <c r="Y86" i="8"/>
  <c r="X86" i="8"/>
  <c r="W86" i="8"/>
  <c r="V86" i="8"/>
  <c r="U86" i="8"/>
  <c r="T86" i="8"/>
  <c r="S86" i="8"/>
  <c r="R86" i="8"/>
  <c r="Q86" i="8"/>
  <c r="P86" i="8"/>
  <c r="O86" i="8"/>
  <c r="N86" i="8"/>
  <c r="M86" i="8"/>
  <c r="L86" i="8"/>
  <c r="K86" i="8"/>
  <c r="J86" i="8"/>
  <c r="I86" i="8"/>
  <c r="H86" i="8"/>
  <c r="G86" i="8"/>
  <c r="F86" i="8"/>
  <c r="E86" i="8"/>
  <c r="D86" i="8"/>
  <c r="C86" i="8"/>
  <c r="B86" i="8"/>
  <c r="A86" i="8"/>
  <c r="Z85" i="8"/>
  <c r="Y85" i="8"/>
  <c r="X85" i="8"/>
  <c r="W85" i="8"/>
  <c r="V85" i="8"/>
  <c r="U85" i="8"/>
  <c r="T85" i="8"/>
  <c r="S85" i="8"/>
  <c r="R85" i="8"/>
  <c r="Q85" i="8"/>
  <c r="P85" i="8"/>
  <c r="O85" i="8"/>
  <c r="N85" i="8"/>
  <c r="M85" i="8"/>
  <c r="L85" i="8"/>
  <c r="K85" i="8"/>
  <c r="J85" i="8"/>
  <c r="I85" i="8"/>
  <c r="H85" i="8"/>
  <c r="G85" i="8"/>
  <c r="F85" i="8"/>
  <c r="E85" i="8"/>
  <c r="D85" i="8"/>
  <c r="C85" i="8"/>
  <c r="B85" i="8"/>
  <c r="A85" i="8"/>
  <c r="Z84" i="8"/>
  <c r="Y84" i="8"/>
  <c r="X84" i="8"/>
  <c r="W84" i="8"/>
  <c r="V84" i="8"/>
  <c r="U84" i="8"/>
  <c r="T84" i="8"/>
  <c r="S84" i="8"/>
  <c r="R84" i="8"/>
  <c r="Q84" i="8"/>
  <c r="P84" i="8"/>
  <c r="O84" i="8"/>
  <c r="N84" i="8"/>
  <c r="M84" i="8"/>
  <c r="L84" i="8"/>
  <c r="K84" i="8"/>
  <c r="J84" i="8"/>
  <c r="I84" i="8"/>
  <c r="H84" i="8"/>
  <c r="G84" i="8"/>
  <c r="F84" i="8"/>
  <c r="E84" i="8"/>
  <c r="D84" i="8"/>
  <c r="C84" i="8"/>
  <c r="B84" i="8"/>
  <c r="A84" i="8"/>
  <c r="Z83" i="8"/>
  <c r="Y83" i="8"/>
  <c r="X83" i="8"/>
  <c r="W83" i="8"/>
  <c r="V83" i="8"/>
  <c r="U83" i="8"/>
  <c r="T83" i="8"/>
  <c r="S83" i="8"/>
  <c r="R83" i="8"/>
  <c r="Q83" i="8"/>
  <c r="P83" i="8"/>
  <c r="O83" i="8"/>
  <c r="N83" i="8"/>
  <c r="M83" i="8"/>
  <c r="L83" i="8"/>
  <c r="K83" i="8"/>
  <c r="J83" i="8"/>
  <c r="I83" i="8"/>
  <c r="H83" i="8"/>
  <c r="G83" i="8"/>
  <c r="F83" i="8"/>
  <c r="E83" i="8"/>
  <c r="D83" i="8"/>
  <c r="C83" i="8"/>
  <c r="B83" i="8"/>
  <c r="A83" i="8"/>
  <c r="Z82" i="8"/>
  <c r="Y82" i="8"/>
  <c r="X82" i="8"/>
  <c r="W82" i="8"/>
  <c r="V82" i="8"/>
  <c r="U82" i="8"/>
  <c r="T82" i="8"/>
  <c r="S82" i="8"/>
  <c r="R82" i="8"/>
  <c r="Q82" i="8"/>
  <c r="P82" i="8"/>
  <c r="O82" i="8"/>
  <c r="N82" i="8"/>
  <c r="M82" i="8"/>
  <c r="L82" i="8"/>
  <c r="K82" i="8"/>
  <c r="J82" i="8"/>
  <c r="I82" i="8"/>
  <c r="H82" i="8"/>
  <c r="G82" i="8"/>
  <c r="F82" i="8"/>
  <c r="E82" i="8"/>
  <c r="D82" i="8"/>
  <c r="C82" i="8"/>
  <c r="B82" i="8"/>
  <c r="A82" i="8"/>
  <c r="Z81" i="8"/>
  <c r="Y81" i="8"/>
  <c r="X81" i="8"/>
  <c r="W81" i="8"/>
  <c r="V81" i="8"/>
  <c r="U81" i="8"/>
  <c r="T81" i="8"/>
  <c r="S81" i="8"/>
  <c r="R81" i="8"/>
  <c r="Q81" i="8"/>
  <c r="P81" i="8"/>
  <c r="O81" i="8"/>
  <c r="N81" i="8"/>
  <c r="M81" i="8"/>
  <c r="L81" i="8"/>
  <c r="K81" i="8"/>
  <c r="J81" i="8"/>
  <c r="I81" i="8"/>
  <c r="H81" i="8"/>
  <c r="G81" i="8"/>
  <c r="F81" i="8"/>
  <c r="E81" i="8"/>
  <c r="D81" i="8"/>
  <c r="C81" i="8"/>
  <c r="B81" i="8"/>
  <c r="A81" i="8"/>
  <c r="Z80" i="8"/>
  <c r="Y80" i="8"/>
  <c r="X80" i="8"/>
  <c r="W80" i="8"/>
  <c r="V80" i="8"/>
  <c r="U80" i="8"/>
  <c r="T80" i="8"/>
  <c r="S80" i="8"/>
  <c r="R80" i="8"/>
  <c r="Q80" i="8"/>
  <c r="P80" i="8"/>
  <c r="O80" i="8"/>
  <c r="N80" i="8"/>
  <c r="M80" i="8"/>
  <c r="L80" i="8"/>
  <c r="K80" i="8"/>
  <c r="J80" i="8"/>
  <c r="I80" i="8"/>
  <c r="H80" i="8"/>
  <c r="G80" i="8"/>
  <c r="F80" i="8"/>
  <c r="E80" i="8"/>
  <c r="D80" i="8"/>
  <c r="C80" i="8"/>
  <c r="B80" i="8"/>
  <c r="A80" i="8"/>
  <c r="Z79" i="8"/>
  <c r="Y79" i="8"/>
  <c r="X79" i="8"/>
  <c r="W79" i="8"/>
  <c r="V79" i="8"/>
  <c r="U79" i="8"/>
  <c r="T79" i="8"/>
  <c r="S79" i="8"/>
  <c r="R79" i="8"/>
  <c r="Q79" i="8"/>
  <c r="P79" i="8"/>
  <c r="O79" i="8"/>
  <c r="N79" i="8"/>
  <c r="M79" i="8"/>
  <c r="L79" i="8"/>
  <c r="K79" i="8"/>
  <c r="J79" i="8"/>
  <c r="I79" i="8"/>
  <c r="H79" i="8"/>
  <c r="G79" i="8"/>
  <c r="F79" i="8"/>
  <c r="E79" i="8"/>
  <c r="D79" i="8"/>
  <c r="C79" i="8"/>
  <c r="B79" i="8"/>
  <c r="A79" i="8"/>
  <c r="Z78" i="8"/>
  <c r="Y78" i="8"/>
  <c r="X78" i="8"/>
  <c r="W78" i="8"/>
  <c r="V78" i="8"/>
  <c r="U78" i="8"/>
  <c r="T78" i="8"/>
  <c r="S78" i="8"/>
  <c r="R78" i="8"/>
  <c r="Q78" i="8"/>
  <c r="P78" i="8"/>
  <c r="O78" i="8"/>
  <c r="N78" i="8"/>
  <c r="M78" i="8"/>
  <c r="L78" i="8"/>
  <c r="K78" i="8"/>
  <c r="J78" i="8"/>
  <c r="I78" i="8"/>
  <c r="H78" i="8"/>
  <c r="G78" i="8"/>
  <c r="F78" i="8"/>
  <c r="E78" i="8"/>
  <c r="D78" i="8"/>
  <c r="C78" i="8"/>
  <c r="B78" i="8"/>
  <c r="A78" i="8"/>
  <c r="Z77" i="8"/>
  <c r="Y77" i="8"/>
  <c r="X77" i="8"/>
  <c r="W77" i="8"/>
  <c r="V77" i="8"/>
  <c r="U77" i="8"/>
  <c r="T77" i="8"/>
  <c r="S77" i="8"/>
  <c r="R77" i="8"/>
  <c r="Q77" i="8"/>
  <c r="P77" i="8"/>
  <c r="O77" i="8"/>
  <c r="N77" i="8"/>
  <c r="M77" i="8"/>
  <c r="L77" i="8"/>
  <c r="K77" i="8"/>
  <c r="J77" i="8"/>
  <c r="I77" i="8"/>
  <c r="H77" i="8"/>
  <c r="G77" i="8"/>
  <c r="F77" i="8"/>
  <c r="E77" i="8"/>
  <c r="D77" i="8"/>
  <c r="C77" i="8"/>
  <c r="B77" i="8"/>
  <c r="A77" i="8"/>
  <c r="Z76" i="8"/>
  <c r="Y76" i="8"/>
  <c r="X76" i="8"/>
  <c r="W76" i="8"/>
  <c r="V76" i="8"/>
  <c r="U76" i="8"/>
  <c r="T76" i="8"/>
  <c r="S76" i="8"/>
  <c r="R76" i="8"/>
  <c r="Q76" i="8"/>
  <c r="P76" i="8"/>
  <c r="O76" i="8"/>
  <c r="N76" i="8"/>
  <c r="M76" i="8"/>
  <c r="L76" i="8"/>
  <c r="K76" i="8"/>
  <c r="J76" i="8"/>
  <c r="I76" i="8"/>
  <c r="H76" i="8"/>
  <c r="G76" i="8"/>
  <c r="F76" i="8"/>
  <c r="E76" i="8"/>
  <c r="D76" i="8"/>
  <c r="C76" i="8"/>
  <c r="B76" i="8"/>
  <c r="A76" i="8"/>
  <c r="Z75" i="8"/>
  <c r="Y75" i="8"/>
  <c r="X75" i="8"/>
  <c r="W75" i="8"/>
  <c r="V75" i="8"/>
  <c r="U75" i="8"/>
  <c r="T75" i="8"/>
  <c r="S75" i="8"/>
  <c r="R75" i="8"/>
  <c r="Q75" i="8"/>
  <c r="P75" i="8"/>
  <c r="O75" i="8"/>
  <c r="N75" i="8"/>
  <c r="M75" i="8"/>
  <c r="L75" i="8"/>
  <c r="K75" i="8"/>
  <c r="J75" i="8"/>
  <c r="I75" i="8"/>
  <c r="H75" i="8"/>
  <c r="G75" i="8"/>
  <c r="F75" i="8"/>
  <c r="E75" i="8"/>
  <c r="D75" i="8"/>
  <c r="C75" i="8"/>
  <c r="B75" i="8"/>
  <c r="A75" i="8"/>
  <c r="Z74" i="8"/>
  <c r="Y74" i="8"/>
  <c r="X74" i="8"/>
  <c r="W74" i="8"/>
  <c r="V74" i="8"/>
  <c r="U74" i="8"/>
  <c r="T74" i="8"/>
  <c r="S74" i="8"/>
  <c r="R74" i="8"/>
  <c r="Q74" i="8"/>
  <c r="P74" i="8"/>
  <c r="O74" i="8"/>
  <c r="N74" i="8"/>
  <c r="M74" i="8"/>
  <c r="L74" i="8"/>
  <c r="K74" i="8"/>
  <c r="J74" i="8"/>
  <c r="I74" i="8"/>
  <c r="H74" i="8"/>
  <c r="G74" i="8"/>
  <c r="F74" i="8"/>
  <c r="E74" i="8"/>
  <c r="D74" i="8"/>
  <c r="C74" i="8"/>
  <c r="B74" i="8"/>
  <c r="A74" i="8"/>
  <c r="Z73" i="8"/>
  <c r="Y73" i="8"/>
  <c r="X73" i="8"/>
  <c r="W73" i="8"/>
  <c r="V73" i="8"/>
  <c r="U73" i="8"/>
  <c r="T73" i="8"/>
  <c r="S73" i="8"/>
  <c r="R73" i="8"/>
  <c r="Q73" i="8"/>
  <c r="P73" i="8"/>
  <c r="O73" i="8"/>
  <c r="N73" i="8"/>
  <c r="M73" i="8"/>
  <c r="L73" i="8"/>
  <c r="K73" i="8"/>
  <c r="J73" i="8"/>
  <c r="I73" i="8"/>
  <c r="H73" i="8"/>
  <c r="G73" i="8"/>
  <c r="F73" i="8"/>
  <c r="E73" i="8"/>
  <c r="D73" i="8"/>
  <c r="C73" i="8"/>
  <c r="B73" i="8"/>
  <c r="A73" i="8"/>
  <c r="Z72" i="8"/>
  <c r="Y72" i="8"/>
  <c r="X72" i="8"/>
  <c r="W72" i="8"/>
  <c r="V72" i="8"/>
  <c r="U72" i="8"/>
  <c r="T72" i="8"/>
  <c r="S72" i="8"/>
  <c r="R72" i="8"/>
  <c r="Q72" i="8"/>
  <c r="P72" i="8"/>
  <c r="O72" i="8"/>
  <c r="N72" i="8"/>
  <c r="M72" i="8"/>
  <c r="L72" i="8"/>
  <c r="K72" i="8"/>
  <c r="J72" i="8"/>
  <c r="I72" i="8"/>
  <c r="H72" i="8"/>
  <c r="G72" i="8"/>
  <c r="F72" i="8"/>
  <c r="E72" i="8"/>
  <c r="D72" i="8"/>
  <c r="C72" i="8"/>
  <c r="B72" i="8"/>
  <c r="A72" i="8"/>
  <c r="Z71" i="8"/>
  <c r="Y71" i="8"/>
  <c r="X71" i="8"/>
  <c r="W71" i="8"/>
  <c r="V71" i="8"/>
  <c r="U71" i="8"/>
  <c r="T71" i="8"/>
  <c r="S71" i="8"/>
  <c r="R71" i="8"/>
  <c r="Q71" i="8"/>
  <c r="P71" i="8"/>
  <c r="O71" i="8"/>
  <c r="N71" i="8"/>
  <c r="M71" i="8"/>
  <c r="L71" i="8"/>
  <c r="K71" i="8"/>
  <c r="J71" i="8"/>
  <c r="I71" i="8"/>
  <c r="H71" i="8"/>
  <c r="G71" i="8"/>
  <c r="F71" i="8"/>
  <c r="E71" i="8"/>
  <c r="D71" i="8"/>
  <c r="C71" i="8"/>
  <c r="B71" i="8"/>
  <c r="A71" i="8"/>
  <c r="Z70" i="8"/>
  <c r="Y70" i="8"/>
  <c r="X70" i="8"/>
  <c r="W70" i="8"/>
  <c r="V70" i="8"/>
  <c r="U70" i="8"/>
  <c r="T70" i="8"/>
  <c r="S70" i="8"/>
  <c r="R70" i="8"/>
  <c r="Q70" i="8"/>
  <c r="P70" i="8"/>
  <c r="O70" i="8"/>
  <c r="N70" i="8"/>
  <c r="M70" i="8"/>
  <c r="L70" i="8"/>
  <c r="K70" i="8"/>
  <c r="J70" i="8"/>
  <c r="I70" i="8"/>
  <c r="H70" i="8"/>
  <c r="G70" i="8"/>
  <c r="F70" i="8"/>
  <c r="E70" i="8"/>
  <c r="D70" i="8"/>
  <c r="C70" i="8"/>
  <c r="B70" i="8"/>
  <c r="A70" i="8"/>
  <c r="Z69" i="8"/>
  <c r="Y69" i="8"/>
  <c r="X69" i="8"/>
  <c r="W69" i="8"/>
  <c r="V69" i="8"/>
  <c r="U69" i="8"/>
  <c r="T69" i="8"/>
  <c r="S69" i="8"/>
  <c r="R69" i="8"/>
  <c r="Q69" i="8"/>
  <c r="P69" i="8"/>
  <c r="O69" i="8"/>
  <c r="N69" i="8"/>
  <c r="M69" i="8"/>
  <c r="L69" i="8"/>
  <c r="K69" i="8"/>
  <c r="J69" i="8"/>
  <c r="I69" i="8"/>
  <c r="H69" i="8"/>
  <c r="G69" i="8"/>
  <c r="F69" i="8"/>
  <c r="E69" i="8"/>
  <c r="D69" i="8"/>
  <c r="C69" i="8"/>
  <c r="B69" i="8"/>
  <c r="A69" i="8"/>
  <c r="Z68" i="8"/>
  <c r="Y68" i="8"/>
  <c r="X68" i="8"/>
  <c r="W68" i="8"/>
  <c r="V68" i="8"/>
  <c r="U68" i="8"/>
  <c r="T68" i="8"/>
  <c r="S68" i="8"/>
  <c r="R68" i="8"/>
  <c r="Q68" i="8"/>
  <c r="P68" i="8"/>
  <c r="O68" i="8"/>
  <c r="N68" i="8"/>
  <c r="M68" i="8"/>
  <c r="L68" i="8"/>
  <c r="K68" i="8"/>
  <c r="J68" i="8"/>
  <c r="I68" i="8"/>
  <c r="H68" i="8"/>
  <c r="G68" i="8"/>
  <c r="F68" i="8"/>
  <c r="E68" i="8"/>
  <c r="D68" i="8"/>
  <c r="C68" i="8"/>
  <c r="B68" i="8"/>
  <c r="A68" i="8"/>
  <c r="Z67" i="8"/>
  <c r="Y67" i="8"/>
  <c r="X67" i="8"/>
  <c r="W67" i="8"/>
  <c r="V67" i="8"/>
  <c r="U67" i="8"/>
  <c r="T67" i="8"/>
  <c r="S67" i="8"/>
  <c r="R67" i="8"/>
  <c r="Q67" i="8"/>
  <c r="P67" i="8"/>
  <c r="O67" i="8"/>
  <c r="N67" i="8"/>
  <c r="M67" i="8"/>
  <c r="L67" i="8"/>
  <c r="K67" i="8"/>
  <c r="J67" i="8"/>
  <c r="I67" i="8"/>
  <c r="H67" i="8"/>
  <c r="G67" i="8"/>
  <c r="F67" i="8"/>
  <c r="E67" i="8"/>
  <c r="D67" i="8"/>
  <c r="C67" i="8"/>
  <c r="B67" i="8"/>
  <c r="A67" i="8"/>
  <c r="Z66" i="8"/>
  <c r="Y66" i="8"/>
  <c r="X66" i="8"/>
  <c r="W66" i="8"/>
  <c r="V66" i="8"/>
  <c r="U66" i="8"/>
  <c r="T66" i="8"/>
  <c r="S66" i="8"/>
  <c r="R66" i="8"/>
  <c r="Q66" i="8"/>
  <c r="P66" i="8"/>
  <c r="O66" i="8"/>
  <c r="N66" i="8"/>
  <c r="M66" i="8"/>
  <c r="L66" i="8"/>
  <c r="K66" i="8"/>
  <c r="J66" i="8"/>
  <c r="I66" i="8"/>
  <c r="H66" i="8"/>
  <c r="G66" i="8"/>
  <c r="F66" i="8"/>
  <c r="E66" i="8"/>
  <c r="D66" i="8"/>
  <c r="C66" i="8"/>
  <c r="B66" i="8"/>
  <c r="A66" i="8"/>
  <c r="Z65" i="8"/>
  <c r="Y65" i="8"/>
  <c r="X65" i="8"/>
  <c r="W65" i="8"/>
  <c r="V65" i="8"/>
  <c r="U65" i="8"/>
  <c r="T65" i="8"/>
  <c r="S65" i="8"/>
  <c r="R65" i="8"/>
  <c r="Q65" i="8"/>
  <c r="P65" i="8"/>
  <c r="O65" i="8"/>
  <c r="N65" i="8"/>
  <c r="M65" i="8"/>
  <c r="L65" i="8"/>
  <c r="K65" i="8"/>
  <c r="J65" i="8"/>
  <c r="I65" i="8"/>
  <c r="H65" i="8"/>
  <c r="G65" i="8"/>
  <c r="F65" i="8"/>
  <c r="E65" i="8"/>
  <c r="D65" i="8"/>
  <c r="C65" i="8"/>
  <c r="B65" i="8"/>
  <c r="A65" i="8"/>
  <c r="Z64" i="8"/>
  <c r="Y64" i="8"/>
  <c r="X64" i="8"/>
  <c r="W64" i="8"/>
  <c r="V64" i="8"/>
  <c r="U64" i="8"/>
  <c r="T64" i="8"/>
  <c r="S64" i="8"/>
  <c r="R64" i="8"/>
  <c r="Q64" i="8"/>
  <c r="P64" i="8"/>
  <c r="O64" i="8"/>
  <c r="N64" i="8"/>
  <c r="M64" i="8"/>
  <c r="L64" i="8"/>
  <c r="K64" i="8"/>
  <c r="J64" i="8"/>
  <c r="I64" i="8"/>
  <c r="H64" i="8"/>
  <c r="G64" i="8"/>
  <c r="F64" i="8"/>
  <c r="E64" i="8"/>
  <c r="D64" i="8"/>
  <c r="C64" i="8"/>
  <c r="B64" i="8"/>
  <c r="A64" i="8"/>
  <c r="Z63" i="8"/>
  <c r="Y63" i="8"/>
  <c r="X63" i="8"/>
  <c r="W63" i="8"/>
  <c r="V63" i="8"/>
  <c r="U63" i="8"/>
  <c r="T63" i="8"/>
  <c r="S63" i="8"/>
  <c r="R63" i="8"/>
  <c r="Q63" i="8"/>
  <c r="P63" i="8"/>
  <c r="O63" i="8"/>
  <c r="N63" i="8"/>
  <c r="M63" i="8"/>
  <c r="L63" i="8"/>
  <c r="K63" i="8"/>
  <c r="J63" i="8"/>
  <c r="I63" i="8"/>
  <c r="H63" i="8"/>
  <c r="G63" i="8"/>
  <c r="F63" i="8"/>
  <c r="E63" i="8"/>
  <c r="D63" i="8"/>
  <c r="C63" i="8"/>
  <c r="B63" i="8"/>
  <c r="A63" i="8"/>
  <c r="Z62" i="8"/>
  <c r="Y62" i="8"/>
  <c r="X62" i="8"/>
  <c r="W62" i="8"/>
  <c r="V62" i="8"/>
  <c r="U62" i="8"/>
  <c r="T62" i="8"/>
  <c r="S62" i="8"/>
  <c r="R62" i="8"/>
  <c r="Q62" i="8"/>
  <c r="P62" i="8"/>
  <c r="O62" i="8"/>
  <c r="N62" i="8"/>
  <c r="M62" i="8"/>
  <c r="L62" i="8"/>
  <c r="K62" i="8"/>
  <c r="J62" i="8"/>
  <c r="I62" i="8"/>
  <c r="H62" i="8"/>
  <c r="G62" i="8"/>
  <c r="F62" i="8"/>
  <c r="E62" i="8"/>
  <c r="D62" i="8"/>
  <c r="C62" i="8"/>
  <c r="B62" i="8"/>
  <c r="A62" i="8"/>
  <c r="Z61" i="8"/>
  <c r="Y61" i="8"/>
  <c r="X61" i="8"/>
  <c r="W61" i="8"/>
  <c r="V61" i="8"/>
  <c r="U61" i="8"/>
  <c r="T61" i="8"/>
  <c r="S61" i="8"/>
  <c r="R61" i="8"/>
  <c r="Q61" i="8"/>
  <c r="P61" i="8"/>
  <c r="O61" i="8"/>
  <c r="N61" i="8"/>
  <c r="M61" i="8"/>
  <c r="L61" i="8"/>
  <c r="K61" i="8"/>
  <c r="J61" i="8"/>
  <c r="I61" i="8"/>
  <c r="H61" i="8"/>
  <c r="G61" i="8"/>
  <c r="F61" i="8"/>
  <c r="E61" i="8"/>
  <c r="D61" i="8"/>
  <c r="C61" i="8"/>
  <c r="B61" i="8"/>
  <c r="A61" i="8"/>
  <c r="Z60" i="8"/>
  <c r="Y60" i="8"/>
  <c r="X60" i="8"/>
  <c r="W60" i="8"/>
  <c r="V60" i="8"/>
  <c r="U60" i="8"/>
  <c r="T60" i="8"/>
  <c r="S60" i="8"/>
  <c r="R60" i="8"/>
  <c r="Q60" i="8"/>
  <c r="P60" i="8"/>
  <c r="O60" i="8"/>
  <c r="N60" i="8"/>
  <c r="M60" i="8"/>
  <c r="L60" i="8"/>
  <c r="K60" i="8"/>
  <c r="J60" i="8"/>
  <c r="I60" i="8"/>
  <c r="H60" i="8"/>
  <c r="G60" i="8"/>
  <c r="F60" i="8"/>
  <c r="E60" i="8"/>
  <c r="D60" i="8"/>
  <c r="C60" i="8"/>
  <c r="B60" i="8"/>
  <c r="A60" i="8"/>
  <c r="Z59" i="8"/>
  <c r="Y59" i="8"/>
  <c r="X59" i="8"/>
  <c r="W59" i="8"/>
  <c r="V59" i="8"/>
  <c r="U59" i="8"/>
  <c r="T59" i="8"/>
  <c r="S59" i="8"/>
  <c r="R59" i="8"/>
  <c r="Q59" i="8"/>
  <c r="P59" i="8"/>
  <c r="O59" i="8"/>
  <c r="N59" i="8"/>
  <c r="M59" i="8"/>
  <c r="L59" i="8"/>
  <c r="K59" i="8"/>
  <c r="J59" i="8"/>
  <c r="I59" i="8"/>
  <c r="H59" i="8"/>
  <c r="G59" i="8"/>
  <c r="F59" i="8"/>
  <c r="E59" i="8"/>
  <c r="D59" i="8"/>
  <c r="C59" i="8"/>
  <c r="B59" i="8"/>
  <c r="A59" i="8"/>
  <c r="Z58" i="8"/>
  <c r="Y58" i="8"/>
  <c r="X58" i="8"/>
  <c r="W58" i="8"/>
  <c r="V58" i="8"/>
  <c r="U58" i="8"/>
  <c r="T58" i="8"/>
  <c r="S58" i="8"/>
  <c r="R58" i="8"/>
  <c r="Q58" i="8"/>
  <c r="P58" i="8"/>
  <c r="O58" i="8"/>
  <c r="N58" i="8"/>
  <c r="M58" i="8"/>
  <c r="L58" i="8"/>
  <c r="K58" i="8"/>
  <c r="J58" i="8"/>
  <c r="I58" i="8"/>
  <c r="H58" i="8"/>
  <c r="G58" i="8"/>
  <c r="F58" i="8"/>
  <c r="E58" i="8"/>
  <c r="D58" i="8"/>
  <c r="C58" i="8"/>
  <c r="B58" i="8"/>
  <c r="A58" i="8"/>
  <c r="Z57" i="8"/>
  <c r="Y57" i="8"/>
  <c r="X57" i="8"/>
  <c r="W57" i="8"/>
  <c r="V57" i="8"/>
  <c r="U57" i="8"/>
  <c r="T57" i="8"/>
  <c r="S57" i="8"/>
  <c r="R57" i="8"/>
  <c r="Q57" i="8"/>
  <c r="P57" i="8"/>
  <c r="O57" i="8"/>
  <c r="N57" i="8"/>
  <c r="M57" i="8"/>
  <c r="L57" i="8"/>
  <c r="K57" i="8"/>
  <c r="J57" i="8"/>
  <c r="I57" i="8"/>
  <c r="H57" i="8"/>
  <c r="G57" i="8"/>
  <c r="F57" i="8"/>
  <c r="E57" i="8"/>
  <c r="D57" i="8"/>
  <c r="C57" i="8"/>
  <c r="B57" i="8"/>
  <c r="A57" i="8"/>
  <c r="Z56" i="8"/>
  <c r="Y56" i="8"/>
  <c r="X56" i="8"/>
  <c r="W56" i="8"/>
  <c r="V56" i="8"/>
  <c r="U56" i="8"/>
  <c r="T56" i="8"/>
  <c r="S56" i="8"/>
  <c r="R56" i="8"/>
  <c r="Q56" i="8"/>
  <c r="P56" i="8"/>
  <c r="O56" i="8"/>
  <c r="N56" i="8"/>
  <c r="M56" i="8"/>
  <c r="L56" i="8"/>
  <c r="K56" i="8"/>
  <c r="J56" i="8"/>
  <c r="I56" i="8"/>
  <c r="H56" i="8"/>
  <c r="G56" i="8"/>
  <c r="F56" i="8"/>
  <c r="E56" i="8"/>
  <c r="D56" i="8"/>
  <c r="C56" i="8"/>
  <c r="B56" i="8"/>
  <c r="A56" i="8"/>
  <c r="Z55" i="8"/>
  <c r="Y55" i="8"/>
  <c r="X55" i="8"/>
  <c r="W55" i="8"/>
  <c r="V55" i="8"/>
  <c r="U55" i="8"/>
  <c r="T55" i="8"/>
  <c r="S55" i="8"/>
  <c r="R55" i="8"/>
  <c r="Q55" i="8"/>
  <c r="P55" i="8"/>
  <c r="O55" i="8"/>
  <c r="N55" i="8"/>
  <c r="M55" i="8"/>
  <c r="L55" i="8"/>
  <c r="K55" i="8"/>
  <c r="J55" i="8"/>
  <c r="I55" i="8"/>
  <c r="H55" i="8"/>
  <c r="G55" i="8"/>
  <c r="F55" i="8"/>
  <c r="E55" i="8"/>
  <c r="D55" i="8"/>
  <c r="C55" i="8"/>
  <c r="B55" i="8"/>
  <c r="A55" i="8"/>
  <c r="Z54" i="8"/>
  <c r="Y54" i="8"/>
  <c r="X54" i="8"/>
  <c r="W54" i="8"/>
  <c r="V54" i="8"/>
  <c r="U54" i="8"/>
  <c r="T54" i="8"/>
  <c r="S54" i="8"/>
  <c r="R54" i="8"/>
  <c r="Q54" i="8"/>
  <c r="P54" i="8"/>
  <c r="O54" i="8"/>
  <c r="N54" i="8"/>
  <c r="M54" i="8"/>
  <c r="L54" i="8"/>
  <c r="K54" i="8"/>
  <c r="J54" i="8"/>
  <c r="I54" i="8"/>
  <c r="H54" i="8"/>
  <c r="G54" i="8"/>
  <c r="F54" i="8"/>
  <c r="E54" i="8"/>
  <c r="D54" i="8"/>
  <c r="C54" i="8"/>
  <c r="B54" i="8"/>
  <c r="A54" i="8"/>
  <c r="Z53" i="8"/>
  <c r="Y53" i="8"/>
  <c r="X53" i="8"/>
  <c r="W53" i="8"/>
  <c r="V53" i="8"/>
  <c r="U53" i="8"/>
  <c r="T53" i="8"/>
  <c r="S53" i="8"/>
  <c r="R53" i="8"/>
  <c r="Q53" i="8"/>
  <c r="P53" i="8"/>
  <c r="O53" i="8"/>
  <c r="N53" i="8"/>
  <c r="M53" i="8"/>
  <c r="L53" i="8"/>
  <c r="K53" i="8"/>
  <c r="J53" i="8"/>
  <c r="I53" i="8"/>
  <c r="H53" i="8"/>
  <c r="G53" i="8"/>
  <c r="F53" i="8"/>
  <c r="E53" i="8"/>
  <c r="D53" i="8"/>
  <c r="C53" i="8"/>
  <c r="B53" i="8"/>
  <c r="A53" i="8"/>
  <c r="Z52" i="8"/>
  <c r="Y52" i="8"/>
  <c r="X52" i="8"/>
  <c r="W52" i="8"/>
  <c r="V52" i="8"/>
  <c r="U52" i="8"/>
  <c r="T52" i="8"/>
  <c r="S52" i="8"/>
  <c r="R52" i="8"/>
  <c r="Q52" i="8"/>
  <c r="P52" i="8"/>
  <c r="O52" i="8"/>
  <c r="N52" i="8"/>
  <c r="M52" i="8"/>
  <c r="L52" i="8"/>
  <c r="K52" i="8"/>
  <c r="J52" i="8"/>
  <c r="I52" i="8"/>
  <c r="H52" i="8"/>
  <c r="G52" i="8"/>
  <c r="F52" i="8"/>
  <c r="E52" i="8"/>
  <c r="D52" i="8"/>
  <c r="C52" i="8"/>
  <c r="B52" i="8"/>
  <c r="A52" i="8"/>
  <c r="Z51" i="8"/>
  <c r="Y51" i="8"/>
  <c r="X51" i="8"/>
  <c r="W51" i="8"/>
  <c r="V51" i="8"/>
  <c r="U51" i="8"/>
  <c r="T51" i="8"/>
  <c r="S51" i="8"/>
  <c r="R51" i="8"/>
  <c r="Q51" i="8"/>
  <c r="P51" i="8"/>
  <c r="O51" i="8"/>
  <c r="N51" i="8"/>
  <c r="M51" i="8"/>
  <c r="L51" i="8"/>
  <c r="K51" i="8"/>
  <c r="J51" i="8"/>
  <c r="I51" i="8"/>
  <c r="H51" i="8"/>
  <c r="G51" i="8"/>
  <c r="F51" i="8"/>
  <c r="E51" i="8"/>
  <c r="D51" i="8"/>
  <c r="C51" i="8"/>
  <c r="B51" i="8"/>
  <c r="A51" i="8"/>
  <c r="Z50" i="8"/>
  <c r="Y50" i="8"/>
  <c r="X50" i="8"/>
  <c r="W50" i="8"/>
  <c r="V50" i="8"/>
  <c r="U50" i="8"/>
  <c r="T50" i="8"/>
  <c r="S50" i="8"/>
  <c r="R50" i="8"/>
  <c r="Q50" i="8"/>
  <c r="P50" i="8"/>
  <c r="O50" i="8"/>
  <c r="N50" i="8"/>
  <c r="M50" i="8"/>
  <c r="L50" i="8"/>
  <c r="K50" i="8"/>
  <c r="J50" i="8"/>
  <c r="I50" i="8"/>
  <c r="H50" i="8"/>
  <c r="G50" i="8"/>
  <c r="F50" i="8"/>
  <c r="E50" i="8"/>
  <c r="D50" i="8"/>
  <c r="C50" i="8"/>
  <c r="B50" i="8"/>
  <c r="A50" i="8"/>
  <c r="Z49" i="8"/>
  <c r="Y49" i="8"/>
  <c r="X49" i="8"/>
  <c r="W49" i="8"/>
  <c r="V49" i="8"/>
  <c r="U49" i="8"/>
  <c r="T49" i="8"/>
  <c r="S49" i="8"/>
  <c r="R49" i="8"/>
  <c r="Q49" i="8"/>
  <c r="P49" i="8"/>
  <c r="O49" i="8"/>
  <c r="N49" i="8"/>
  <c r="M49" i="8"/>
  <c r="L49" i="8"/>
  <c r="K49" i="8"/>
  <c r="J49" i="8"/>
  <c r="I49" i="8"/>
  <c r="H49" i="8"/>
  <c r="G49" i="8"/>
  <c r="F49" i="8"/>
  <c r="E49" i="8"/>
  <c r="D49" i="8"/>
  <c r="C49" i="8"/>
  <c r="B49" i="8"/>
  <c r="A49" i="8"/>
  <c r="Z48" i="8"/>
  <c r="Y48" i="8"/>
  <c r="X48" i="8"/>
  <c r="W48" i="8"/>
  <c r="V48" i="8"/>
  <c r="U48" i="8"/>
  <c r="T48" i="8"/>
  <c r="S48" i="8"/>
  <c r="R48" i="8"/>
  <c r="Q48" i="8"/>
  <c r="P48" i="8"/>
  <c r="O48" i="8"/>
  <c r="N48" i="8"/>
  <c r="M48" i="8"/>
  <c r="L48" i="8"/>
  <c r="K48" i="8"/>
  <c r="J48" i="8"/>
  <c r="I48" i="8"/>
  <c r="H48" i="8"/>
  <c r="G48" i="8"/>
  <c r="F48" i="8"/>
  <c r="E48" i="8"/>
  <c r="D48" i="8"/>
  <c r="C48" i="8"/>
  <c r="B48" i="8"/>
  <c r="A48" i="8"/>
  <c r="Z47" i="8"/>
  <c r="Y47" i="8"/>
  <c r="X47" i="8"/>
  <c r="W47" i="8"/>
  <c r="V47" i="8"/>
  <c r="U47" i="8"/>
  <c r="T47" i="8"/>
  <c r="S47" i="8"/>
  <c r="R47" i="8"/>
  <c r="Q47" i="8"/>
  <c r="P47" i="8"/>
  <c r="O47" i="8"/>
  <c r="N47" i="8"/>
  <c r="M47" i="8"/>
  <c r="L47" i="8"/>
  <c r="K47" i="8"/>
  <c r="J47" i="8"/>
  <c r="I47" i="8"/>
  <c r="H47" i="8"/>
  <c r="G47" i="8"/>
  <c r="F47" i="8"/>
  <c r="E47" i="8"/>
  <c r="D47" i="8"/>
  <c r="C47" i="8"/>
  <c r="B47" i="8"/>
  <c r="A47" i="8"/>
  <c r="Z46" i="8"/>
  <c r="Y46" i="8"/>
  <c r="X46" i="8"/>
  <c r="W46" i="8"/>
  <c r="V46" i="8"/>
  <c r="U46" i="8"/>
  <c r="T46" i="8"/>
  <c r="S46" i="8"/>
  <c r="R46" i="8"/>
  <c r="Q46" i="8"/>
  <c r="P46" i="8"/>
  <c r="O46" i="8"/>
  <c r="N46" i="8"/>
  <c r="M46" i="8"/>
  <c r="L46" i="8"/>
  <c r="K46" i="8"/>
  <c r="J46" i="8"/>
  <c r="I46" i="8"/>
  <c r="H46" i="8"/>
  <c r="G46" i="8"/>
  <c r="F46" i="8"/>
  <c r="E46" i="8"/>
  <c r="D46" i="8"/>
  <c r="C46" i="8"/>
  <c r="B46" i="8"/>
  <c r="A46" i="8"/>
  <c r="Z45" i="8"/>
  <c r="Y45" i="8"/>
  <c r="X45" i="8"/>
  <c r="W45" i="8"/>
  <c r="V45" i="8"/>
  <c r="U45" i="8"/>
  <c r="T45" i="8"/>
  <c r="S45" i="8"/>
  <c r="R45" i="8"/>
  <c r="Q45" i="8"/>
  <c r="P45" i="8"/>
  <c r="O45" i="8"/>
  <c r="N45" i="8"/>
  <c r="M45" i="8"/>
  <c r="L45" i="8"/>
  <c r="K45" i="8"/>
  <c r="J45" i="8"/>
  <c r="I45" i="8"/>
  <c r="H45" i="8"/>
  <c r="G45" i="8"/>
  <c r="F45" i="8"/>
  <c r="E45" i="8"/>
  <c r="D45" i="8"/>
  <c r="C45" i="8"/>
  <c r="B45" i="8"/>
  <c r="A45" i="8"/>
  <c r="Z44" i="8"/>
  <c r="Y44" i="8"/>
  <c r="X44" i="8"/>
  <c r="W44" i="8"/>
  <c r="V44" i="8"/>
  <c r="U44" i="8"/>
  <c r="T44" i="8"/>
  <c r="S44" i="8"/>
  <c r="R44" i="8"/>
  <c r="Q44" i="8"/>
  <c r="P44" i="8"/>
  <c r="O44" i="8"/>
  <c r="N44" i="8"/>
  <c r="M44" i="8"/>
  <c r="L44" i="8"/>
  <c r="K44" i="8"/>
  <c r="J44" i="8"/>
  <c r="I44" i="8"/>
  <c r="H44" i="8"/>
  <c r="G44" i="8"/>
  <c r="F44" i="8"/>
  <c r="E44" i="8"/>
  <c r="D44" i="8"/>
  <c r="C44" i="8"/>
  <c r="B44" i="8"/>
  <c r="A44" i="8"/>
  <c r="Z43" i="8"/>
  <c r="Y43" i="8"/>
  <c r="X43" i="8"/>
  <c r="W43" i="8"/>
  <c r="V43" i="8"/>
  <c r="U43" i="8"/>
  <c r="T43" i="8"/>
  <c r="S43" i="8"/>
  <c r="R43" i="8"/>
  <c r="Q43" i="8"/>
  <c r="P43" i="8"/>
  <c r="O43" i="8"/>
  <c r="N43" i="8"/>
  <c r="M43" i="8"/>
  <c r="L43" i="8"/>
  <c r="K43" i="8"/>
  <c r="J43" i="8"/>
  <c r="I43" i="8"/>
  <c r="H43" i="8"/>
  <c r="G43" i="8"/>
  <c r="F43" i="8"/>
  <c r="E43" i="8"/>
  <c r="D43" i="8"/>
  <c r="C43" i="8"/>
  <c r="B43" i="8"/>
  <c r="A43" i="8"/>
  <c r="Z42" i="8"/>
  <c r="Y42" i="8"/>
  <c r="X42" i="8"/>
  <c r="W42" i="8"/>
  <c r="V42" i="8"/>
  <c r="U42" i="8"/>
  <c r="T42" i="8"/>
  <c r="S42" i="8"/>
  <c r="R42" i="8"/>
  <c r="Q42" i="8"/>
  <c r="P42" i="8"/>
  <c r="O42" i="8"/>
  <c r="N42" i="8"/>
  <c r="M42" i="8"/>
  <c r="L42" i="8"/>
  <c r="K42" i="8"/>
  <c r="J42" i="8"/>
  <c r="I42" i="8"/>
  <c r="H42" i="8"/>
  <c r="G42" i="8"/>
  <c r="F42" i="8"/>
  <c r="E42" i="8"/>
  <c r="D42" i="8"/>
  <c r="C42" i="8"/>
  <c r="B42" i="8"/>
  <c r="A42" i="8"/>
  <c r="Z41" i="8"/>
  <c r="Y41" i="8"/>
  <c r="X41" i="8"/>
  <c r="W41" i="8"/>
  <c r="V41" i="8"/>
  <c r="U41" i="8"/>
  <c r="T41" i="8"/>
  <c r="S41" i="8"/>
  <c r="R41" i="8"/>
  <c r="Q41" i="8"/>
  <c r="P41" i="8"/>
  <c r="O41" i="8"/>
  <c r="N41" i="8"/>
  <c r="M41" i="8"/>
  <c r="L41" i="8"/>
  <c r="K41" i="8"/>
  <c r="J41" i="8"/>
  <c r="I41" i="8"/>
  <c r="H41" i="8"/>
  <c r="G41" i="8"/>
  <c r="F41" i="8"/>
  <c r="E41" i="8"/>
  <c r="D41" i="8"/>
  <c r="C41" i="8"/>
  <c r="B41" i="8"/>
  <c r="A41" i="8"/>
  <c r="Z40" i="8"/>
  <c r="Y40" i="8"/>
  <c r="X40" i="8"/>
  <c r="W40" i="8"/>
  <c r="V40" i="8"/>
  <c r="U40" i="8"/>
  <c r="T40" i="8"/>
  <c r="S40" i="8"/>
  <c r="R40" i="8"/>
  <c r="Q40" i="8"/>
  <c r="P40" i="8"/>
  <c r="O40" i="8"/>
  <c r="N40" i="8"/>
  <c r="M40" i="8"/>
  <c r="L40" i="8"/>
  <c r="K40" i="8"/>
  <c r="J40" i="8"/>
  <c r="I40" i="8"/>
  <c r="H40" i="8"/>
  <c r="G40" i="8"/>
  <c r="F40" i="8"/>
  <c r="E40" i="8"/>
  <c r="D40" i="8"/>
  <c r="C40" i="8"/>
  <c r="B40" i="8"/>
  <c r="A40" i="8"/>
  <c r="Z39" i="8"/>
  <c r="Y39" i="8"/>
  <c r="X39" i="8"/>
  <c r="W39" i="8"/>
  <c r="V39" i="8"/>
  <c r="U39" i="8"/>
  <c r="T39" i="8"/>
  <c r="S39" i="8"/>
  <c r="R39" i="8"/>
  <c r="Q39" i="8"/>
  <c r="P39" i="8"/>
  <c r="O39" i="8"/>
  <c r="N39" i="8"/>
  <c r="M39" i="8"/>
  <c r="L39" i="8"/>
  <c r="K39" i="8"/>
  <c r="J39" i="8"/>
  <c r="I39" i="8"/>
  <c r="H39" i="8"/>
  <c r="G39" i="8"/>
  <c r="F39" i="8"/>
  <c r="E39" i="8"/>
  <c r="D39" i="8"/>
  <c r="C39" i="8"/>
  <c r="B39" i="8"/>
  <c r="A39" i="8"/>
  <c r="Z38" i="8"/>
  <c r="Y38" i="8"/>
  <c r="X38" i="8"/>
  <c r="W38" i="8"/>
  <c r="V38" i="8"/>
  <c r="U38" i="8"/>
  <c r="T38" i="8"/>
  <c r="S38" i="8"/>
  <c r="R38" i="8"/>
  <c r="Q38" i="8"/>
  <c r="P38" i="8"/>
  <c r="O38" i="8"/>
  <c r="N38" i="8"/>
  <c r="M38" i="8"/>
  <c r="L38" i="8"/>
  <c r="K38" i="8"/>
  <c r="J38" i="8"/>
  <c r="I38" i="8"/>
  <c r="H38" i="8"/>
  <c r="G38" i="8"/>
  <c r="F38" i="8"/>
  <c r="E38" i="8"/>
  <c r="D38" i="8"/>
  <c r="C38" i="8"/>
  <c r="B38" i="8"/>
  <c r="A38" i="8"/>
  <c r="Z37" i="8"/>
  <c r="Y37" i="8"/>
  <c r="X37" i="8"/>
  <c r="W37" i="8"/>
  <c r="V37" i="8"/>
  <c r="U37" i="8"/>
  <c r="T37" i="8"/>
  <c r="S37" i="8"/>
  <c r="R37" i="8"/>
  <c r="Q37" i="8"/>
  <c r="P37" i="8"/>
  <c r="O37" i="8"/>
  <c r="N37" i="8"/>
  <c r="M37" i="8"/>
  <c r="L37" i="8"/>
  <c r="K37" i="8"/>
  <c r="J37" i="8"/>
  <c r="I37" i="8"/>
  <c r="H37" i="8"/>
  <c r="G37" i="8"/>
  <c r="F37" i="8"/>
  <c r="E37" i="8"/>
  <c r="D37" i="8"/>
  <c r="C37" i="8"/>
  <c r="B37" i="8"/>
  <c r="A37" i="8"/>
  <c r="Z36" i="8"/>
  <c r="Y36" i="8"/>
  <c r="X36" i="8"/>
  <c r="W36" i="8"/>
  <c r="V36" i="8"/>
  <c r="U36" i="8"/>
  <c r="T36" i="8"/>
  <c r="S36" i="8"/>
  <c r="R36" i="8"/>
  <c r="Q36" i="8"/>
  <c r="P36" i="8"/>
  <c r="O36" i="8"/>
  <c r="N36" i="8"/>
  <c r="M36" i="8"/>
  <c r="L36" i="8"/>
  <c r="K36" i="8"/>
  <c r="J36" i="8"/>
  <c r="I36" i="8"/>
  <c r="H36" i="8"/>
  <c r="G36" i="8"/>
  <c r="F36" i="8"/>
  <c r="E36" i="8"/>
  <c r="D36" i="8"/>
  <c r="C36" i="8"/>
  <c r="B36" i="8"/>
  <c r="A36" i="8"/>
  <c r="Z35" i="8"/>
  <c r="Y35" i="8"/>
  <c r="X35" i="8"/>
  <c r="W35" i="8"/>
  <c r="V35" i="8"/>
  <c r="U35" i="8"/>
  <c r="T35" i="8"/>
  <c r="S35" i="8"/>
  <c r="R35" i="8"/>
  <c r="Q35" i="8"/>
  <c r="P35" i="8"/>
  <c r="O35" i="8"/>
  <c r="N35" i="8"/>
  <c r="M35" i="8"/>
  <c r="L35" i="8"/>
  <c r="K35" i="8"/>
  <c r="J35" i="8"/>
  <c r="I35" i="8"/>
  <c r="H35" i="8"/>
  <c r="G35" i="8"/>
  <c r="F35" i="8"/>
  <c r="E35" i="8"/>
  <c r="D35" i="8"/>
  <c r="C35" i="8"/>
  <c r="B35" i="8"/>
  <c r="A35" i="8"/>
  <c r="Z34" i="8"/>
  <c r="Y34" i="8"/>
  <c r="X34" i="8"/>
  <c r="W34" i="8"/>
  <c r="V34" i="8"/>
  <c r="U34" i="8"/>
  <c r="T34" i="8"/>
  <c r="S34" i="8"/>
  <c r="R34" i="8"/>
  <c r="Q34" i="8"/>
  <c r="P34" i="8"/>
  <c r="O34" i="8"/>
  <c r="N34" i="8"/>
  <c r="M34" i="8"/>
  <c r="L34" i="8"/>
  <c r="K34" i="8"/>
  <c r="J34" i="8"/>
  <c r="I34" i="8"/>
  <c r="H34" i="8"/>
  <c r="G34" i="8"/>
  <c r="F34" i="8"/>
  <c r="E34" i="8"/>
  <c r="D34" i="8"/>
  <c r="C34" i="8"/>
  <c r="B34" i="8"/>
  <c r="A34" i="8"/>
  <c r="Z33" i="8"/>
  <c r="Y33" i="8"/>
  <c r="X33" i="8"/>
  <c r="W33" i="8"/>
  <c r="V33" i="8"/>
  <c r="U33" i="8"/>
  <c r="T33" i="8"/>
  <c r="S33" i="8"/>
  <c r="R33" i="8"/>
  <c r="Q33" i="8"/>
  <c r="P33" i="8"/>
  <c r="O33" i="8"/>
  <c r="N33" i="8"/>
  <c r="M33" i="8"/>
  <c r="L33" i="8"/>
  <c r="K33" i="8"/>
  <c r="J33" i="8"/>
  <c r="I33" i="8"/>
  <c r="H33" i="8"/>
  <c r="G33" i="8"/>
  <c r="F33" i="8"/>
  <c r="E33" i="8"/>
  <c r="D33" i="8"/>
  <c r="C33" i="8"/>
  <c r="B33" i="8"/>
  <c r="A33" i="8"/>
  <c r="Z32" i="8"/>
  <c r="Y32" i="8"/>
  <c r="X32" i="8"/>
  <c r="W32" i="8"/>
  <c r="V32" i="8"/>
  <c r="U32" i="8"/>
  <c r="T32" i="8"/>
  <c r="S32" i="8"/>
  <c r="R32" i="8"/>
  <c r="Q32" i="8"/>
  <c r="P32" i="8"/>
  <c r="O32" i="8"/>
  <c r="N32" i="8"/>
  <c r="M32" i="8"/>
  <c r="L32" i="8"/>
  <c r="K32" i="8"/>
  <c r="J32" i="8"/>
  <c r="I32" i="8"/>
  <c r="H32" i="8"/>
  <c r="G32" i="8"/>
  <c r="F32" i="8"/>
  <c r="E32" i="8"/>
  <c r="D32" i="8"/>
  <c r="C32" i="8"/>
  <c r="B32" i="8"/>
  <c r="A32" i="8"/>
  <c r="Z31" i="8"/>
  <c r="Y31" i="8"/>
  <c r="X31" i="8"/>
  <c r="W31" i="8"/>
  <c r="V31" i="8"/>
  <c r="U31" i="8"/>
  <c r="T31" i="8"/>
  <c r="S31" i="8"/>
  <c r="R31" i="8"/>
  <c r="Q31" i="8"/>
  <c r="P31" i="8"/>
  <c r="O31" i="8"/>
  <c r="N31" i="8"/>
  <c r="M31" i="8"/>
  <c r="L31" i="8"/>
  <c r="K31" i="8"/>
  <c r="J31" i="8"/>
  <c r="I31" i="8"/>
  <c r="H31" i="8"/>
  <c r="G31" i="8"/>
  <c r="F31" i="8"/>
  <c r="E31" i="8"/>
  <c r="D31" i="8"/>
  <c r="C31" i="8"/>
  <c r="B31" i="8"/>
  <c r="A31" i="8"/>
  <c r="Z30" i="8"/>
  <c r="Y30" i="8"/>
  <c r="X30" i="8"/>
  <c r="W30" i="8"/>
  <c r="V30" i="8"/>
  <c r="U30" i="8"/>
  <c r="T30" i="8"/>
  <c r="S30" i="8"/>
  <c r="R30" i="8"/>
  <c r="Q30" i="8"/>
  <c r="P30" i="8"/>
  <c r="O30" i="8"/>
  <c r="N30" i="8"/>
  <c r="M30" i="8"/>
  <c r="L30" i="8"/>
  <c r="K30" i="8"/>
  <c r="J30" i="8"/>
  <c r="I30" i="8"/>
  <c r="H30" i="8"/>
  <c r="G30" i="8"/>
  <c r="F30" i="8"/>
  <c r="E30" i="8"/>
  <c r="D30" i="8"/>
  <c r="C30" i="8"/>
  <c r="B30" i="8"/>
  <c r="A30" i="8"/>
  <c r="Z29" i="8"/>
  <c r="Y29" i="8"/>
  <c r="X29" i="8"/>
  <c r="W29" i="8"/>
  <c r="V29" i="8"/>
  <c r="U29" i="8"/>
  <c r="T29" i="8"/>
  <c r="S29" i="8"/>
  <c r="R29" i="8"/>
  <c r="Q29" i="8"/>
  <c r="P29" i="8"/>
  <c r="O29" i="8"/>
  <c r="N29" i="8"/>
  <c r="M29" i="8"/>
  <c r="L29" i="8"/>
  <c r="K29" i="8"/>
  <c r="J29" i="8"/>
  <c r="I29" i="8"/>
  <c r="H29" i="8"/>
  <c r="G29" i="8"/>
  <c r="F29" i="8"/>
  <c r="E29" i="8"/>
  <c r="D29" i="8"/>
  <c r="C29" i="8"/>
  <c r="B29" i="8"/>
  <c r="A29" i="8"/>
  <c r="Z28" i="8"/>
  <c r="Y28" i="8"/>
  <c r="X28" i="8"/>
  <c r="W28" i="8"/>
  <c r="V28" i="8"/>
  <c r="U28" i="8"/>
  <c r="T28" i="8"/>
  <c r="S28" i="8"/>
  <c r="R28" i="8"/>
  <c r="Q28" i="8"/>
  <c r="P28" i="8"/>
  <c r="O28" i="8"/>
  <c r="N28" i="8"/>
  <c r="M28" i="8"/>
  <c r="L28" i="8"/>
  <c r="K28" i="8"/>
  <c r="J28" i="8"/>
  <c r="I28" i="8"/>
  <c r="H28" i="8"/>
  <c r="G28" i="8"/>
  <c r="F28" i="8"/>
  <c r="E28" i="8"/>
  <c r="D28" i="8"/>
  <c r="C28" i="8"/>
  <c r="B28" i="8"/>
  <c r="A28" i="8"/>
  <c r="Z27" i="8"/>
  <c r="Y27" i="8"/>
  <c r="X27" i="8"/>
  <c r="W27" i="8"/>
  <c r="V27" i="8"/>
  <c r="U27" i="8"/>
  <c r="T27" i="8"/>
  <c r="S27" i="8"/>
  <c r="R27" i="8"/>
  <c r="Q27" i="8"/>
  <c r="P27" i="8"/>
  <c r="O27" i="8"/>
  <c r="N27" i="8"/>
  <c r="M27" i="8"/>
  <c r="L27" i="8"/>
  <c r="K27" i="8"/>
  <c r="J27" i="8"/>
  <c r="I27" i="8"/>
  <c r="H27" i="8"/>
  <c r="G27" i="8"/>
  <c r="F27" i="8"/>
  <c r="E27" i="8"/>
  <c r="D27" i="8"/>
  <c r="C27" i="8"/>
  <c r="B27" i="8"/>
  <c r="A27" i="8"/>
  <c r="Z26" i="8"/>
  <c r="Y26" i="8"/>
  <c r="X26" i="8"/>
  <c r="W26" i="8"/>
  <c r="V26" i="8"/>
  <c r="U26" i="8"/>
  <c r="T26" i="8"/>
  <c r="S26" i="8"/>
  <c r="R26" i="8"/>
  <c r="Q26" i="8"/>
  <c r="P26" i="8"/>
  <c r="O26" i="8"/>
  <c r="N26" i="8"/>
  <c r="M26" i="8"/>
  <c r="L26" i="8"/>
  <c r="K26" i="8"/>
  <c r="J26" i="8"/>
  <c r="I26" i="8"/>
  <c r="H26" i="8"/>
  <c r="G26" i="8"/>
  <c r="F26" i="8"/>
  <c r="E26" i="8"/>
  <c r="D26" i="8"/>
  <c r="C26" i="8"/>
  <c r="B26" i="8"/>
  <c r="A26" i="8"/>
  <c r="Z25" i="8"/>
  <c r="Y25" i="8"/>
  <c r="X25" i="8"/>
  <c r="W25" i="8"/>
  <c r="V25" i="8"/>
  <c r="U25" i="8"/>
  <c r="T25" i="8"/>
  <c r="S25" i="8"/>
  <c r="R25" i="8"/>
  <c r="Q25" i="8"/>
  <c r="P25" i="8"/>
  <c r="O25" i="8"/>
  <c r="N25" i="8"/>
  <c r="M25" i="8"/>
  <c r="L25" i="8"/>
  <c r="K25" i="8"/>
  <c r="J25" i="8"/>
  <c r="I25" i="8"/>
  <c r="H25" i="8"/>
  <c r="G25" i="8"/>
  <c r="F25" i="8"/>
  <c r="E25" i="8"/>
  <c r="D25" i="8"/>
  <c r="C25" i="8"/>
  <c r="B25" i="8"/>
  <c r="A25" i="8"/>
  <c r="Z24" i="8"/>
  <c r="Y24" i="8"/>
  <c r="X24" i="8"/>
  <c r="W24" i="8"/>
  <c r="V24" i="8"/>
  <c r="U24" i="8"/>
  <c r="T24" i="8"/>
  <c r="S24" i="8"/>
  <c r="R24" i="8"/>
  <c r="Q24" i="8"/>
  <c r="P24" i="8"/>
  <c r="O24" i="8"/>
  <c r="N24" i="8"/>
  <c r="M24" i="8"/>
  <c r="L24" i="8"/>
  <c r="K24" i="8"/>
  <c r="J24" i="8"/>
  <c r="I24" i="8"/>
  <c r="H24" i="8"/>
  <c r="G24" i="8"/>
  <c r="F24" i="8"/>
  <c r="E24" i="8"/>
  <c r="D24" i="8"/>
  <c r="C24" i="8"/>
  <c r="B24" i="8"/>
  <c r="A24" i="8"/>
  <c r="Z23" i="8"/>
  <c r="Y23" i="8"/>
  <c r="X23" i="8"/>
  <c r="W23" i="8"/>
  <c r="V23" i="8"/>
  <c r="U23" i="8"/>
  <c r="T23" i="8"/>
  <c r="S23" i="8"/>
  <c r="R23" i="8"/>
  <c r="Q23" i="8"/>
  <c r="P23" i="8"/>
  <c r="O23" i="8"/>
  <c r="N23" i="8"/>
  <c r="M23" i="8"/>
  <c r="L23" i="8"/>
  <c r="K23" i="8"/>
  <c r="J23" i="8"/>
  <c r="I23" i="8"/>
  <c r="H23" i="8"/>
  <c r="G23" i="8"/>
  <c r="F23" i="8"/>
  <c r="E23" i="8"/>
  <c r="D23" i="8"/>
  <c r="C23" i="8"/>
  <c r="B23" i="8"/>
  <c r="A23" i="8"/>
  <c r="Z22" i="8"/>
  <c r="Y22" i="8"/>
  <c r="X22" i="8"/>
  <c r="W22" i="8"/>
  <c r="V22" i="8"/>
  <c r="U22" i="8"/>
  <c r="T22" i="8"/>
  <c r="S22" i="8"/>
  <c r="R22" i="8"/>
  <c r="Q22" i="8"/>
  <c r="P22" i="8"/>
  <c r="O22" i="8"/>
  <c r="N22" i="8"/>
  <c r="M22" i="8"/>
  <c r="L22" i="8"/>
  <c r="K22" i="8"/>
  <c r="J22" i="8"/>
  <c r="I22" i="8"/>
  <c r="H22" i="8"/>
  <c r="G22" i="8"/>
  <c r="F22" i="8"/>
  <c r="E22" i="8"/>
  <c r="D22" i="8"/>
  <c r="C22" i="8"/>
  <c r="B22" i="8"/>
  <c r="A22" i="8"/>
  <c r="Z21" i="8"/>
  <c r="Y21" i="8"/>
  <c r="X21" i="8"/>
  <c r="W21" i="8"/>
  <c r="V21" i="8"/>
  <c r="U21" i="8"/>
  <c r="T21" i="8"/>
  <c r="S21" i="8"/>
  <c r="R21" i="8"/>
  <c r="Q21" i="8"/>
  <c r="P21" i="8"/>
  <c r="O21" i="8"/>
  <c r="N21" i="8"/>
  <c r="M21" i="8"/>
  <c r="L21" i="8"/>
  <c r="K21" i="8"/>
  <c r="J21" i="8"/>
  <c r="I21" i="8"/>
  <c r="H21" i="8"/>
  <c r="G21" i="8"/>
  <c r="F21" i="8"/>
  <c r="E21" i="8"/>
  <c r="D21" i="8"/>
  <c r="C21" i="8"/>
  <c r="B21" i="8"/>
  <c r="A21" i="8"/>
  <c r="Z20" i="8"/>
  <c r="Y20" i="8"/>
  <c r="X20" i="8"/>
  <c r="W20" i="8"/>
  <c r="V20" i="8"/>
  <c r="U20" i="8"/>
  <c r="T20" i="8"/>
  <c r="S20" i="8"/>
  <c r="R20" i="8"/>
  <c r="Q20" i="8"/>
  <c r="P20" i="8"/>
  <c r="O20" i="8"/>
  <c r="N20" i="8"/>
  <c r="M20" i="8"/>
  <c r="L20" i="8"/>
  <c r="K20" i="8"/>
  <c r="J20" i="8"/>
  <c r="I20" i="8"/>
  <c r="H20" i="8"/>
  <c r="G20" i="8"/>
  <c r="F20" i="8"/>
  <c r="E20" i="8"/>
  <c r="D20" i="8"/>
  <c r="C20" i="8"/>
  <c r="B20" i="8"/>
  <c r="A20" i="8"/>
  <c r="Z19" i="8"/>
  <c r="Y19" i="8"/>
  <c r="X19" i="8"/>
  <c r="W19" i="8"/>
  <c r="V19" i="8"/>
  <c r="U19" i="8"/>
  <c r="T19" i="8"/>
  <c r="S19" i="8"/>
  <c r="R19" i="8"/>
  <c r="Q19" i="8"/>
  <c r="P19" i="8"/>
  <c r="O19" i="8"/>
  <c r="N19" i="8"/>
  <c r="M19" i="8"/>
  <c r="L19" i="8"/>
  <c r="K19" i="8"/>
  <c r="J19" i="8"/>
  <c r="I19" i="8"/>
  <c r="H19" i="8"/>
  <c r="G19" i="8"/>
  <c r="F19" i="8"/>
  <c r="E19" i="8"/>
  <c r="D19" i="8"/>
  <c r="C19" i="8"/>
  <c r="B19" i="8"/>
  <c r="A19" i="8"/>
  <c r="Z18" i="8"/>
  <c r="Y18" i="8"/>
  <c r="X18" i="8"/>
  <c r="W18" i="8"/>
  <c r="V18" i="8"/>
  <c r="U18" i="8"/>
  <c r="T18" i="8"/>
  <c r="S18" i="8"/>
  <c r="R18" i="8"/>
  <c r="Q18" i="8"/>
  <c r="P18" i="8"/>
  <c r="O18" i="8"/>
  <c r="N18" i="8"/>
  <c r="M18" i="8"/>
  <c r="L18" i="8"/>
  <c r="K18" i="8"/>
  <c r="J18" i="8"/>
  <c r="I18" i="8"/>
  <c r="H18" i="8"/>
  <c r="G18" i="8"/>
  <c r="F18" i="8"/>
  <c r="E18" i="8"/>
  <c r="D18" i="8"/>
  <c r="C18" i="8"/>
  <c r="B18" i="8"/>
  <c r="A18" i="8"/>
  <c r="Z17" i="8"/>
  <c r="Y17" i="8"/>
  <c r="X17" i="8"/>
  <c r="W17" i="8"/>
  <c r="V17" i="8"/>
  <c r="U17" i="8"/>
  <c r="T17" i="8"/>
  <c r="S17" i="8"/>
  <c r="R17" i="8"/>
  <c r="Q17" i="8"/>
  <c r="P17" i="8"/>
  <c r="O17" i="8"/>
  <c r="N17" i="8"/>
  <c r="M17" i="8"/>
  <c r="L17" i="8"/>
  <c r="K17" i="8"/>
  <c r="J17" i="8"/>
  <c r="I17" i="8"/>
  <c r="H17" i="8"/>
  <c r="G17" i="8"/>
  <c r="F17" i="8"/>
  <c r="E17" i="8"/>
  <c r="D17" i="8"/>
  <c r="C17" i="8"/>
  <c r="B17" i="8"/>
  <c r="A17" i="8"/>
  <c r="Z16" i="8"/>
  <c r="Y16" i="8"/>
  <c r="X16" i="8"/>
  <c r="W16" i="8"/>
  <c r="V16" i="8"/>
  <c r="U16" i="8"/>
  <c r="T16" i="8"/>
  <c r="S16" i="8"/>
  <c r="R16" i="8"/>
  <c r="Q16" i="8"/>
  <c r="P16" i="8"/>
  <c r="O16" i="8"/>
  <c r="N16" i="8"/>
  <c r="M16" i="8"/>
  <c r="L16" i="8"/>
  <c r="K16" i="8"/>
  <c r="J16" i="8"/>
  <c r="I16" i="8"/>
  <c r="H16" i="8"/>
  <c r="G16" i="8"/>
  <c r="F16" i="8"/>
  <c r="E16" i="8"/>
  <c r="D16" i="8"/>
  <c r="C16" i="8"/>
  <c r="B16" i="8"/>
  <c r="A16" i="8"/>
  <c r="Z15" i="8"/>
  <c r="Y15" i="8"/>
  <c r="X15" i="8"/>
  <c r="W15" i="8"/>
  <c r="V15" i="8"/>
  <c r="U15" i="8"/>
  <c r="T15" i="8"/>
  <c r="S15" i="8"/>
  <c r="R15" i="8"/>
  <c r="Q15" i="8"/>
  <c r="P15" i="8"/>
  <c r="O15" i="8"/>
  <c r="N15" i="8"/>
  <c r="M15" i="8"/>
  <c r="L15" i="8"/>
  <c r="K15" i="8"/>
  <c r="J15" i="8"/>
  <c r="I15" i="8"/>
  <c r="H15" i="8"/>
  <c r="G15" i="8"/>
  <c r="F15" i="8"/>
  <c r="E15" i="8"/>
  <c r="D15" i="8"/>
  <c r="C15" i="8"/>
  <c r="B15" i="8"/>
  <c r="A15" i="8"/>
  <c r="Z14" i="8"/>
  <c r="Y14" i="8"/>
  <c r="X14" i="8"/>
  <c r="W14" i="8"/>
  <c r="V14" i="8"/>
  <c r="U14" i="8"/>
  <c r="T14" i="8"/>
  <c r="S14" i="8"/>
  <c r="R14" i="8"/>
  <c r="Q14" i="8"/>
  <c r="P14" i="8"/>
  <c r="O14" i="8"/>
  <c r="N14" i="8"/>
  <c r="M14" i="8"/>
  <c r="L14" i="8"/>
  <c r="K14" i="8"/>
  <c r="J14" i="8"/>
  <c r="I14" i="8"/>
  <c r="H14" i="8"/>
  <c r="G14" i="8"/>
  <c r="F14" i="8"/>
  <c r="E14" i="8"/>
  <c r="D14" i="8"/>
  <c r="C14" i="8"/>
  <c r="B14" i="8"/>
  <c r="A14" i="8"/>
  <c r="Z13" i="8"/>
  <c r="Y13" i="8"/>
  <c r="X13" i="8"/>
  <c r="W13" i="8"/>
  <c r="V13" i="8"/>
  <c r="U13" i="8"/>
  <c r="T13" i="8"/>
  <c r="S13" i="8"/>
  <c r="R13" i="8"/>
  <c r="Q13" i="8"/>
  <c r="P13" i="8"/>
  <c r="O13" i="8"/>
  <c r="N13" i="8"/>
  <c r="M13" i="8"/>
  <c r="L13" i="8"/>
  <c r="K13" i="8"/>
  <c r="J13" i="8"/>
  <c r="I13" i="8"/>
  <c r="H13" i="8"/>
  <c r="G13" i="8"/>
  <c r="F13" i="8"/>
  <c r="E13" i="8"/>
  <c r="D13" i="8"/>
  <c r="C13" i="8"/>
  <c r="B13" i="8"/>
  <c r="A13" i="8"/>
  <c r="Z12" i="8"/>
  <c r="Y12" i="8"/>
  <c r="X12" i="8"/>
  <c r="W12" i="8"/>
  <c r="V12" i="8"/>
  <c r="U12" i="8"/>
  <c r="T12" i="8"/>
  <c r="S12" i="8"/>
  <c r="R12" i="8"/>
  <c r="Q12" i="8"/>
  <c r="P12" i="8"/>
  <c r="O12" i="8"/>
  <c r="N12" i="8"/>
  <c r="M12" i="8"/>
  <c r="L12" i="8"/>
  <c r="K12" i="8"/>
  <c r="J12" i="8"/>
  <c r="I12" i="8"/>
  <c r="H12" i="8"/>
  <c r="G12" i="8"/>
  <c r="F12" i="8"/>
  <c r="E12" i="8"/>
  <c r="D12" i="8"/>
  <c r="C12" i="8"/>
  <c r="B12" i="8"/>
  <c r="A12" i="8"/>
  <c r="Z11" i="8"/>
  <c r="Y11" i="8"/>
  <c r="X11" i="8"/>
  <c r="W11" i="8"/>
  <c r="V11" i="8"/>
  <c r="U11" i="8"/>
  <c r="T11" i="8"/>
  <c r="S11" i="8"/>
  <c r="R11" i="8"/>
  <c r="Q11" i="8"/>
  <c r="P11" i="8"/>
  <c r="O11" i="8"/>
  <c r="N11" i="8"/>
  <c r="M11" i="8"/>
  <c r="L11" i="8"/>
  <c r="K11" i="8"/>
  <c r="J11" i="8"/>
  <c r="I11" i="8"/>
  <c r="H11" i="8"/>
  <c r="G11" i="8"/>
  <c r="F11" i="8"/>
  <c r="E11" i="8"/>
  <c r="D11" i="8"/>
  <c r="C11" i="8"/>
  <c r="B11" i="8"/>
  <c r="A11" i="8"/>
  <c r="Z10" i="8"/>
  <c r="Y10" i="8"/>
  <c r="X10" i="8"/>
  <c r="W10" i="8"/>
  <c r="V10" i="8"/>
  <c r="U10" i="8"/>
  <c r="T10" i="8"/>
  <c r="S10" i="8"/>
  <c r="R10" i="8"/>
  <c r="Q10" i="8"/>
  <c r="P10" i="8"/>
  <c r="O10" i="8"/>
  <c r="N10" i="8"/>
  <c r="M10" i="8"/>
  <c r="L10" i="8"/>
  <c r="K10" i="8"/>
  <c r="J10" i="8"/>
  <c r="I10" i="8"/>
  <c r="H10" i="8"/>
  <c r="G10" i="8"/>
  <c r="F10" i="8"/>
  <c r="E10" i="8"/>
  <c r="D10" i="8"/>
  <c r="C10" i="8"/>
  <c r="B10" i="8"/>
  <c r="A10" i="8"/>
  <c r="Z9" i="8"/>
  <c r="Y9" i="8"/>
  <c r="X9" i="8"/>
  <c r="W9" i="8"/>
  <c r="V9" i="8"/>
  <c r="U9" i="8"/>
  <c r="T9" i="8"/>
  <c r="S9" i="8"/>
  <c r="R9" i="8"/>
  <c r="Q9" i="8"/>
  <c r="P9" i="8"/>
  <c r="O9" i="8"/>
  <c r="N9" i="8"/>
  <c r="M9" i="8"/>
  <c r="L9" i="8"/>
  <c r="K9" i="8"/>
  <c r="J9" i="8"/>
  <c r="I9" i="8"/>
  <c r="H9" i="8"/>
  <c r="G9" i="8"/>
  <c r="F9" i="8"/>
  <c r="E9" i="8"/>
  <c r="D9" i="8"/>
  <c r="C9" i="8"/>
  <c r="B9" i="8"/>
  <c r="A9" i="8"/>
  <c r="Z8" i="8"/>
  <c r="Y8" i="8"/>
  <c r="X8" i="8"/>
  <c r="W8" i="8"/>
  <c r="V8" i="8"/>
  <c r="U8" i="8"/>
  <c r="T8" i="8"/>
  <c r="S8" i="8"/>
  <c r="R8" i="8"/>
  <c r="Q8" i="8"/>
  <c r="P8" i="8"/>
  <c r="O8" i="8"/>
  <c r="N8" i="8"/>
  <c r="M8" i="8"/>
  <c r="L8" i="8"/>
  <c r="K8" i="8"/>
  <c r="J8" i="8"/>
  <c r="I8" i="8"/>
  <c r="H8" i="8"/>
  <c r="G8" i="8"/>
  <c r="F8" i="8"/>
  <c r="E8" i="8"/>
  <c r="D8" i="8"/>
  <c r="C8" i="8"/>
  <c r="B8" i="8"/>
  <c r="A8" i="8"/>
  <c r="Z7" i="8"/>
  <c r="Y7" i="8"/>
  <c r="X7" i="8"/>
  <c r="W7" i="8"/>
  <c r="V7" i="8"/>
  <c r="U7" i="8"/>
  <c r="T7" i="8"/>
  <c r="S7" i="8"/>
  <c r="R7" i="8"/>
  <c r="Q7" i="8"/>
  <c r="P7" i="8"/>
  <c r="O7" i="8"/>
  <c r="N7" i="8"/>
  <c r="M7" i="8"/>
  <c r="L7" i="8"/>
  <c r="K7" i="8"/>
  <c r="J7" i="8"/>
  <c r="I7" i="8"/>
  <c r="H7" i="8"/>
  <c r="G7" i="8"/>
  <c r="F7" i="8"/>
  <c r="E7" i="8"/>
  <c r="D7" i="8"/>
  <c r="C7" i="8"/>
  <c r="B7" i="8"/>
  <c r="A7" i="8"/>
  <c r="Z6" i="8"/>
  <c r="Y6" i="8"/>
  <c r="X6" i="8"/>
  <c r="W6" i="8"/>
  <c r="V6" i="8"/>
  <c r="U6" i="8"/>
  <c r="T6" i="8"/>
  <c r="S6" i="8"/>
  <c r="R6" i="8"/>
  <c r="Q6" i="8"/>
  <c r="P6" i="8"/>
  <c r="O6" i="8"/>
  <c r="N6" i="8"/>
  <c r="M6" i="8"/>
  <c r="L6" i="8"/>
  <c r="K6" i="8"/>
  <c r="J6" i="8"/>
  <c r="I6" i="8"/>
  <c r="H6" i="8"/>
  <c r="G6" i="8"/>
  <c r="F6" i="8"/>
  <c r="E6" i="8"/>
  <c r="D6" i="8"/>
  <c r="C6" i="8"/>
  <c r="B6" i="8"/>
  <c r="A6" i="8"/>
  <c r="Z5" i="8"/>
  <c r="Y5" i="8"/>
  <c r="X5" i="8"/>
  <c r="W5" i="8"/>
  <c r="V5" i="8"/>
  <c r="U5" i="8"/>
  <c r="T5" i="8"/>
  <c r="S5" i="8"/>
  <c r="R5" i="8"/>
  <c r="Q5" i="8"/>
  <c r="P5" i="8"/>
  <c r="O5" i="8"/>
  <c r="N5" i="8"/>
  <c r="M5" i="8"/>
  <c r="L5" i="8"/>
  <c r="K5" i="8"/>
  <c r="J5" i="8"/>
  <c r="I5" i="8"/>
  <c r="H5" i="8"/>
  <c r="G5" i="8"/>
  <c r="F5" i="8"/>
  <c r="E5" i="8"/>
  <c r="D5" i="8"/>
  <c r="C5" i="8"/>
  <c r="B5" i="8"/>
  <c r="A5" i="8"/>
  <c r="Z4" i="8"/>
  <c r="Y4" i="8"/>
  <c r="X4" i="8"/>
  <c r="W4" i="8"/>
  <c r="V4" i="8"/>
  <c r="U4" i="8"/>
  <c r="T4" i="8"/>
  <c r="S4" i="8"/>
  <c r="R4" i="8"/>
  <c r="Q4" i="8"/>
  <c r="P4" i="8"/>
  <c r="O4" i="8"/>
  <c r="N4" i="8"/>
  <c r="M4" i="8"/>
  <c r="L4" i="8"/>
  <c r="K4" i="8"/>
  <c r="J4" i="8"/>
  <c r="I4" i="8"/>
  <c r="H4" i="8"/>
  <c r="G4" i="8"/>
  <c r="F4" i="8"/>
  <c r="E4" i="8"/>
  <c r="D4" i="8"/>
  <c r="C4" i="8"/>
  <c r="B4" i="8"/>
  <c r="A4" i="8"/>
  <c r="Z3" i="8"/>
  <c r="Y3" i="8"/>
  <c r="X3" i="8"/>
  <c r="W3" i="8"/>
  <c r="V3" i="8"/>
  <c r="U3" i="8"/>
  <c r="T3" i="8"/>
  <c r="S3" i="8"/>
  <c r="R3" i="8"/>
  <c r="Q3" i="8"/>
  <c r="P3" i="8"/>
  <c r="O3" i="8"/>
  <c r="N3" i="8"/>
  <c r="M3" i="8"/>
  <c r="L3" i="8"/>
  <c r="K3" i="8"/>
  <c r="J3" i="8"/>
  <c r="I3" i="8"/>
  <c r="H3" i="8"/>
  <c r="G3" i="8"/>
  <c r="F3" i="8"/>
  <c r="E3" i="8"/>
  <c r="D3" i="8"/>
  <c r="C3" i="8"/>
  <c r="B3" i="8"/>
  <c r="A3" i="8"/>
  <c r="Z2" i="8"/>
  <c r="Y2" i="8"/>
  <c r="X2" i="8"/>
  <c r="W2" i="8"/>
  <c r="V2" i="8"/>
  <c r="U2" i="8"/>
  <c r="T2" i="8"/>
  <c r="S2" i="8"/>
  <c r="R2" i="8"/>
  <c r="Q2" i="8"/>
  <c r="P2" i="8"/>
  <c r="O2" i="8"/>
  <c r="N2" i="8"/>
  <c r="M2" i="8"/>
  <c r="L2" i="8"/>
  <c r="K2" i="8"/>
  <c r="J2" i="8"/>
  <c r="I2" i="8"/>
  <c r="H2" i="8"/>
  <c r="G2" i="8"/>
  <c r="F2" i="8"/>
  <c r="E2" i="8"/>
  <c r="D2" i="8"/>
  <c r="C2" i="8"/>
  <c r="B2" i="8"/>
  <c r="A2" i="8"/>
  <c r="Z1" i="8"/>
  <c r="Y1" i="8"/>
  <c r="X1" i="8"/>
  <c r="W1" i="8"/>
  <c r="V1" i="8"/>
  <c r="U1" i="8"/>
  <c r="T1" i="8"/>
  <c r="S1" i="8"/>
  <c r="R1" i="8"/>
  <c r="Q1" i="8"/>
  <c r="P1" i="8"/>
  <c r="O1" i="8"/>
  <c r="N1" i="8"/>
  <c r="M1" i="8"/>
  <c r="L1" i="8"/>
  <c r="K1" i="8"/>
  <c r="J1" i="8"/>
  <c r="I1" i="8"/>
  <c r="H1" i="8"/>
  <c r="G1" i="8"/>
  <c r="F1" i="8"/>
  <c r="E1" i="8"/>
  <c r="D1" i="8"/>
  <c r="C1" i="8"/>
  <c r="B1" i="8"/>
  <c r="A1"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Unbekannter Autor</author>
    <author>Volker Tippmann</author>
    <author>Frank Malzahn</author>
    <author>Büro</author>
  </authors>
  <commentList>
    <comment ref="A1" authorId="0" shapeId="0" xr:uid="{00000000-0006-0000-0000-000001000000}">
      <text>
        <r>
          <rPr>
            <sz val="10"/>
            <rFont val="Arial"/>
            <family val="2"/>
          </rPr>
          <t xml:space="preserve">Volker Tippmann:
</t>
        </r>
        <r>
          <rPr>
            <sz val="9"/>
            <color rgb="FF000000"/>
            <rFont val="Tahoma"/>
            <family val="2"/>
            <charset val="1"/>
          </rPr>
          <t>Ordnungsnummer zur Sortierung der Paßwortliste</t>
        </r>
      </text>
    </comment>
    <comment ref="F1" authorId="0" shapeId="0" xr:uid="{00000000-0006-0000-0000-000002000000}">
      <text>
        <r>
          <rPr>
            <sz val="10"/>
            <rFont val="Arial"/>
            <family val="2"/>
          </rPr>
          <t xml:space="preserve">André Petri:
</t>
        </r>
        <r>
          <rPr>
            <sz val="9"/>
            <color rgb="FF000000"/>
            <rFont val="Tahoma"/>
            <family val="2"/>
            <charset val="1"/>
          </rPr>
          <t xml:space="preserve">Schreibweisen von Versicherungsnummern
</t>
        </r>
      </text>
    </comment>
    <comment ref="G1" authorId="0" shapeId="0" xr:uid="{00000000-0006-0000-0000-000003000000}">
      <text>
        <r>
          <rPr>
            <sz val="10"/>
            <rFont val="Arial"/>
            <family val="2"/>
          </rPr>
          <t xml:space="preserve">Volker Tippmann:
</t>
        </r>
        <r>
          <rPr>
            <sz val="9"/>
            <color rgb="FF000000"/>
            <rFont val="Tahoma"/>
            <family val="2"/>
            <charset val="1"/>
          </rPr>
          <t>Ordnungsnummer zur Sortierung der Agenturnummernliste</t>
        </r>
      </text>
    </comment>
    <comment ref="C10" authorId="1" shapeId="0" xr:uid="{786C2FD0-DD85-4A4A-9E63-06824FF82537}">
      <text>
        <r>
          <rPr>
            <b/>
            <sz val="9"/>
            <color indexed="81"/>
            <rFont val="Segoe UI"/>
            <family val="2"/>
          </rPr>
          <t>Volker Tippmann:</t>
        </r>
        <r>
          <rPr>
            <sz val="9"/>
            <color indexed="81"/>
            <rFont val="Segoe UI"/>
            <family val="2"/>
          </rPr>
          <t xml:space="preserve">
ex Apella0815#</t>
        </r>
      </text>
    </comment>
    <comment ref="C11" authorId="1" shapeId="0" xr:uid="{84EE057B-286D-4889-A6E4-7D3341444C53}">
      <text>
        <r>
          <rPr>
            <b/>
            <sz val="9"/>
            <color indexed="81"/>
            <rFont val="Segoe UI"/>
            <family val="2"/>
          </rPr>
          <t>Volker Tippmann:</t>
        </r>
        <r>
          <rPr>
            <sz val="9"/>
            <color indexed="81"/>
            <rFont val="Segoe UI"/>
            <family val="2"/>
          </rPr>
          <t xml:space="preserve">
ex 219072</t>
        </r>
      </text>
    </comment>
    <comment ref="D13" authorId="2" shapeId="0" xr:uid="{B91FA657-B05A-4758-81DD-0339D2F9E67F}">
      <text>
        <r>
          <rPr>
            <b/>
            <sz val="9"/>
            <color indexed="81"/>
            <rFont val="Segoe UI"/>
            <family val="2"/>
          </rPr>
          <t>Frank Malzahn:
PW für sichere Mail</t>
        </r>
        <r>
          <rPr>
            <sz val="9"/>
            <color indexed="81"/>
            <rFont val="Segoe UI"/>
            <family val="2"/>
          </rPr>
          <t xml:space="preserve">
Info@rennsteigfinanz.de
frank.malzahn@rennsteigfinanz.de 
</t>
        </r>
      </text>
    </comment>
    <comment ref="C24" authorId="0" shapeId="0" xr:uid="{00000000-0006-0000-0000-000004000000}">
      <text>
        <r>
          <rPr>
            <sz val="10"/>
            <rFont val="Arial"/>
            <family val="2"/>
          </rPr>
          <t>BIPRO-Paßwort</t>
        </r>
      </text>
    </comment>
    <comment ref="H24" authorId="0" shapeId="0" xr:uid="{00000000-0006-0000-0000-000005000000}">
      <text>
        <r>
          <rPr>
            <sz val="10"/>
            <rFont val="Arial"/>
            <family val="2"/>
          </rPr>
          <t xml:space="preserve">buero:
</t>
        </r>
        <r>
          <rPr>
            <sz val="9"/>
            <color rgb="FF000000"/>
            <rFont val="Tahoma"/>
            <family val="2"/>
            <charset val="1"/>
          </rPr>
          <t>ARKZV</t>
        </r>
      </text>
    </comment>
    <comment ref="B45" authorId="1" shapeId="0" xr:uid="{C718175D-374C-47AB-BCC5-6CAC00E9A42D}">
      <text>
        <r>
          <rPr>
            <b/>
            <sz val="9"/>
            <color indexed="81"/>
            <rFont val="Segoe UI"/>
            <family val="2"/>
          </rPr>
          <t>Volker Tippmann:</t>
        </r>
        <r>
          <rPr>
            <sz val="9"/>
            <color indexed="81"/>
            <rFont val="Segoe UI"/>
            <family val="2"/>
          </rPr>
          <t xml:space="preserve">
Vermittlerzentrale 3838
</t>
        </r>
      </text>
    </comment>
    <comment ref="J58" authorId="1" shapeId="0" xr:uid="{41771910-0D53-4465-8FC9-955353F21D8E}">
      <text>
        <r>
          <rPr>
            <b/>
            <sz val="9"/>
            <color indexed="81"/>
            <rFont val="Segoe UI"/>
            <family val="2"/>
          </rPr>
          <t>Volker Tippmann:</t>
        </r>
        <r>
          <rPr>
            <sz val="9"/>
            <color indexed="81"/>
            <rFont val="Segoe UI"/>
            <family val="2"/>
          </rPr>
          <t xml:space="preserve">
</t>
        </r>
      </text>
    </comment>
    <comment ref="O60" authorId="0" shapeId="0" xr:uid="{00000000-0006-0000-0000-000014000000}">
      <text>
        <r>
          <rPr>
            <sz val="10"/>
            <rFont val="Arial"/>
            <family val="2"/>
          </rPr>
          <t xml:space="preserve">Tippmann:
</t>
        </r>
        <r>
          <rPr>
            <sz val="9"/>
            <color rgb="FF000000"/>
            <rFont val="Tahoma"/>
            <family val="2"/>
            <charset val="1"/>
          </rPr>
          <t xml:space="preserve">ex Q9481554
</t>
        </r>
      </text>
    </comment>
    <comment ref="C63" authorId="3" shapeId="0" xr:uid="{44601060-916B-498E-A148-41855A6C817A}">
      <text>
        <r>
          <rPr>
            <b/>
            <sz val="9"/>
            <color indexed="81"/>
            <rFont val="Segoe UI"/>
            <family val="2"/>
          </rPr>
          <t>Büro:</t>
        </r>
        <r>
          <rPr>
            <sz val="9"/>
            <color indexed="81"/>
            <rFont val="Segoe UI"/>
            <family val="2"/>
          </rPr>
          <t xml:space="preserve">
Abrechnung PW firma 98527123338001
Abrechnung PW Tommy 98527123587001
Abrechnung PW Frank 98527123588001
Abrechnung PW Volker 98544123586001
GDV Daten PW = info@rennsteigfinanz.de</t>
        </r>
      </text>
    </comment>
    <comment ref="J70" authorId="0" shapeId="0" xr:uid="{8E34331C-159D-41CA-AC95-3B499C22B0E8}">
      <text>
        <r>
          <rPr>
            <sz val="10"/>
            <rFont val="Arial"/>
            <family val="2"/>
          </rPr>
          <t xml:space="preserve">buero:
</t>
        </r>
        <r>
          <rPr>
            <sz val="9"/>
            <color rgb="FF000000"/>
            <rFont val="Tahoma"/>
            <family val="2"/>
            <charset val="1"/>
          </rPr>
          <t xml:space="preserve"> Die „verbundene Agenturnummer“ bündelt heute schon alle Agenturnummern zu einem Portalzugang. Für die Portalzusammenlegung wird Ihre verbundene Agenturnummer der R+V 450782 mit Ihrer verbundenen Agenturnummer der KRAVAG 771072 zu einer einzigen verbundenen Agenturnummer zusammengelegt.
Diese lautet für Sie 450782</t>
        </r>
      </text>
    </comment>
    <comment ref="I86" authorId="0" shapeId="0" xr:uid="{00000000-0006-0000-0000-00000A000000}">
      <text>
        <r>
          <rPr>
            <sz val="10"/>
            <rFont val="Arial"/>
            <family val="2"/>
          </rPr>
          <t xml:space="preserve">buero:
</t>
        </r>
        <r>
          <rPr>
            <sz val="9"/>
            <color rgb="FF000000"/>
            <rFont val="Tahoma"/>
            <family val="2"/>
            <charset val="1"/>
          </rPr>
          <t xml:space="preserve"> Die „verbundene Agenturnummer“ bündelt heute schon alle Agenturnummern zu einem Portalzugang. Für die Portalzusammenlegung wird Ihre verbundene Agenturnummer der R+V 450782 mit Ihrer verbundenen Agenturnummer der KRAVAG 771072 zu einer einzigen verbundenen Agenturnummer zusammengelegt.
Diese lautet für Sie 450782
</t>
        </r>
      </text>
    </comment>
    <comment ref="D114" authorId="0" shapeId="0" xr:uid="{843A8743-6790-4447-87CC-C7D64DB93F6C}">
      <text>
        <r>
          <rPr>
            <sz val="10"/>
            <rFont val="Arial"/>
            <family val="2"/>
          </rPr>
          <t xml:space="preserve">Tippmann:
</t>
        </r>
        <r>
          <rPr>
            <sz val="9"/>
            <color rgb="FF000000"/>
            <rFont val="Tahoma"/>
            <family val="2"/>
            <charset val="1"/>
          </rPr>
          <t xml:space="preserve">https://www.zurich-irland.de/bgsi/log_on/login.jsp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Unbekannter Autor</author>
  </authors>
  <commentList>
    <comment ref="D15" authorId="0" shapeId="0" xr:uid="{00000000-0006-0000-0200-000001000000}">
      <text>
        <r>
          <rPr>
            <sz val="10"/>
            <rFont val="Arial"/>
            <family val="2"/>
          </rPr>
          <t xml:space="preserve">buero2:
alt = rom51hs
</t>
        </r>
        <r>
          <rPr>
            <sz val="9"/>
            <color rgb="FF000000"/>
            <rFont val="Tahoma"/>
            <family val="2"/>
            <charset val="1"/>
          </rPr>
          <t xml:space="preserve">Guten Tag, Herr Petri,
Wir haben im Rahmen der angekündigten Zusammenlegung unserer Maklerportale auch die Anzahl Ihrer Benutzerkennungen optimiert.
Sie hatten bisher folgende Benutzerkennungen für den Zugang zur Verbundenen Agentur 450782 von Das BeraterHaus Vermittlungs GmbH &amp; Co. KG:
•         rom0s2s
•         rom51hs
Ab sofort brauchen Sie nur noch die rom0s2s und das zugehörige Passwort als Zugang zum Maklerportal der R+V-Gruppe und auch für R+V CONNECT. Alle Daten und Vorgänge zu den anderen Benutzerkennungen haben Sie nun unter dieser einen Benutzerkennung im Zugriff.
Hinweis für Nutzer von R+V CONNECT:
Nach der Portalzusammenlegung finden Sie in R+V CONNECT zusammengefasst Ihre eigenen Vorgänge von allen Ihren bisherigen Benutzerkennungen, unverändert unter dem Menüpunkt „Vorgänge“. Standardmäßig werden nur Ihre eigenen Vorgänge der letzten zwei Wochen angezeigt. Die Suchkriterien können jedoch angepasst werden. Um nicht nur Ihre eigenen, sondern alle Vorgänge Ihrer Firma (je nach Berechtigung) sehen zu können, wählen Sie „Alle Vorgänge“.
Falls Sie Fragen haben:
•         Bei fachlichen Fragen wenden Sie sich bitte wie gewohnt an Ihren Maklerbetreuer/AD-Betreuer.
•         Bei Fragen rund um die Zusammenlegung der Maklerportale schreiben Sie bitte an Maklerportal@ruv.de.
•         Bei technischen Fragen zu R+V Connect und den Benutzerkennungen hilft Ihnen unser Zentraler Benutzerservice unter
(0800) 533-11555.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Unbekannter Autor</author>
  </authors>
  <commentList>
    <comment ref="A1" authorId="0" shapeId="0" xr:uid="{00000000-0006-0000-0400-000001000000}">
      <text>
        <r>
          <rPr>
            <sz val="10"/>
            <rFont val="Arial"/>
            <family val="2"/>
          </rPr>
          <t xml:space="preserve">Volker Tippmann:
</t>
        </r>
        <r>
          <rPr>
            <sz val="9"/>
            <color rgb="FF000000"/>
            <rFont val="Tahoma"/>
            <family val="2"/>
            <charset val="1"/>
          </rPr>
          <t>Ordnungsnummer zur Sortierung der Paßwortliste</t>
        </r>
      </text>
    </comment>
    <comment ref="F1" authorId="0" shapeId="0" xr:uid="{00000000-0006-0000-0400-000002000000}">
      <text>
        <r>
          <rPr>
            <sz val="10"/>
            <rFont val="Arial"/>
            <family val="2"/>
          </rPr>
          <t xml:space="preserve">André Petri:
</t>
        </r>
        <r>
          <rPr>
            <sz val="9"/>
            <color rgb="FF000000"/>
            <rFont val="Tahoma"/>
            <family val="2"/>
            <charset val="1"/>
          </rPr>
          <t xml:space="preserve">Schreibweisen von Versicherungsnummern
</t>
        </r>
      </text>
    </comment>
    <comment ref="G1" authorId="0" shapeId="0" xr:uid="{00000000-0006-0000-0400-000003000000}">
      <text>
        <r>
          <rPr>
            <sz val="10"/>
            <rFont val="Arial"/>
            <family val="2"/>
          </rPr>
          <t xml:space="preserve">Volker Tippmann:
</t>
        </r>
        <r>
          <rPr>
            <sz val="9"/>
            <color rgb="FF000000"/>
            <rFont val="Tahoma"/>
            <family val="2"/>
            <charset val="1"/>
          </rPr>
          <t>Ordnungsnummer zur Sortierung der Agenturnummernliste</t>
        </r>
      </text>
    </comment>
    <comment ref="J10" authorId="0" shapeId="0" xr:uid="{00000000-0006-0000-0400-000004000000}">
      <text>
        <r>
          <rPr>
            <sz val="10"/>
            <rFont val="Arial"/>
            <family val="2"/>
          </rPr>
          <t xml:space="preserve">tippmann:
</t>
        </r>
        <r>
          <rPr>
            <sz val="9"/>
            <color rgb="FF000000"/>
            <rFont val="Tahoma"/>
            <family val="2"/>
            <charset val="1"/>
          </rPr>
          <t xml:space="preserve">Generali
</t>
        </r>
      </text>
    </comment>
    <comment ref="I13" authorId="0" shapeId="0" xr:uid="{00000000-0006-0000-0400-000005000000}">
      <text>
        <r>
          <rPr>
            <sz val="10"/>
            <rFont val="Arial"/>
            <family val="2"/>
          </rPr>
          <t xml:space="preserve">buero2:
</t>
        </r>
        <r>
          <rPr>
            <sz val="9"/>
            <color rgb="FF000000"/>
            <rFont val="Tahoma"/>
            <family val="2"/>
            <charset val="1"/>
          </rPr>
          <t xml:space="preserve">702022262
</t>
        </r>
      </text>
    </comment>
    <comment ref="J13" authorId="0" shapeId="0" xr:uid="{00000000-0006-0000-0400-000006000000}">
      <text>
        <r>
          <rPr>
            <sz val="10"/>
            <rFont val="Arial"/>
            <family val="2"/>
          </rPr>
          <t xml:space="preserve">buero2:
</t>
        </r>
        <r>
          <rPr>
            <sz val="9"/>
            <color rgb="FF000000"/>
            <rFont val="Tahoma"/>
            <family val="2"/>
            <charset val="1"/>
          </rPr>
          <t>ex 70/202/2262</t>
        </r>
      </text>
    </comment>
    <comment ref="J16" authorId="0" shapeId="0" xr:uid="{00000000-0006-0000-0400-000007000000}">
      <text>
        <r>
          <rPr>
            <sz val="10"/>
            <rFont val="Arial"/>
            <family val="2"/>
          </rPr>
          <t xml:space="preserve">Volker Tippmann:
</t>
        </r>
        <r>
          <rPr>
            <sz val="9"/>
            <color rgb="FF000000"/>
            <rFont val="Segoe UI"/>
            <family val="2"/>
          </rPr>
          <t>580678001</t>
        </r>
      </text>
    </comment>
    <comment ref="J34" authorId="0" shapeId="0" xr:uid="{00000000-0006-0000-0400-000008000000}">
      <text>
        <r>
          <rPr>
            <sz val="10"/>
            <rFont val="Arial"/>
            <family val="2"/>
          </rPr>
          <t xml:space="preserve">Volker Tippmann:
</t>
        </r>
        <r>
          <rPr>
            <sz val="9"/>
            <color rgb="FF000000"/>
            <rFont val="Tahoma"/>
            <family val="2"/>
            <charset val="1"/>
          </rPr>
          <t xml:space="preserve">keine Vermittlernummer
</t>
        </r>
      </text>
    </comment>
    <comment ref="J35" authorId="0" shapeId="0" xr:uid="{00000000-0006-0000-0400-000009000000}">
      <text>
        <r>
          <rPr>
            <sz val="10"/>
            <rFont val="Arial"/>
            <family val="2"/>
          </rPr>
          <t xml:space="preserve">Volker Tippmann:
</t>
        </r>
        <r>
          <rPr>
            <sz val="9"/>
            <color rgb="FF000000"/>
            <rFont val="Tahoma"/>
            <family val="2"/>
            <charset val="1"/>
          </rPr>
          <t>keine Vermittlernummer!</t>
        </r>
      </text>
    </comment>
    <comment ref="J47" authorId="0" shapeId="0" xr:uid="{00000000-0006-0000-0400-00000A000000}">
      <text>
        <r>
          <rPr>
            <sz val="10"/>
            <rFont val="Arial"/>
            <family val="2"/>
          </rPr>
          <t xml:space="preserve">buero2:
</t>
        </r>
        <r>
          <rPr>
            <sz val="9"/>
            <color rgb="FF000000"/>
            <rFont val="Tahoma"/>
            <family val="2"/>
            <charset val="1"/>
          </rPr>
          <t xml:space="preserve">über INTER
</t>
        </r>
      </text>
    </comment>
    <comment ref="B55" authorId="0" shapeId="0" xr:uid="{00000000-0006-0000-0400-00000B000000}">
      <text>
        <r>
          <rPr>
            <sz val="10"/>
            <rFont val="Arial"/>
            <family val="2"/>
          </rPr>
          <t xml:space="preserve">buero2:
alt = rom51hs
</t>
        </r>
        <r>
          <rPr>
            <sz val="9"/>
            <color rgb="FF000000"/>
            <rFont val="Tahoma"/>
            <family val="2"/>
            <charset val="1"/>
          </rPr>
          <t xml:space="preserve">Guten Tag, Herr Petri,
Wir haben im Rahmen der angekündigten Zusammenlegung unserer Maklerportale auch die Anzahl Ihrer Benutzerkennungen optimiert.
Sie hatten bisher folgende Benutzerkennungen für den Zugang zur Verbundenen Agentur 450782 von Das BeraterHaus Vermittlungs GmbH &amp; Co. KG:
•         rom0s2s
•         rom51hs
Ab sofort brauchen Sie nur noch die rom0s2s und das zugehörige Passwort als Zugang zum Maklerportal der R+V-Gruppe und auch für R+V CONNECT. Alle Daten und Vorgänge zu den anderen Benutzerkennungen haben Sie nun unter dieser einen Benutzerkennung im Zugriff.
Hinweis für Nutzer von R+V CONNECT:
Nach der Portalzusammenlegung finden Sie in R+V CONNECT zusammengefasst Ihre eigenen Vorgänge von allen Ihren bisherigen Benutzerkennungen, unverändert unter dem Menüpunkt „Vorgänge“. Standardmäßig werden nur Ihre eigenen Vorgänge der letzten zwei Wochen angezeigt. Die Suchkriterien können jedoch angepasst werden. Um nicht nur Ihre eigenen, sondern alle Vorgänge Ihrer Firma (je nach Berechtigung) sehen zu können, wählen Sie „Alle Vorgänge“.
Falls Sie Fragen haben:
•         Bei fachlichen Fragen wenden Sie sich bitte wie gewohnt an Ihren Maklerbetreuer/AD-Betreuer.
•         Bei Fragen rund um die Zusammenlegung der Maklerportale schreiben Sie bitte an Maklerportal@ruv.de.
•         Bei technischen Fragen zu R+V Connect und den Benutzerkennungen hilft Ihnen unser Zentraler Benutzerservice unter
(0800) 533-11555.
</t>
        </r>
      </text>
    </comment>
    <comment ref="B56" authorId="0" shapeId="0" xr:uid="{00000000-0006-0000-0400-00000C000000}">
      <text>
        <r>
          <rPr>
            <sz val="10"/>
            <rFont val="Arial"/>
            <family val="2"/>
          </rPr>
          <t xml:space="preserve">buero2:
alt = rom51hs
</t>
        </r>
        <r>
          <rPr>
            <sz val="9"/>
            <color rgb="FF000000"/>
            <rFont val="Tahoma"/>
            <family val="2"/>
            <charset val="1"/>
          </rPr>
          <t xml:space="preserve">Guten Tag, Herr Petri,
Wir haben im Rahmen der angekündigten Zusammenlegung unserer Maklerportale auch die Anzahl Ihrer Benutzerkennungen optimiert.
Sie hatten bisher folgende Benutzerkennungen für den Zugang zur Verbundenen Agentur 450782 von Das BeraterHaus Vermittlungs GmbH &amp; Co. KG:
•         rom0s2s
•         rom51hs
Ab sofort brauchen Sie nur noch die rom0s2s und das zugehörige Passwort als Zugang zum Maklerportal der R+V-Gruppe und auch für R+V CONNECT. Alle Daten und Vorgänge zu den anderen Benutzerkennungen haben Sie nun unter dieser einen Benutzerkennung im Zugriff.
Hinweis für Nutzer von R+V CONNECT:
Nach der Portalzusammenlegung finden Sie in R+V CONNECT zusammengefasst Ihre eigenen Vorgänge von allen Ihren bisherigen Benutzerkennungen, unverändert unter dem Menüpunkt „Vorgänge“. Standardmäßig werden nur Ihre eigenen Vorgänge der letzten zwei Wochen angezeigt. Die Suchkriterien können jedoch angepasst werden. Um nicht nur Ihre eigenen, sondern alle Vorgänge Ihrer Firma (je nach Berechtigung) sehen zu können, wählen Sie „Alle Vorgänge“.
Falls Sie Fragen haben:
•         Bei fachlichen Fragen wenden Sie sich bitte wie gewohnt an Ihren Maklerbetreuer/AD-Betreuer.
•         Bei Fragen rund um die Zusammenlegung der Maklerportale schreiben Sie bitte an Maklerportal@ruv.de.
•         Bei technischen Fragen zu R+V Connect und den Benutzerkennungen hilft Ihnen unser Zentraler Benutzerservice unter
(0800) 533-11555.
</t>
        </r>
      </text>
    </comment>
    <comment ref="H59" authorId="0" shapeId="0" xr:uid="{00000000-0006-0000-0400-00000D000000}">
      <text>
        <r>
          <rPr>
            <sz val="10"/>
            <rFont val="Arial"/>
            <family val="2"/>
          </rPr>
          <t xml:space="preserve">buero:
</t>
        </r>
        <r>
          <rPr>
            <sz val="9"/>
            <color rgb="FF000000"/>
            <rFont val="Tahoma"/>
            <family val="2"/>
            <charset val="1"/>
          </rPr>
          <t>ARKZV</t>
        </r>
      </text>
    </comment>
    <comment ref="B69" authorId="0" shapeId="0" xr:uid="{00000000-0006-0000-0400-00000E000000}">
      <text>
        <r>
          <rPr>
            <sz val="10"/>
            <rFont val="Arial"/>
            <family val="2"/>
          </rPr>
          <t xml:space="preserve">tippmann:
</t>
        </r>
        <r>
          <rPr>
            <sz val="9"/>
            <color rgb="FF000000"/>
            <rFont val="Tahoma"/>
            <family val="2"/>
            <charset val="1"/>
          </rPr>
          <t xml:space="preserve">alt 9110988
</t>
        </r>
      </text>
    </comment>
    <comment ref="C69" authorId="0" shapeId="0" xr:uid="{00000000-0006-0000-0400-00000F000000}">
      <text>
        <r>
          <rPr>
            <sz val="10"/>
            <rFont val="Arial"/>
            <family val="2"/>
          </rPr>
          <t xml:space="preserve">tippmann:
</t>
        </r>
        <r>
          <rPr>
            <sz val="9"/>
            <color rgb="FF000000"/>
            <rFont val="Tahoma"/>
            <family val="2"/>
            <charset val="1"/>
          </rPr>
          <t xml:space="preserve">alt YR#NW25L
</t>
        </r>
      </text>
    </comment>
    <comment ref="I69" authorId="0" shapeId="0" xr:uid="{00000000-0006-0000-0400-000010000000}">
      <text>
        <r>
          <rPr>
            <sz val="10"/>
            <rFont val="Arial"/>
            <family val="2"/>
          </rPr>
          <t xml:space="preserve">tippmann:
</t>
        </r>
        <r>
          <rPr>
            <sz val="9"/>
            <color rgb="FF000000"/>
            <rFont val="Tahoma"/>
            <family val="2"/>
            <charset val="1"/>
          </rPr>
          <t xml:space="preserve">alt 911/0988
</t>
        </r>
      </text>
    </comment>
    <comment ref="J69" authorId="0" shapeId="0" xr:uid="{00000000-0006-0000-0400-000011000000}">
      <text>
        <r>
          <rPr>
            <sz val="10"/>
            <rFont val="Arial"/>
            <family val="2"/>
          </rPr>
          <t xml:space="preserve">tippmann:
</t>
        </r>
        <r>
          <rPr>
            <sz val="9"/>
            <color rgb="FF000000"/>
            <rFont val="Tahoma"/>
            <family val="2"/>
            <charset val="1"/>
          </rPr>
          <t xml:space="preserve">alt 911/0988
</t>
        </r>
      </text>
    </comment>
    <comment ref="I72" authorId="0" shapeId="0" xr:uid="{00000000-0006-0000-0400-000012000000}">
      <text>
        <r>
          <rPr>
            <sz val="10"/>
            <rFont val="Arial"/>
            <family val="2"/>
          </rPr>
          <t xml:space="preserve">buero2:
</t>
        </r>
        <r>
          <rPr>
            <sz val="9"/>
            <color rgb="FF000000"/>
            <rFont val="Tahoma"/>
            <family val="2"/>
            <charset val="1"/>
          </rPr>
          <t xml:space="preserve">unsere (!) Generali-Nr. bei der VEMA
</t>
        </r>
      </text>
    </comment>
    <comment ref="I76" authorId="0" shapeId="0" xr:uid="{00000000-0006-0000-0400-000013000000}">
      <text>
        <r>
          <rPr>
            <sz val="10"/>
            <rFont val="Arial"/>
            <family val="2"/>
          </rPr>
          <t xml:space="preserve">tippmann:
</t>
        </r>
        <r>
          <rPr>
            <sz val="9"/>
            <color rgb="FF000000"/>
            <rFont val="Tahoma"/>
            <family val="2"/>
            <charset val="1"/>
          </rPr>
          <t xml:space="preserve">Vermittlernummer 940862 ist eine Direktanbindung an unser Unternehmen.
Diese kann nicht unter die Vema geschlüsselt werden
</t>
        </r>
      </text>
    </comment>
    <comment ref="B87" authorId="0" shapeId="0" xr:uid="{00000000-0006-0000-0400-000014000000}">
      <text>
        <r>
          <rPr>
            <sz val="10"/>
            <rFont val="Arial"/>
            <family val="2"/>
          </rPr>
          <t xml:space="preserve">Volker Tippmann:
</t>
        </r>
        <r>
          <rPr>
            <sz val="9"/>
            <color rgb="FF000000"/>
            <rFont val="Tahoma"/>
            <family val="2"/>
            <charset val="1"/>
          </rPr>
          <t xml:space="preserve">Nadine
</t>
        </r>
      </text>
    </comment>
    <comment ref="B88" authorId="0" shapeId="0" xr:uid="{00000000-0006-0000-0400-000015000000}">
      <text>
        <r>
          <rPr>
            <sz val="10"/>
            <rFont val="Arial"/>
            <family val="2"/>
          </rPr>
          <t xml:space="preserve">Volker Tippmann:
</t>
        </r>
        <r>
          <rPr>
            <sz val="9"/>
            <color rgb="FF000000"/>
            <rFont val="Tahoma"/>
            <family val="2"/>
            <charset val="1"/>
          </rPr>
          <t xml:space="preserve">Werner
</t>
        </r>
      </text>
    </comment>
    <comment ref="I111" authorId="0" shapeId="0" xr:uid="{00000000-0006-0000-0400-000016000000}">
      <text>
        <r>
          <rPr>
            <sz val="10"/>
            <rFont val="Arial"/>
            <family val="2"/>
          </rPr>
          <t xml:space="preserve">Tippmann:
</t>
        </r>
        <r>
          <rPr>
            <sz val="9"/>
            <color rgb="FF000000"/>
            <rFont val="Tahoma"/>
            <family val="2"/>
            <charset val="1"/>
          </rPr>
          <t xml:space="preserve">alle Nummern unter dieser Nummer zusammengeführt
</t>
        </r>
      </text>
    </comment>
    <comment ref="T111" authorId="0" shapeId="0" xr:uid="{00000000-0006-0000-0400-000017000000}">
      <text>
        <r>
          <rPr>
            <sz val="10"/>
            <rFont val="Arial"/>
            <family val="2"/>
          </rPr>
          <t xml:space="preserve">buero:
</t>
        </r>
        <r>
          <rPr>
            <sz val="9"/>
            <color rgb="FF000000"/>
            <rFont val="Tahoma"/>
            <family val="2"/>
            <charset val="1"/>
          </rPr>
          <t xml:space="preserve">Invers
</t>
        </r>
      </text>
    </comment>
    <comment ref="L129" authorId="0" shapeId="0" xr:uid="{00000000-0006-0000-0400-000018000000}">
      <text>
        <r>
          <rPr>
            <sz val="10"/>
            <rFont val="Arial"/>
            <family val="2"/>
          </rPr>
          <t xml:space="preserve">Tiippmann:
</t>
        </r>
        <r>
          <rPr>
            <sz val="9"/>
            <color rgb="FF000000"/>
            <rFont val="Tahoma"/>
            <family val="2"/>
            <charset val="1"/>
          </rPr>
          <t xml:space="preserve">lt. Auskunft Inter keine Invers-Nummer
</t>
        </r>
      </text>
    </comment>
    <comment ref="J141" authorId="0" shapeId="0" xr:uid="{00000000-0006-0000-0400-000019000000}">
      <text>
        <r>
          <rPr>
            <sz val="10"/>
            <rFont val="Arial"/>
            <family val="2"/>
          </rPr>
          <t xml:space="preserve">Tippmann:
</t>
        </r>
        <r>
          <rPr>
            <sz val="9"/>
            <color rgb="FF000000"/>
            <rFont val="Tahoma"/>
            <family val="2"/>
            <charset val="1"/>
          </rPr>
          <t xml:space="preserve">ex 77750001
</t>
        </r>
      </text>
    </comment>
    <comment ref="B143" authorId="0" shapeId="0" xr:uid="{00000000-0006-0000-0400-00001A000000}">
      <text>
        <r>
          <rPr>
            <sz val="10"/>
            <rFont val="Arial"/>
            <family val="2"/>
          </rPr>
          <t xml:space="preserve">Tippmann:
</t>
        </r>
        <r>
          <rPr>
            <sz val="9"/>
            <color rgb="FF000000"/>
            <rFont val="Tahoma"/>
            <family val="2"/>
            <charset val="1"/>
          </rPr>
          <t xml:space="preserve">Zugang gelöscht
</t>
        </r>
      </text>
    </comment>
    <comment ref="J152" authorId="0" shapeId="0" xr:uid="{00000000-0006-0000-0400-00001B000000}">
      <text>
        <r>
          <rPr>
            <sz val="10"/>
            <rFont val="Arial"/>
            <family val="2"/>
          </rPr>
          <t xml:space="preserve">buero:
</t>
        </r>
        <r>
          <rPr>
            <sz val="9"/>
            <color rgb="FF000000"/>
            <rFont val="Tahoma"/>
            <family val="2"/>
            <charset val="1"/>
          </rPr>
          <t xml:space="preserve"> Die „verbundene Agenturnummer“ bündelt heute schon alle Agenturnummern zu einem Portalzugang. Für die Portalzusammenlegung wird Ihre verbundene Agenturnummer der R+V 450782 mit Ihrer verbundenen Agenturnummer der KRAVAG 771072 zu einer einzigen verbundenen Agenturnummer zusammengelegt.
Diese lautet für Sie 450782</t>
        </r>
      </text>
    </comment>
    <comment ref="B166" authorId="0" shapeId="0" xr:uid="{00000000-0006-0000-0400-00001C000000}">
      <text>
        <r>
          <rPr>
            <sz val="10"/>
            <rFont val="Arial"/>
            <family val="2"/>
          </rPr>
          <t xml:space="preserve">Volker Tippmann:
</t>
        </r>
        <r>
          <rPr>
            <sz val="9"/>
            <color rgb="FF000000"/>
            <rFont val="Segoe UI"/>
            <family val="2"/>
            <charset val="1"/>
          </rPr>
          <t xml:space="preserve">ex 79251Berater / wer57fra
</t>
        </r>
      </text>
    </comment>
    <comment ref="B167" authorId="0" shapeId="0" xr:uid="{00000000-0006-0000-0400-00001D000000}">
      <text>
        <r>
          <rPr>
            <sz val="10"/>
            <rFont val="Arial"/>
            <family val="2"/>
          </rPr>
          <t xml:space="preserve">Volker Tippmann:
</t>
        </r>
        <r>
          <rPr>
            <sz val="9"/>
            <color rgb="FF000000"/>
            <rFont val="Segoe UI"/>
            <family val="2"/>
            <charset val="1"/>
          </rPr>
          <t xml:space="preserve">ex 79251Berater / wer57fra
</t>
        </r>
      </text>
    </comment>
    <comment ref="J178" authorId="0" shapeId="0" xr:uid="{00000000-0006-0000-0400-00001E000000}">
      <text>
        <r>
          <rPr>
            <sz val="10"/>
            <rFont val="Arial"/>
            <family val="2"/>
          </rPr>
          <t xml:space="preserve">Volker Tippmann:
</t>
        </r>
        <r>
          <rPr>
            <sz val="9"/>
            <color rgb="FF000000"/>
            <rFont val="Tahoma"/>
            <family val="2"/>
            <charset val="1"/>
          </rPr>
          <t xml:space="preserve">über Nürnberger, VHV, Stuttgarter, Mannheimer, VEMA
</t>
        </r>
      </text>
    </comment>
    <comment ref="I190" authorId="0" shapeId="0" xr:uid="{00000000-0006-0000-0400-00001F000000}">
      <text>
        <r>
          <rPr>
            <sz val="10"/>
            <rFont val="Arial"/>
            <family val="2"/>
          </rPr>
          <t xml:space="preserve">buero:
</t>
        </r>
        <r>
          <rPr>
            <sz val="9"/>
            <color rgb="FF000000"/>
            <rFont val="Tahoma"/>
            <family val="2"/>
            <charset val="1"/>
          </rPr>
          <t xml:space="preserve"> Die „verbundene Agenturnummer“ bündelt heute schon alle Agenturnummern zu einem Portalzugang. Für die Portalzusammenlegung wird Ihre verbundene Agenturnummer der R+V 450782 mit Ihrer verbundenen Agenturnummer der KRAVAG 771072 zu einer einzigen verbundenen Agenturnummer zusammengelegt.
Diese lautet für Sie 450782
</t>
        </r>
      </text>
    </comment>
    <comment ref="B191" authorId="0" shapeId="0" xr:uid="{00000000-0006-0000-0400-000020000000}">
      <text>
        <r>
          <rPr>
            <sz val="10"/>
            <rFont val="Arial"/>
            <family val="2"/>
          </rPr>
          <t xml:space="preserve">buero2:
alt = rom51hs
</t>
        </r>
        <r>
          <rPr>
            <sz val="9"/>
            <color rgb="FF000000"/>
            <rFont val="Tahoma"/>
            <family val="2"/>
            <charset val="1"/>
          </rPr>
          <t xml:space="preserve">Guten Tag, Herr Petri,
Wir haben im Rahmen der angekündigten Zusammenlegung unserer Maklerportale auch die Anzahl Ihrer Benutzerkennungen optimiert.
Sie hatten bisher folgende Benutzerkennungen für den Zugang zur Verbundenen Agentur 450782 von Das BeraterHaus Vermittlungs GmbH &amp; Co. KG:
•         rom0s2s
•         rom51hs
Ab sofort brauchen Sie nur noch die rom0s2s und das zugehörige Passwort als Zugang zum Maklerportal der R+V-Gruppe und auch für R+V CONNECT. Alle Daten und Vorgänge zu den anderen Benutzerkennungen haben Sie nun unter dieser einen Benutzerkennung im Zugriff.
Hinweis für Nutzer von R+V CONNECT:
Nach der Portalzusammenlegung finden Sie in R+V CONNECT zusammengefasst Ihre eigenen Vorgänge von allen Ihren bisherigen Benutzerkennungen, unverändert unter dem Menüpunkt „Vorgänge“. Standardmäßig werden nur Ihre eigenen Vorgänge der letzten zwei Wochen angezeigt. Die Suchkriterien können jedoch angepasst werden. Um nicht nur Ihre eigenen, sondern alle Vorgänge Ihrer Firma (je nach Berechtigung) sehen zu können, wählen Sie „Alle Vorgänge“.
Falls Sie Fragen haben:
•         Bei fachlichen Fragen wenden Sie sich bitte wie gewohnt an Ihren Maklerbetreuer/AD-Betreuer.
•         Bei Fragen rund um die Zusammenlegung der Maklerportale schreiben Sie bitte an Maklerportal@ruv.de.
•         Bei technischen Fragen zu R+V Connect und den Benutzerkennungen hilft Ihnen unser Zentraler Benutzerservice unter
(0800) 533-11555.
</t>
        </r>
      </text>
    </comment>
    <comment ref="I191" authorId="0" shapeId="0" xr:uid="{00000000-0006-0000-0400-000021000000}">
      <text>
        <r>
          <rPr>
            <sz val="10"/>
            <rFont val="Arial"/>
            <family val="2"/>
          </rPr>
          <t xml:space="preserve">buero:
</t>
        </r>
        <r>
          <rPr>
            <sz val="9"/>
            <color rgb="FF000000"/>
            <rFont val="Tahoma"/>
            <family val="2"/>
            <charset val="1"/>
          </rPr>
          <t xml:space="preserve"> Die „verbundene Agenturnummer“ bündelt heute schon alle Agenturnummern zu einem Portalzugang. Für die Portalzusammenlegung wird Ihre verbundene Agenturnummer der R+V 450782 mit Ihrer verbundenen Agenturnummer der KRAVAG 771072 zu einer einzigen verbundenen Agenturnummer zusammengelegt.
Diese lautet für Sie 450782</t>
        </r>
      </text>
    </comment>
    <comment ref="J191" authorId="0" shapeId="0" xr:uid="{00000000-0006-0000-0400-000022000000}">
      <text>
        <r>
          <rPr>
            <sz val="10"/>
            <rFont val="Arial"/>
            <family val="2"/>
          </rPr>
          <t xml:space="preserve">buero:
</t>
        </r>
        <r>
          <rPr>
            <sz val="9"/>
            <color rgb="FF000000"/>
            <rFont val="Tahoma"/>
            <family val="2"/>
            <charset val="1"/>
          </rPr>
          <t xml:space="preserve"> Die „verbundene Agenturnummer“ bündelt heute schon alle Agenturnummern zu einem Portalzugang. Für die Portalzusammenlegung wird Ihre verbundene Agenturnummer der R+V 450782 mit Ihrer verbundenen Agenturnummer der KRAVAG 771072 zu einer einzigen verbundenen Agenturnummer zusammengelegt.
Diese lautet für Sie 450782</t>
        </r>
      </text>
    </comment>
    <comment ref="I203" authorId="0" shapeId="0" xr:uid="{00000000-0006-0000-0400-000023000000}">
      <text>
        <r>
          <rPr>
            <sz val="10"/>
            <rFont val="Arial"/>
            <family val="2"/>
          </rPr>
          <t xml:space="preserve">Volker Tippmann:
</t>
        </r>
        <r>
          <rPr>
            <sz val="9"/>
            <color rgb="FF000000"/>
            <rFont val="Segoe UI"/>
            <family val="2"/>
            <charset val="1"/>
          </rPr>
          <t xml:space="preserve">765256
</t>
        </r>
      </text>
    </comment>
    <comment ref="J212" authorId="0" shapeId="0" xr:uid="{00000000-0006-0000-0400-000024000000}">
      <text>
        <r>
          <rPr>
            <sz val="10"/>
            <rFont val="Arial"/>
            <family val="2"/>
          </rPr>
          <t xml:space="preserve">Volker Tippmann:
</t>
        </r>
        <r>
          <rPr>
            <sz val="9"/>
            <color rgb="FF000000"/>
            <rFont val="Segoe UI"/>
            <family val="2"/>
            <charset val="1"/>
          </rPr>
          <t xml:space="preserve">ex 150/46286
</t>
        </r>
      </text>
    </comment>
    <comment ref="I219" authorId="0" shapeId="0" xr:uid="{00000000-0006-0000-0400-000025000000}">
      <text>
        <r>
          <rPr>
            <sz val="10"/>
            <rFont val="Arial"/>
            <family val="2"/>
          </rPr>
          <t xml:space="preserve">tippmann:
</t>
        </r>
        <r>
          <rPr>
            <sz val="9"/>
            <color rgb="FF000000"/>
            <rFont val="Tahoma"/>
            <family val="2"/>
            <charset val="1"/>
          </rPr>
          <t xml:space="preserve">ex 057383-000
</t>
        </r>
      </text>
    </comment>
    <comment ref="B222" authorId="0" shapeId="0" xr:uid="{00000000-0006-0000-0400-000026000000}">
      <text>
        <r>
          <rPr>
            <sz val="10"/>
            <rFont val="Arial"/>
            <family val="2"/>
          </rPr>
          <t xml:space="preserve">Volker Tippmann:
</t>
        </r>
        <r>
          <rPr>
            <sz val="9"/>
            <color rgb="FF000000"/>
            <rFont val="Segoe UI"/>
            <family val="2"/>
            <charset val="1"/>
          </rPr>
          <t xml:space="preserve">184
</t>
        </r>
      </text>
    </comment>
    <comment ref="C222" authorId="0" shapeId="0" xr:uid="{00000000-0006-0000-0400-000027000000}">
      <text>
        <r>
          <rPr>
            <sz val="10"/>
            <rFont val="Arial"/>
            <family val="2"/>
          </rPr>
          <t xml:space="preserve">Volker Tippmann:
</t>
        </r>
        <r>
          <rPr>
            <sz val="9"/>
            <color rgb="FF000000"/>
            <rFont val="Segoe UI"/>
            <family val="2"/>
            <charset val="1"/>
          </rPr>
          <t xml:space="preserve">204
</t>
        </r>
      </text>
    </comment>
    <comment ref="B223" authorId="0" shapeId="0" xr:uid="{00000000-0006-0000-0400-000028000000}">
      <text>
        <r>
          <rPr>
            <sz val="10"/>
            <rFont val="Arial"/>
            <family val="2"/>
          </rPr>
          <t xml:space="preserve">Tippmann:
</t>
        </r>
        <r>
          <rPr>
            <sz val="9"/>
            <color rgb="FF000000"/>
            <rFont val="Tahoma"/>
            <family val="2"/>
            <charset val="1"/>
          </rPr>
          <t>ex
 wi-1524-287</t>
        </r>
      </text>
    </comment>
    <comment ref="C223" authorId="0" shapeId="0" xr:uid="{00000000-0006-0000-0400-000029000000}">
      <text>
        <r>
          <rPr>
            <sz val="10"/>
            <rFont val="Arial"/>
            <family val="2"/>
          </rPr>
          <t xml:space="preserve">Tippmann:
</t>
        </r>
        <r>
          <rPr>
            <sz val="9"/>
            <color rgb="FF000000"/>
            <rFont val="Tahoma"/>
            <family val="2"/>
            <charset val="1"/>
          </rPr>
          <t>ex 201749</t>
        </r>
      </text>
    </comment>
    <comment ref="B231" authorId="0" shapeId="0" xr:uid="{00000000-0006-0000-0400-00002A000000}">
      <text>
        <r>
          <rPr>
            <sz val="10"/>
            <rFont val="Arial"/>
            <family val="2"/>
          </rPr>
          <t xml:space="preserve">Tippmann:
</t>
        </r>
        <r>
          <rPr>
            <sz val="9"/>
            <color rgb="FF000000"/>
            <rFont val="Tahoma"/>
            <family val="2"/>
            <charset val="1"/>
          </rPr>
          <t xml:space="preserve">ex Q9481554
</t>
        </r>
      </text>
    </comment>
    <comment ref="L231" authorId="0" shapeId="0" xr:uid="{00000000-0006-0000-0400-00002B000000}">
      <text>
        <r>
          <rPr>
            <sz val="10"/>
            <rFont val="Arial"/>
            <family val="2"/>
          </rPr>
          <t xml:space="preserve">Tippmann:
</t>
        </r>
        <r>
          <rPr>
            <sz val="9"/>
            <color rgb="FF000000"/>
            <rFont val="Tahoma"/>
            <family val="2"/>
            <charset val="1"/>
          </rPr>
          <t xml:space="preserve">ex Q9481554
</t>
        </r>
      </text>
    </comment>
    <comment ref="D235" authorId="0" shapeId="0" xr:uid="{00000000-0006-0000-0400-00002C000000}">
      <text>
        <r>
          <rPr>
            <sz val="10"/>
            <rFont val="Arial"/>
            <family val="2"/>
          </rPr>
          <t xml:space="preserve">Tippmann:
</t>
        </r>
        <r>
          <rPr>
            <sz val="9"/>
            <color rgb="FF000000"/>
            <rFont val="Tahoma"/>
            <family val="2"/>
            <charset val="1"/>
          </rPr>
          <t xml:space="preserve">https://www.zurich-irland.de/bgsi/log_on/login.jsp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Unbekannter Autor</author>
  </authors>
  <commentList>
    <comment ref="O30" authorId="0" shapeId="0" xr:uid="{00000000-0006-0000-0500-000001000000}">
      <text>
        <r>
          <rPr>
            <sz val="10"/>
            <rFont val="Arial"/>
            <family val="2"/>
          </rPr>
          <t xml:space="preserve">Volker Tippmann:
</t>
        </r>
        <r>
          <rPr>
            <sz val="9"/>
            <color rgb="FF000000"/>
            <rFont val="Tahoma"/>
            <family val="2"/>
            <charset val="1"/>
          </rPr>
          <t xml:space="preserve">über Nürnberger (oder VHV, Stuttgarter, Mannheimer)
</t>
        </r>
      </text>
    </comment>
    <comment ref="M31" authorId="0" shapeId="0" xr:uid="{00000000-0006-0000-0500-000002000000}">
      <text>
        <r>
          <rPr>
            <sz val="10"/>
            <rFont val="Arial"/>
            <family val="2"/>
          </rPr>
          <t xml:space="preserve">Volker Tippmann:
</t>
        </r>
        <r>
          <rPr>
            <sz val="9"/>
            <color rgb="FF000000"/>
            <rFont val="Tahoma"/>
            <family val="2"/>
            <charset val="1"/>
          </rPr>
          <t xml:space="preserve">über Nürnberger (oder VHV, Stuttgarter, Mannheimer)
</t>
        </r>
      </text>
    </comment>
    <comment ref="P31" authorId="0" shapeId="0" xr:uid="{00000000-0006-0000-0500-000003000000}">
      <text>
        <r>
          <rPr>
            <sz val="10"/>
            <rFont val="Arial"/>
            <family val="2"/>
          </rPr>
          <t xml:space="preserve">Volker Tippmann:
</t>
        </r>
        <r>
          <rPr>
            <sz val="9"/>
            <color rgb="FF000000"/>
            <rFont val="Tahoma"/>
            <family val="2"/>
            <charset val="1"/>
          </rPr>
          <t xml:space="preserve">über Nürnberger (oder VHV, Stuttgarter, Mannheimer)
</t>
        </r>
      </text>
    </comment>
  </commentList>
</comments>
</file>

<file path=xl/sharedStrings.xml><?xml version="1.0" encoding="utf-8"?>
<sst xmlns="http://schemas.openxmlformats.org/spreadsheetml/2006/main" count="4023" uniqueCount="2333">
  <si>
    <t>lfd.Nr. A</t>
  </si>
  <si>
    <t>Benutzername/Maklernummer</t>
  </si>
  <si>
    <t>Passwort</t>
  </si>
  <si>
    <t>Sonstiges</t>
  </si>
  <si>
    <t>Gesellschaft</t>
  </si>
  <si>
    <t>Schreibweise</t>
  </si>
  <si>
    <t>lfd.Nr.B</t>
  </si>
  <si>
    <t>Gesellschaft / Partner</t>
  </si>
  <si>
    <t>VEMA</t>
  </si>
  <si>
    <t>RennsteigFINANZ</t>
  </si>
  <si>
    <t>ASC</t>
  </si>
  <si>
    <t>Invers</t>
  </si>
  <si>
    <t>Jung DMS</t>
  </si>
  <si>
    <t>maxpool</t>
  </si>
  <si>
    <t>AMEX</t>
  </si>
  <si>
    <t>Petri</t>
  </si>
  <si>
    <t>Tippmann</t>
  </si>
  <si>
    <t>Röder</t>
  </si>
  <si>
    <t>Hesselbarth</t>
  </si>
  <si>
    <t>Furch</t>
  </si>
  <si>
    <t>Hartkopf</t>
  </si>
  <si>
    <t>Hildebrandt</t>
  </si>
  <si>
    <t>Hollatz</t>
  </si>
  <si>
    <t>Hopf</t>
  </si>
  <si>
    <t>Kramer</t>
  </si>
  <si>
    <t>Schellhorn</t>
  </si>
  <si>
    <t>Lins</t>
  </si>
  <si>
    <t>Littig</t>
  </si>
  <si>
    <t>Lobe</t>
  </si>
  <si>
    <t>Scharlach</t>
  </si>
  <si>
    <t>Weißkopf</t>
  </si>
  <si>
    <t>Schumacher</t>
  </si>
  <si>
    <t>Autohaus Hüther</t>
  </si>
  <si>
    <t>Motorrad Henkel</t>
  </si>
  <si>
    <t>Reif</t>
  </si>
  <si>
    <t>Malzahn</t>
  </si>
  <si>
    <t>B1</t>
  </si>
  <si>
    <t>AAB Augsburger Aktienbank (Invers)</t>
  </si>
  <si>
    <t>B2</t>
  </si>
  <si>
    <t>Aachener Bausparkasse</t>
  </si>
  <si>
    <t>B3</t>
  </si>
  <si>
    <t>abc-teleconsult</t>
  </si>
  <si>
    <t>B4</t>
  </si>
  <si>
    <t>ACE European Group Limited Direktion für Deutschland</t>
  </si>
  <si>
    <t>B5</t>
  </si>
  <si>
    <t>Adcuri</t>
  </si>
  <si>
    <t>B6</t>
  </si>
  <si>
    <t>Adcuri (Invers)</t>
  </si>
  <si>
    <t>B7</t>
  </si>
  <si>
    <t>Adcuri (VEMA)</t>
  </si>
  <si>
    <t>B8</t>
  </si>
  <si>
    <t>Advigon (ex CSS 80002841)</t>
  </si>
  <si>
    <t>B9</t>
  </si>
  <si>
    <t>AdvoCard (Dialog)</t>
  </si>
  <si>
    <t>B10</t>
  </si>
  <si>
    <t>AIG Europe Limited (Marke WüBa)</t>
  </si>
  <si>
    <t>B11</t>
  </si>
  <si>
    <t>A12</t>
  </si>
  <si>
    <t>ZHQ28EM</t>
  </si>
  <si>
    <t>Zertifikat: rQhwEebr</t>
  </si>
  <si>
    <t>Allianz Leben</t>
  </si>
  <si>
    <t>B12</t>
  </si>
  <si>
    <t>Allianz  Leben</t>
  </si>
  <si>
    <t>50/206/5317</t>
  </si>
  <si>
    <t>50/112/0119</t>
  </si>
  <si>
    <t>72020435</t>
  </si>
  <si>
    <t>A13</t>
  </si>
  <si>
    <t>Allianz Kranken</t>
  </si>
  <si>
    <t>B13</t>
  </si>
  <si>
    <t>70/585/5190</t>
  </si>
  <si>
    <t>A14</t>
  </si>
  <si>
    <t>Allianz Sach</t>
  </si>
  <si>
    <t>B14</t>
  </si>
  <si>
    <t>501100675</t>
  </si>
  <si>
    <t>50/100/1003</t>
  </si>
  <si>
    <t>A15</t>
  </si>
  <si>
    <t>B15</t>
  </si>
  <si>
    <t>Alte Leipziger Bauspar AG</t>
  </si>
  <si>
    <t>A16</t>
  </si>
  <si>
    <t>B16</t>
  </si>
  <si>
    <t>Alte Leipziger (Sach und Leben)</t>
  </si>
  <si>
    <t>A17</t>
  </si>
  <si>
    <t>B17</t>
  </si>
  <si>
    <t>Amex</t>
  </si>
  <si>
    <t>A18</t>
  </si>
  <si>
    <t>B18</t>
  </si>
  <si>
    <t>Ammerländer</t>
  </si>
  <si>
    <t>A19</t>
  </si>
  <si>
    <t>B19</t>
  </si>
  <si>
    <t>A20</t>
  </si>
  <si>
    <t>B20</t>
  </si>
  <si>
    <t>AOK Plus</t>
  </si>
  <si>
    <t>A21</t>
  </si>
  <si>
    <t>B21</t>
  </si>
  <si>
    <t>Apella</t>
  </si>
  <si>
    <t>A22</t>
  </si>
  <si>
    <t>B22</t>
  </si>
  <si>
    <t>A23</t>
  </si>
  <si>
    <t>B23</t>
  </si>
  <si>
    <t>ARAG Krankenversicherungen</t>
  </si>
  <si>
    <t>A24</t>
  </si>
  <si>
    <t>B24</t>
  </si>
  <si>
    <t>ARAG Rechtsschutzversicherung</t>
  </si>
  <si>
    <t>A25</t>
  </si>
  <si>
    <t>B25</t>
  </si>
  <si>
    <t>ARAG Versicherungen</t>
  </si>
  <si>
    <t>A26</t>
  </si>
  <si>
    <t>B26</t>
  </si>
  <si>
    <t>A27</t>
  </si>
  <si>
    <t>B27</t>
  </si>
  <si>
    <t>Athora (alt Athene ;Delta Lloyd)</t>
  </si>
  <si>
    <t>A28</t>
  </si>
  <si>
    <t>B28</t>
  </si>
  <si>
    <t>AUXILIA Rechtsschutz-Versicherungs AG</t>
  </si>
  <si>
    <t>A29</t>
  </si>
  <si>
    <t>B29</t>
  </si>
  <si>
    <t>AXA (Innendienst) Kfz</t>
  </si>
  <si>
    <t>A30</t>
  </si>
  <si>
    <t>B30</t>
  </si>
  <si>
    <t>AXA Leben</t>
  </si>
  <si>
    <t>2836005064</t>
  </si>
  <si>
    <t>A32</t>
  </si>
  <si>
    <t>B32</t>
  </si>
  <si>
    <t>AXA Sach</t>
  </si>
  <si>
    <t>A35</t>
  </si>
  <si>
    <t>B35</t>
  </si>
  <si>
    <t>AXA/DBV Kranken</t>
  </si>
  <si>
    <t>A36</t>
  </si>
  <si>
    <t>B36</t>
  </si>
  <si>
    <t>Zurich Sach / fbs (ex Baden-Badener)</t>
  </si>
  <si>
    <t>A37</t>
  </si>
  <si>
    <t>B37</t>
  </si>
  <si>
    <t>Barmenia</t>
  </si>
  <si>
    <t>A38</t>
  </si>
  <si>
    <t>B38</t>
  </si>
  <si>
    <t>Baloise - Mietkaution</t>
  </si>
  <si>
    <t>A39</t>
  </si>
  <si>
    <t>B39</t>
  </si>
  <si>
    <t>Baloise Sachversicherung AG</t>
  </si>
  <si>
    <t>VEMA-5317-00</t>
  </si>
  <si>
    <t>A40</t>
  </si>
  <si>
    <t>Baloise Lebensversicherung AG</t>
  </si>
  <si>
    <t>B40</t>
  </si>
  <si>
    <t xml:space="preserve">871/4137 </t>
  </si>
  <si>
    <t>A41</t>
  </si>
  <si>
    <t>Basler Service GmbH</t>
  </si>
  <si>
    <t>B41</t>
  </si>
  <si>
    <t>BSG Baloise Service GmbH</t>
  </si>
  <si>
    <t>A42</t>
  </si>
  <si>
    <t>B42</t>
  </si>
  <si>
    <t>BauFinex</t>
  </si>
  <si>
    <t>A43</t>
  </si>
  <si>
    <t>B43</t>
  </si>
  <si>
    <t>Bayerische Hausbesitzer Versicherung</t>
  </si>
  <si>
    <t>A44</t>
  </si>
  <si>
    <t>B44</t>
  </si>
  <si>
    <t>BCA</t>
  </si>
  <si>
    <t>A45</t>
  </si>
  <si>
    <t>B45</t>
  </si>
  <si>
    <t>BHW (Invers)</t>
  </si>
  <si>
    <t>A46</t>
  </si>
  <si>
    <t>B46</t>
  </si>
  <si>
    <t>BKM Bausparkasse Mainz</t>
  </si>
  <si>
    <t>A47</t>
  </si>
  <si>
    <t>B47</t>
  </si>
  <si>
    <t>Brandgilde Versicherung</t>
  </si>
  <si>
    <t>A48</t>
  </si>
  <si>
    <t>B48</t>
  </si>
  <si>
    <t>Canada Life</t>
  </si>
  <si>
    <t>A49</t>
  </si>
  <si>
    <t>B49</t>
  </si>
  <si>
    <t>Care Concept</t>
  </si>
  <si>
    <t>A50</t>
  </si>
  <si>
    <t>B50</t>
  </si>
  <si>
    <t>carglass</t>
  </si>
  <si>
    <t>A51</t>
  </si>
  <si>
    <t>B51</t>
  </si>
  <si>
    <t>Concenter</t>
  </si>
  <si>
    <t>A52</t>
  </si>
  <si>
    <t>B52</t>
  </si>
  <si>
    <t>Conceptif</t>
  </si>
  <si>
    <t>A53</t>
  </si>
  <si>
    <t>B53</t>
  </si>
  <si>
    <t>Concordia</t>
  </si>
  <si>
    <t>A54</t>
  </si>
  <si>
    <t>B54</t>
  </si>
  <si>
    <t>Condor Klass. LV/BU / Optima</t>
  </si>
  <si>
    <t>A55</t>
  </si>
  <si>
    <t>B55</t>
  </si>
  <si>
    <t>Condor Leben (FLV) / Optima</t>
  </si>
  <si>
    <t>A56</t>
  </si>
  <si>
    <t>B56</t>
  </si>
  <si>
    <t>Condor Sach (nur Altbestand)</t>
  </si>
  <si>
    <t>A57</t>
  </si>
  <si>
    <t>B57</t>
  </si>
  <si>
    <t>Continentale</t>
  </si>
  <si>
    <t>A58</t>
  </si>
  <si>
    <t xml:space="preserve">GNqHHQDAC58gjhOQVaPPAYzmmkj8mphB </t>
  </si>
  <si>
    <t>B58</t>
  </si>
  <si>
    <t>covomo (BiPRO Datenabholung)</t>
  </si>
  <si>
    <t>RFmrt2024!</t>
  </si>
  <si>
    <t>VEMA-Sprungziel</t>
  </si>
  <si>
    <t>Covomo Vertriebsportal</t>
  </si>
  <si>
    <t>A59</t>
  </si>
  <si>
    <t>B59</t>
  </si>
  <si>
    <t>DA direkt (fbs-Portal)</t>
  </si>
  <si>
    <t>A60</t>
  </si>
  <si>
    <t>B60</t>
  </si>
  <si>
    <t>DEGENIA</t>
  </si>
  <si>
    <t>A61</t>
  </si>
  <si>
    <t>B61</t>
  </si>
  <si>
    <t>DELA Lebensversicherung AG</t>
  </si>
  <si>
    <t>A62</t>
  </si>
  <si>
    <t>B62</t>
  </si>
  <si>
    <t>Delta Direkt</t>
  </si>
  <si>
    <t>A63</t>
  </si>
  <si>
    <t>B63</t>
  </si>
  <si>
    <t>DEMA Deutsche Versicherungsmakler</t>
  </si>
  <si>
    <t>A64</t>
  </si>
  <si>
    <t>B64</t>
  </si>
  <si>
    <t>Der Sachpool</t>
  </si>
  <si>
    <t>A65</t>
  </si>
  <si>
    <t>B65</t>
  </si>
  <si>
    <t>Deurag</t>
  </si>
  <si>
    <t>A66</t>
  </si>
  <si>
    <t>B66</t>
  </si>
  <si>
    <t>Deutsche Lebensversicherung AG (Allianz)</t>
  </si>
  <si>
    <t>A67</t>
  </si>
  <si>
    <t>B67</t>
  </si>
  <si>
    <t>Start Bausparkasse (ex Deutscher Ring Bausparkasse)</t>
  </si>
  <si>
    <t>A68</t>
  </si>
  <si>
    <t>B68</t>
  </si>
  <si>
    <t>Deutscher Ring Kranken</t>
  </si>
  <si>
    <t>Dialog Sach</t>
  </si>
  <si>
    <t>A69</t>
  </si>
  <si>
    <t>B69</t>
  </si>
  <si>
    <t>Dialog Leben</t>
  </si>
  <si>
    <t>A101</t>
  </si>
  <si>
    <t>B101</t>
  </si>
  <si>
    <t>Dialog (Altbestand GENERAI)</t>
  </si>
  <si>
    <t>A102</t>
  </si>
  <si>
    <t>B102</t>
  </si>
  <si>
    <t>Dialog Heilwesen</t>
  </si>
  <si>
    <t>A103</t>
  </si>
  <si>
    <t>B103</t>
  </si>
  <si>
    <t xml:space="preserve">Dialog Mitarbeiter Kfz </t>
  </si>
  <si>
    <t>A70</t>
  </si>
  <si>
    <t>B70</t>
  </si>
  <si>
    <t>die Bayerische (Vema)</t>
  </si>
  <si>
    <t>A71</t>
  </si>
  <si>
    <t>B71</t>
  </si>
  <si>
    <t xml:space="preserve">die Bayerische </t>
  </si>
  <si>
    <t>A72</t>
  </si>
  <si>
    <t>B72</t>
  </si>
  <si>
    <t>Die Hinterbliebenenkasse HDH</t>
  </si>
  <si>
    <t>A73</t>
  </si>
  <si>
    <t>B73</t>
  </si>
  <si>
    <t xml:space="preserve">DKB </t>
  </si>
  <si>
    <t>A74</t>
  </si>
  <si>
    <t>B74</t>
  </si>
  <si>
    <t>DMB Rechtsschutz</t>
  </si>
  <si>
    <t>A75</t>
  </si>
  <si>
    <t>B75</t>
  </si>
  <si>
    <t>Domcura AG</t>
  </si>
  <si>
    <t>A76</t>
  </si>
  <si>
    <t>B76</t>
  </si>
  <si>
    <t>Dr. Klein (Kreher)</t>
  </si>
  <si>
    <t>A77</t>
  </si>
  <si>
    <t>B77</t>
  </si>
  <si>
    <t>ebase (Jung DMS)</t>
  </si>
  <si>
    <t>A78</t>
  </si>
  <si>
    <t>B78</t>
  </si>
  <si>
    <t>A79</t>
  </si>
  <si>
    <t>B79</t>
  </si>
  <si>
    <t>A80</t>
  </si>
  <si>
    <t>B80</t>
  </si>
  <si>
    <t>A81</t>
  </si>
  <si>
    <t>B81</t>
  </si>
  <si>
    <t>A82</t>
  </si>
  <si>
    <t>B82</t>
  </si>
  <si>
    <t>Ergo</t>
  </si>
  <si>
    <t>A83</t>
  </si>
  <si>
    <t>B83</t>
  </si>
  <si>
    <t>Ergo (ab 01.04.14 für Ergo, Ergo-L, DKV, DAS und Victoria)</t>
  </si>
  <si>
    <t>A84</t>
  </si>
  <si>
    <t>B84</t>
  </si>
  <si>
    <t>Ergo KV (ex DKV)</t>
  </si>
  <si>
    <t>A85</t>
  </si>
  <si>
    <t>B85</t>
  </si>
  <si>
    <t>Ergo KV</t>
  </si>
  <si>
    <t>A86</t>
  </si>
  <si>
    <t>B86</t>
  </si>
  <si>
    <t>Ergo Leben</t>
  </si>
  <si>
    <t>A87</t>
  </si>
  <si>
    <t>B87</t>
  </si>
  <si>
    <t>Ergo Direkt</t>
  </si>
  <si>
    <t>A88</t>
  </si>
  <si>
    <t>B88</t>
  </si>
  <si>
    <t>ERV AG</t>
  </si>
  <si>
    <t>A89</t>
  </si>
  <si>
    <t>B89</t>
  </si>
  <si>
    <t>Europ Assistance Versicherungs-AG</t>
  </si>
  <si>
    <t>A90</t>
  </si>
  <si>
    <t>B90</t>
  </si>
  <si>
    <t>Europa (über Continentale)</t>
  </si>
  <si>
    <t>A91</t>
  </si>
  <si>
    <t>B91</t>
  </si>
  <si>
    <t>FdB Fondsdepot Bank (Jung DMS)</t>
  </si>
  <si>
    <t>A92</t>
  </si>
  <si>
    <t>B92</t>
  </si>
  <si>
    <t>FFB Frankfurter Fondsbank (Jung DMS)</t>
  </si>
  <si>
    <t>A93</t>
  </si>
  <si>
    <t>B93</t>
  </si>
  <si>
    <t>Fondskonzept AG (Invers)</t>
  </si>
  <si>
    <t>A94</t>
  </si>
  <si>
    <t>B94</t>
  </si>
  <si>
    <t>Fondskonzept AG (VEMA)</t>
  </si>
  <si>
    <t>A95</t>
  </si>
  <si>
    <t>B95</t>
  </si>
  <si>
    <t>Fondskonzept AG (Atvantis)</t>
  </si>
  <si>
    <t>A96</t>
  </si>
  <si>
    <t>B96</t>
  </si>
  <si>
    <t>Fortuna</t>
  </si>
  <si>
    <t>A97</t>
  </si>
  <si>
    <t>B97</t>
  </si>
  <si>
    <t>Franke &amp; Bornberg</t>
  </si>
  <si>
    <t>A98</t>
  </si>
  <si>
    <t>B98</t>
  </si>
  <si>
    <t>Franke &amp; Bornberg (versdiagnose)</t>
  </si>
  <si>
    <t>A99</t>
  </si>
  <si>
    <t>B99</t>
  </si>
  <si>
    <t>Fritzbox</t>
  </si>
  <si>
    <t>RennsteigFinanz</t>
  </si>
  <si>
    <t>RFZ2024!</t>
  </si>
  <si>
    <t>Finvoice</t>
  </si>
  <si>
    <t>A100</t>
  </si>
  <si>
    <t>B100</t>
  </si>
  <si>
    <t>GAMAX (JDC)</t>
  </si>
  <si>
    <t>A104</t>
  </si>
  <si>
    <t>B104</t>
  </si>
  <si>
    <t>GEV Grundeigentümer Versicherung</t>
  </si>
  <si>
    <t>A105</t>
  </si>
  <si>
    <t>B105</t>
  </si>
  <si>
    <t>Gothaer Krankenversicherung</t>
  </si>
  <si>
    <t>A106</t>
  </si>
  <si>
    <t>B106</t>
  </si>
  <si>
    <t>Gothaer Leben</t>
  </si>
  <si>
    <t>A107</t>
  </si>
  <si>
    <t>B107</t>
  </si>
  <si>
    <t>Gothaer Sach</t>
  </si>
  <si>
    <t>A108</t>
  </si>
  <si>
    <t>B108</t>
  </si>
  <si>
    <t>GVO Gegenseitigkeit Versicherung Oldenburg</t>
  </si>
  <si>
    <t>A109</t>
  </si>
  <si>
    <t>B109</t>
  </si>
  <si>
    <t xml:space="preserve">Die Haftpflichtkasse Darmstadt </t>
  </si>
  <si>
    <t>A110</t>
  </si>
  <si>
    <t>B110</t>
  </si>
  <si>
    <t>Hallesche KV</t>
  </si>
  <si>
    <t>A111</t>
  </si>
  <si>
    <t>B111</t>
  </si>
  <si>
    <t>Hannoverische Leben</t>
  </si>
  <si>
    <t>A112</t>
  </si>
  <si>
    <t>B112</t>
  </si>
  <si>
    <t>Hannoverische Leben / SLP</t>
  </si>
  <si>
    <t>A113</t>
  </si>
  <si>
    <t>B113</t>
  </si>
  <si>
    <t>Hanse Merkur</t>
  </si>
  <si>
    <t>A114</t>
  </si>
  <si>
    <t>B114</t>
  </si>
  <si>
    <t>HanseMerkur Kranken</t>
  </si>
  <si>
    <t>A115</t>
  </si>
  <si>
    <t>B115</t>
  </si>
  <si>
    <t>HanseMerkur Reise</t>
  </si>
  <si>
    <t>A116</t>
  </si>
  <si>
    <t xml:space="preserve">HDI-LV_alt Gerling </t>
  </si>
  <si>
    <t>A117</t>
  </si>
  <si>
    <t>HDI Sondervereinbarung-LV</t>
  </si>
  <si>
    <t>A118</t>
  </si>
  <si>
    <t>B118</t>
  </si>
  <si>
    <t>HDI Leben</t>
  </si>
  <si>
    <t>A119</t>
  </si>
  <si>
    <t>B119</t>
  </si>
  <si>
    <t>HDI Sach</t>
  </si>
  <si>
    <t>HDI Global SE</t>
  </si>
  <si>
    <t>A120</t>
  </si>
  <si>
    <t>B120</t>
  </si>
  <si>
    <t>HEK Hanseatische Krankenkasse</t>
  </si>
  <si>
    <t>A121</t>
  </si>
  <si>
    <t>B121</t>
  </si>
  <si>
    <t>Helvetia</t>
  </si>
  <si>
    <t>A122</t>
  </si>
  <si>
    <t>B122</t>
  </si>
  <si>
    <t>Hiscox (Anglo)</t>
  </si>
  <si>
    <t>A123</t>
  </si>
  <si>
    <t>B123</t>
  </si>
  <si>
    <t>Hübener</t>
  </si>
  <si>
    <t>A124</t>
  </si>
  <si>
    <t>64936</t>
  </si>
  <si>
    <t>FrankVEMA24</t>
  </si>
  <si>
    <t>Ideal Sachversicherung</t>
  </si>
  <si>
    <t>B124</t>
  </si>
  <si>
    <t>Ideal</t>
  </si>
  <si>
    <t>79138</t>
  </si>
  <si>
    <t>A125</t>
  </si>
  <si>
    <t>B125</t>
  </si>
  <si>
    <t>Ideenwerk</t>
  </si>
  <si>
    <t>A126</t>
  </si>
  <si>
    <t>B126</t>
  </si>
  <si>
    <t>Inter</t>
  </si>
  <si>
    <t>568063</t>
  </si>
  <si>
    <t>A127</t>
  </si>
  <si>
    <t>B127</t>
  </si>
  <si>
    <t>Interlloyd</t>
  </si>
  <si>
    <t>7V9852707</t>
  </si>
  <si>
    <t>79852707</t>
  </si>
  <si>
    <t>A128</t>
  </si>
  <si>
    <t>B128</t>
  </si>
  <si>
    <t>InterRisk LV</t>
  </si>
  <si>
    <t>28632</t>
  </si>
  <si>
    <t>A129</t>
  </si>
  <si>
    <t>B129</t>
  </si>
  <si>
    <t>InterRisk Sach</t>
  </si>
  <si>
    <t>7171692</t>
  </si>
  <si>
    <t>7171692 (5699320)</t>
  </si>
  <si>
    <t>5699320</t>
  </si>
  <si>
    <t>7378491</t>
  </si>
  <si>
    <t>7359092</t>
  </si>
  <si>
    <t>A130</t>
  </si>
  <si>
    <t>B130</t>
  </si>
  <si>
    <t>A131</t>
  </si>
  <si>
    <t>B131</t>
  </si>
  <si>
    <t>A132</t>
  </si>
  <si>
    <t>B132</t>
  </si>
  <si>
    <t>INVERS GmbH</t>
  </si>
  <si>
    <t>7993201-013</t>
  </si>
  <si>
    <t>7993201-012</t>
  </si>
  <si>
    <t>7993201-002</t>
  </si>
  <si>
    <t>7993201-009</t>
  </si>
  <si>
    <t>7993201-008</t>
  </si>
  <si>
    <t>7993201-003</t>
  </si>
  <si>
    <t>7993201-005</t>
  </si>
  <si>
    <t>7993201-006</t>
  </si>
  <si>
    <t>7993201-004</t>
  </si>
  <si>
    <t>A133</t>
  </si>
  <si>
    <t>B133</t>
  </si>
  <si>
    <t>INVERS GmbH AAB</t>
  </si>
  <si>
    <t>A134</t>
  </si>
  <si>
    <t>B134</t>
  </si>
  <si>
    <t>INVERS GmbH Ebase</t>
  </si>
  <si>
    <t>3733-7993201</t>
  </si>
  <si>
    <t>A135</t>
  </si>
  <si>
    <t>Itzehoer</t>
  </si>
  <si>
    <t>B135</t>
  </si>
  <si>
    <t>8704</t>
  </si>
  <si>
    <t>A136</t>
  </si>
  <si>
    <t>B136</t>
  </si>
  <si>
    <t>Itzehoer/Degenia</t>
  </si>
  <si>
    <t>9483</t>
  </si>
  <si>
    <t>A137</t>
  </si>
  <si>
    <t>B137</t>
  </si>
  <si>
    <t>Itzehoer Rechtsschutz</t>
  </si>
  <si>
    <t>6776</t>
  </si>
  <si>
    <t>580678001</t>
  </si>
  <si>
    <t>A138</t>
  </si>
  <si>
    <t>B138</t>
  </si>
  <si>
    <t>Janitos (über VEMA)</t>
  </si>
  <si>
    <t>9293 2202</t>
  </si>
  <si>
    <t>62951242</t>
  </si>
  <si>
    <t>94600214 Elke / 10410028 Frank Apella</t>
  </si>
  <si>
    <t>A139</t>
  </si>
  <si>
    <t>B139</t>
  </si>
  <si>
    <t>16283</t>
  </si>
  <si>
    <t>16286</t>
  </si>
  <si>
    <t>16284</t>
  </si>
  <si>
    <t>A140</t>
  </si>
  <si>
    <t>B140</t>
  </si>
  <si>
    <t>4080</t>
  </si>
  <si>
    <t>A141</t>
  </si>
  <si>
    <t>B141</t>
  </si>
  <si>
    <t>A142</t>
  </si>
  <si>
    <t>B142</t>
  </si>
  <si>
    <t>A143</t>
  </si>
  <si>
    <t>B143</t>
  </si>
  <si>
    <t>A144</t>
  </si>
  <si>
    <t>B144</t>
  </si>
  <si>
    <t>A145</t>
  </si>
  <si>
    <t>B145</t>
  </si>
  <si>
    <t>JURA DIREKT</t>
  </si>
  <si>
    <t>A146</t>
  </si>
  <si>
    <t>B146</t>
  </si>
  <si>
    <t>KAB</t>
  </si>
  <si>
    <t>192163</t>
  </si>
  <si>
    <t>A147</t>
  </si>
  <si>
    <t>B147</t>
  </si>
  <si>
    <t>Kassensuche GmbH</t>
  </si>
  <si>
    <t>2356</t>
  </si>
  <si>
    <t>A148</t>
  </si>
  <si>
    <t>B148</t>
  </si>
  <si>
    <t>K&amp;M Konzept und Marketing</t>
  </si>
  <si>
    <t>27776</t>
  </si>
  <si>
    <t>A149</t>
  </si>
  <si>
    <t>B149</t>
  </si>
  <si>
    <t>Kravag</t>
  </si>
  <si>
    <t>261580</t>
  </si>
  <si>
    <t xml:space="preserve">770/771072 </t>
  </si>
  <si>
    <t>784680</t>
  </si>
  <si>
    <t>786274</t>
  </si>
  <si>
    <t>786958</t>
  </si>
  <si>
    <t>787396</t>
  </si>
  <si>
    <t>785784</t>
  </si>
  <si>
    <t>784682</t>
  </si>
  <si>
    <t>A150</t>
  </si>
  <si>
    <t>B150</t>
  </si>
  <si>
    <t>Kravag (Autohaus Hüther)</t>
  </si>
  <si>
    <t>055347</t>
  </si>
  <si>
    <t>A151</t>
  </si>
  <si>
    <t>B151</t>
  </si>
  <si>
    <t>Kravag MMV (Wohnwagen)</t>
  </si>
  <si>
    <t>802881</t>
  </si>
  <si>
    <t>A152</t>
  </si>
  <si>
    <t>B152</t>
  </si>
  <si>
    <t>LV 1871</t>
  </si>
  <si>
    <t>28883</t>
  </si>
  <si>
    <t>23 288830</t>
  </si>
  <si>
    <t>23293420</t>
  </si>
  <si>
    <t>72071820</t>
  </si>
  <si>
    <t>52/229/72</t>
  </si>
  <si>
    <t>A153</t>
  </si>
  <si>
    <t>B153</t>
  </si>
  <si>
    <t>Maklerexperten (PKV-Optimierung)</t>
  </si>
  <si>
    <t>120369</t>
  </si>
  <si>
    <t>A154</t>
  </si>
  <si>
    <t>B154</t>
  </si>
  <si>
    <t>Maklermanagement AG</t>
  </si>
  <si>
    <t>8710929</t>
  </si>
  <si>
    <t>A155</t>
  </si>
  <si>
    <t>B155</t>
  </si>
  <si>
    <t>Maklersoftware.com / Myfin24</t>
  </si>
  <si>
    <t>A156</t>
  </si>
  <si>
    <t>B156</t>
  </si>
  <si>
    <t>Mannheimer Kranken</t>
  </si>
  <si>
    <t>66982</t>
  </si>
  <si>
    <t>522/66982</t>
  </si>
  <si>
    <t>A157</t>
  </si>
  <si>
    <t>B157</t>
  </si>
  <si>
    <t>Mannheimer Sach</t>
  </si>
  <si>
    <t>60720</t>
  </si>
  <si>
    <t>522/60720</t>
  </si>
  <si>
    <t>522/88877</t>
  </si>
  <si>
    <t>522/90647</t>
  </si>
  <si>
    <t>A158</t>
  </si>
  <si>
    <t>info@rennsteigfinanz.de</t>
  </si>
  <si>
    <t>B158</t>
  </si>
  <si>
    <t>Markel</t>
  </si>
  <si>
    <t>52527138</t>
  </si>
  <si>
    <t>A159</t>
  </si>
  <si>
    <t>B159</t>
  </si>
  <si>
    <t>MAS</t>
  </si>
  <si>
    <t>692</t>
  </si>
  <si>
    <t>A160</t>
  </si>
  <si>
    <t>B160</t>
  </si>
  <si>
    <t>MAS für Volkswohl-Bund</t>
  </si>
  <si>
    <t>046/477</t>
  </si>
  <si>
    <t>A161</t>
  </si>
  <si>
    <t>B161</t>
  </si>
  <si>
    <t xml:space="preserve">Maxpool </t>
  </si>
  <si>
    <t>000-4057</t>
  </si>
  <si>
    <t>000-1729</t>
  </si>
  <si>
    <t>A162</t>
  </si>
  <si>
    <t>B162</t>
  </si>
  <si>
    <t>Maxpool Leben</t>
  </si>
  <si>
    <t>000-6057</t>
  </si>
  <si>
    <t>A163</t>
  </si>
  <si>
    <t>B163</t>
  </si>
  <si>
    <t xml:space="preserve">Medienversicherung </t>
  </si>
  <si>
    <t>79251</t>
  </si>
  <si>
    <t>79506</t>
  </si>
  <si>
    <t>A164</t>
  </si>
  <si>
    <t>B164</t>
  </si>
  <si>
    <t>80487</t>
  </si>
  <si>
    <t>A165</t>
  </si>
  <si>
    <t>B165</t>
  </si>
  <si>
    <t>Metzler</t>
  </si>
  <si>
    <t>14916</t>
  </si>
  <si>
    <t>A166</t>
  </si>
  <si>
    <t>B166</t>
  </si>
  <si>
    <t>Metzler Vermög.verw.</t>
  </si>
  <si>
    <t>14918</t>
  </si>
  <si>
    <t>A167</t>
  </si>
  <si>
    <t>B167</t>
  </si>
  <si>
    <t>MK (Münchner Kapital)</t>
  </si>
  <si>
    <t>89154777000328</t>
  </si>
  <si>
    <t>A168</t>
  </si>
  <si>
    <t>B168</t>
  </si>
  <si>
    <t>Monuta</t>
  </si>
  <si>
    <t>1240842</t>
  </si>
  <si>
    <t>A169</t>
  </si>
  <si>
    <t>B169</t>
  </si>
  <si>
    <t>A170</t>
  </si>
  <si>
    <t>B170</t>
  </si>
  <si>
    <t>Multi-Invest</t>
  </si>
  <si>
    <t>20505</t>
  </si>
  <si>
    <t>A171</t>
  </si>
  <si>
    <t>B171</t>
  </si>
  <si>
    <t>Münchner Verein</t>
  </si>
  <si>
    <t>36656/A</t>
  </si>
  <si>
    <t>36895/A</t>
  </si>
  <si>
    <t>A172</t>
  </si>
  <si>
    <t>B172</t>
  </si>
  <si>
    <t>NEMIAN LIFE und Uned Financial</t>
  </si>
  <si>
    <t>2793</t>
  </si>
  <si>
    <t>A173</t>
  </si>
  <si>
    <t>B173</t>
  </si>
  <si>
    <t>Netfonds</t>
  </si>
  <si>
    <t>Neodigital</t>
  </si>
  <si>
    <t>500260327</t>
  </si>
  <si>
    <t>A174</t>
  </si>
  <si>
    <t>B174</t>
  </si>
  <si>
    <t>NRV</t>
  </si>
  <si>
    <t>152 05 3992</t>
  </si>
  <si>
    <t>A175</t>
  </si>
  <si>
    <t>Nürnberger</t>
  </si>
  <si>
    <t>B175</t>
  </si>
  <si>
    <t>Nürnberger Versicherung</t>
  </si>
  <si>
    <t>153053545</t>
  </si>
  <si>
    <t>A176</t>
  </si>
  <si>
    <t>B176</t>
  </si>
  <si>
    <t>A177</t>
  </si>
  <si>
    <t>B177</t>
  </si>
  <si>
    <t>NV-Versicherung</t>
  </si>
  <si>
    <t>11072</t>
  </si>
  <si>
    <t>A178</t>
  </si>
  <si>
    <t>B178</t>
  </si>
  <si>
    <t>NV-Versicherung über Invers</t>
  </si>
  <si>
    <t>7993201</t>
  </si>
  <si>
    <t>A179</t>
  </si>
  <si>
    <t>B179</t>
  </si>
  <si>
    <t>Oberöstereichische Versicherung AG</t>
  </si>
  <si>
    <t>29/790451</t>
  </si>
  <si>
    <t>2202</t>
  </si>
  <si>
    <t>A180</t>
  </si>
  <si>
    <t>B180</t>
  </si>
  <si>
    <t>Ostangler Brandgilde</t>
  </si>
  <si>
    <t>2500242</t>
  </si>
  <si>
    <t>707993201</t>
  </si>
  <si>
    <t>A181</t>
  </si>
  <si>
    <t>B181</t>
  </si>
  <si>
    <t>Prisma Life/Cadea Life</t>
  </si>
  <si>
    <t>8800706</t>
  </si>
  <si>
    <t>A182</t>
  </si>
  <si>
    <t>B182</t>
  </si>
  <si>
    <t>A183</t>
  </si>
  <si>
    <t>B183</t>
  </si>
  <si>
    <t>A184</t>
  </si>
  <si>
    <t>B184</t>
  </si>
  <si>
    <t>Procheck.24</t>
  </si>
  <si>
    <t>570775</t>
  </si>
  <si>
    <t>A185</t>
  </si>
  <si>
    <t>B185</t>
  </si>
  <si>
    <t>R+V Kredit Connect</t>
  </si>
  <si>
    <t>A186</t>
  </si>
  <si>
    <t>B186</t>
  </si>
  <si>
    <t>R+V Versicherung Leben</t>
  </si>
  <si>
    <t>450782</t>
  </si>
  <si>
    <t>413/806252</t>
  </si>
  <si>
    <t>A187</t>
  </si>
  <si>
    <t>B187</t>
  </si>
  <si>
    <t>R+V Versicherung Sach</t>
  </si>
  <si>
    <t>406/450782</t>
  </si>
  <si>
    <t>A188</t>
  </si>
  <si>
    <t>B188</t>
  </si>
  <si>
    <t>Recht.-Union</t>
  </si>
  <si>
    <t>1/50/23/8801</t>
  </si>
  <si>
    <t>A189</t>
  </si>
  <si>
    <t>B189</t>
  </si>
  <si>
    <t>Rheinland/alt</t>
  </si>
  <si>
    <t>47/8110</t>
  </si>
  <si>
    <t>A190</t>
  </si>
  <si>
    <t>B190</t>
  </si>
  <si>
    <t>Rhion/Rheinland</t>
  </si>
  <si>
    <t>67/8110</t>
  </si>
  <si>
    <t>A191</t>
  </si>
  <si>
    <t>B191</t>
  </si>
  <si>
    <t>Roland Rechtsschutz (direkt)</t>
  </si>
  <si>
    <t>55.590</t>
  </si>
  <si>
    <t>A192</t>
  </si>
  <si>
    <t>B192</t>
  </si>
  <si>
    <t>RWB</t>
  </si>
  <si>
    <t xml:space="preserve">  </t>
  </si>
  <si>
    <t>049-005425</t>
  </si>
  <si>
    <t>A193</t>
  </si>
  <si>
    <t>B193</t>
  </si>
  <si>
    <t>Salus BKK</t>
  </si>
  <si>
    <t>26711</t>
  </si>
  <si>
    <t>A194</t>
  </si>
  <si>
    <t>B194</t>
  </si>
  <si>
    <t>Schleswiger AG</t>
  </si>
  <si>
    <t>11978</t>
  </si>
  <si>
    <t>A195</t>
  </si>
  <si>
    <t>B195</t>
  </si>
  <si>
    <t>Signal</t>
  </si>
  <si>
    <t>KV-8656194</t>
  </si>
  <si>
    <t>2834196</t>
  </si>
  <si>
    <t>216-6040</t>
  </si>
  <si>
    <t>A196</t>
  </si>
  <si>
    <t>B196</t>
  </si>
  <si>
    <t>Signal Iduna (ADV-Nr. 2986853)</t>
  </si>
  <si>
    <t>2986853</t>
  </si>
  <si>
    <t>A197</t>
  </si>
  <si>
    <t>B197</t>
  </si>
  <si>
    <t xml:space="preserve">Skandia </t>
  </si>
  <si>
    <t>100153</t>
  </si>
  <si>
    <t>A198</t>
  </si>
  <si>
    <t>B198</t>
  </si>
  <si>
    <t>SLP / Swiss Life Partner</t>
  </si>
  <si>
    <t>421995</t>
  </si>
  <si>
    <t>A199</t>
  </si>
  <si>
    <t>B199</t>
  </si>
  <si>
    <t>Standard Life</t>
  </si>
  <si>
    <t>2022_VEMA</t>
  </si>
  <si>
    <t>A200</t>
  </si>
  <si>
    <t>B200</t>
  </si>
  <si>
    <t>Starpool</t>
  </si>
  <si>
    <t>A201</t>
  </si>
  <si>
    <t>B201</t>
  </si>
  <si>
    <t>Stromschalten.de (4Motions GmbH)</t>
  </si>
  <si>
    <t xml:space="preserve"> 5114-0001</t>
  </si>
  <si>
    <t>A202</t>
  </si>
  <si>
    <t>B202</t>
  </si>
  <si>
    <t>Stuttgarter</t>
  </si>
  <si>
    <t>87372</t>
  </si>
  <si>
    <t>72.00087372</t>
  </si>
  <si>
    <t>72.00105789</t>
  </si>
  <si>
    <t>72.00103830</t>
  </si>
  <si>
    <t>A203</t>
  </si>
  <si>
    <t>B203</t>
  </si>
  <si>
    <t>SV SparkassenVersicherung  AG / ÖRAG</t>
  </si>
  <si>
    <t>M000867</t>
  </si>
  <si>
    <t xml:space="preserve"> </t>
  </si>
  <si>
    <t>320107</t>
  </si>
  <si>
    <t>A204</t>
  </si>
  <si>
    <t>B204</t>
  </si>
  <si>
    <t>Swisslife</t>
  </si>
  <si>
    <t>421995-0001</t>
  </si>
  <si>
    <t>A205</t>
  </si>
  <si>
    <t>B205</t>
  </si>
  <si>
    <t>Techniker Krankenkasse</t>
  </si>
  <si>
    <t>T0505860G9</t>
  </si>
  <si>
    <t>A206</t>
  </si>
  <si>
    <t>B206</t>
  </si>
  <si>
    <t>TRIXI</t>
  </si>
  <si>
    <t>A207</t>
  </si>
  <si>
    <t>B207</t>
  </si>
  <si>
    <t>TUTUS</t>
  </si>
  <si>
    <t>A208</t>
  </si>
  <si>
    <t>B208</t>
  </si>
  <si>
    <t>Uelzener</t>
  </si>
  <si>
    <t>000/29471</t>
  </si>
  <si>
    <t>A209</t>
  </si>
  <si>
    <t>B209</t>
  </si>
  <si>
    <t>Universa</t>
  </si>
  <si>
    <t>43323</t>
  </si>
  <si>
    <t>365-43323</t>
  </si>
  <si>
    <t>A210</t>
  </si>
  <si>
    <t>V_Tippmann</t>
  </si>
  <si>
    <t>B210</t>
  </si>
  <si>
    <t>5317</t>
  </si>
  <si>
    <t>F_Malzahn</t>
  </si>
  <si>
    <t>T_Reif</t>
  </si>
  <si>
    <t>F_Hesselbarth</t>
  </si>
  <si>
    <t>A211</t>
  </si>
  <si>
    <t>VPV</t>
  </si>
  <si>
    <t>B211</t>
  </si>
  <si>
    <t>0105535</t>
  </si>
  <si>
    <t>A212</t>
  </si>
  <si>
    <t>v00000104004</t>
  </si>
  <si>
    <t>61JstrdBHiS!</t>
  </si>
  <si>
    <t>Versicherungskammer Bayern</t>
  </si>
  <si>
    <t>B212</t>
  </si>
  <si>
    <t>VKB Versicherungskammer Bayern (Kranken)</t>
  </si>
  <si>
    <t>1914928</t>
  </si>
  <si>
    <t>A213</t>
  </si>
  <si>
    <t>www.vkb-extranet.de</t>
  </si>
  <si>
    <t>B213</t>
  </si>
  <si>
    <t>VKB Versicherungskammer Bayern (Sach)</t>
  </si>
  <si>
    <t>935917</t>
  </si>
  <si>
    <t>A214</t>
  </si>
  <si>
    <t>51-10423-1</t>
  </si>
  <si>
    <t>Berater+1</t>
  </si>
  <si>
    <t>Direct Line (Download Center)</t>
  </si>
  <si>
    <t>VERTI (ex Direct Line)</t>
  </si>
  <si>
    <t>B214</t>
  </si>
  <si>
    <t>10423</t>
  </si>
  <si>
    <t>A215</t>
  </si>
  <si>
    <t>VHV</t>
  </si>
  <si>
    <t>B215</t>
  </si>
  <si>
    <t xml:space="preserve">503911-000 </t>
  </si>
  <si>
    <t xml:space="preserve">164715-000 </t>
  </si>
  <si>
    <t>019750452</t>
  </si>
  <si>
    <t>058995489</t>
  </si>
  <si>
    <t>054270710</t>
  </si>
  <si>
    <t>057383001</t>
  </si>
  <si>
    <t>03375</t>
  </si>
  <si>
    <t>A216</t>
  </si>
  <si>
    <t>Victoria (alt)</t>
  </si>
  <si>
    <t>B216</t>
  </si>
  <si>
    <t>00375-3519</t>
  </si>
  <si>
    <t>A217</t>
  </si>
  <si>
    <t>184/204</t>
  </si>
  <si>
    <t>MAS2008</t>
  </si>
  <si>
    <t>easy Login</t>
  </si>
  <si>
    <t>Volkswohl-Bund</t>
  </si>
  <si>
    <t>B217</t>
  </si>
  <si>
    <t>184/973</t>
  </si>
  <si>
    <t>174/836</t>
  </si>
  <si>
    <t>A218</t>
  </si>
  <si>
    <t>Silke</t>
  </si>
  <si>
    <t>wer57fra</t>
  </si>
  <si>
    <t>kwo82d</t>
  </si>
  <si>
    <t>Volkswohl-Bund (prokundo)</t>
  </si>
  <si>
    <t>B218</t>
  </si>
  <si>
    <t>A219</t>
  </si>
  <si>
    <t>https://internal.wifo.com/</t>
  </si>
  <si>
    <t>WIFO</t>
  </si>
  <si>
    <t>B219</t>
  </si>
  <si>
    <t xml:space="preserve"> wi-1524-287</t>
  </si>
  <si>
    <t>A220</t>
  </si>
  <si>
    <t>18E6XV</t>
  </si>
  <si>
    <t>DBHiSJstr61+</t>
  </si>
  <si>
    <t>https://vertriebsportal.wuerttembergische.de/wps/portal/vertrieb</t>
  </si>
  <si>
    <t>Württembergische Ideenwerk</t>
  </si>
  <si>
    <t>B220</t>
  </si>
  <si>
    <t>6850-5562-7</t>
  </si>
  <si>
    <t>A222</t>
  </si>
  <si>
    <t>01W773</t>
  </si>
  <si>
    <t>RFmrt2024.</t>
  </si>
  <si>
    <t>Leben/Kranken/Komposit</t>
  </si>
  <si>
    <t>B222</t>
  </si>
  <si>
    <t>Württembergische Rahmenvertrag Kfz</t>
  </si>
  <si>
    <t xml:space="preserve">0881-2116-3 </t>
  </si>
  <si>
    <t>A223</t>
  </si>
  <si>
    <t>Würzburger Handyschutz</t>
  </si>
  <si>
    <t>B223</t>
  </si>
  <si>
    <t>1-9-850-2202</t>
  </si>
  <si>
    <t>A224</t>
  </si>
  <si>
    <t>Würzburger Reise</t>
  </si>
  <si>
    <t>B224</t>
  </si>
  <si>
    <t>1-8-850-2202</t>
  </si>
  <si>
    <t>A225</t>
  </si>
  <si>
    <t>7706080_10356364</t>
  </si>
  <si>
    <t>Wer57fra</t>
  </si>
  <si>
    <t>Würzburger Sach</t>
  </si>
  <si>
    <t>B225</t>
  </si>
  <si>
    <t>44-1-559</t>
  </si>
  <si>
    <t>A226</t>
  </si>
  <si>
    <t>0685EC</t>
  </si>
  <si>
    <t>Wüstenrot Bausparkasse</t>
  </si>
  <si>
    <t>B226</t>
  </si>
  <si>
    <t>012688</t>
  </si>
  <si>
    <t>A227</t>
  </si>
  <si>
    <t>Q9837025</t>
  </si>
  <si>
    <t>Herbst2018</t>
  </si>
  <si>
    <t>https://sso.wwk.de/openam/XUI/?realm=vermittlerrealm#login&amp;goto=https%3A%2F%2Fportal.wwk.de%3A443%2Fgroup%2Fvip%2Fstart</t>
  </si>
  <si>
    <t xml:space="preserve">WWK </t>
  </si>
  <si>
    <t>B227</t>
  </si>
  <si>
    <t>Q9821554</t>
  </si>
  <si>
    <t>A228</t>
  </si>
  <si>
    <t>Dbhisjstr6198527</t>
  </si>
  <si>
    <t>www.maklerweb.de</t>
  </si>
  <si>
    <t>Zurich Sach</t>
  </si>
  <si>
    <t>B228</t>
  </si>
  <si>
    <t>6065392</t>
  </si>
  <si>
    <t>6067257</t>
  </si>
  <si>
    <t>6056639</t>
  </si>
  <si>
    <t>A229</t>
  </si>
  <si>
    <t>Dbhisjs61</t>
  </si>
  <si>
    <t>Zurich (Patria)</t>
  </si>
  <si>
    <t>alt/ nicht ben.</t>
  </si>
  <si>
    <t>B229</t>
  </si>
  <si>
    <t>Zurich (Patria) Sach alt</t>
  </si>
  <si>
    <t>7005484 alt</t>
  </si>
  <si>
    <t>A230</t>
  </si>
  <si>
    <t>Wer57Fras2012</t>
  </si>
  <si>
    <t>Zurich Leben Dt. Herold</t>
  </si>
  <si>
    <t>B230</t>
  </si>
  <si>
    <t>Zurich Leben Deutscher Herold</t>
  </si>
  <si>
    <t>5017933</t>
  </si>
  <si>
    <t>7798161</t>
  </si>
  <si>
    <t>52/773/204441</t>
  </si>
  <si>
    <t>A231</t>
  </si>
  <si>
    <t>VM074485</t>
  </si>
  <si>
    <t>PIN 2842</t>
  </si>
  <si>
    <t>Zurich Life</t>
  </si>
  <si>
    <t>B231</t>
  </si>
  <si>
    <t>73160 (vorläufig)</t>
  </si>
  <si>
    <t>74485</t>
  </si>
  <si>
    <t>73105 (alt)</t>
  </si>
  <si>
    <t>Gesellschaften</t>
  </si>
  <si>
    <t>Werner</t>
  </si>
  <si>
    <t>Volker</t>
  </si>
  <si>
    <t>Hans Jürgen</t>
  </si>
  <si>
    <t>Frank M.</t>
  </si>
  <si>
    <t>Frank H.</t>
  </si>
  <si>
    <t>Tommy</t>
  </si>
  <si>
    <t>Abrechnungen</t>
  </si>
  <si>
    <t>x</t>
  </si>
  <si>
    <t>AdvoCard (Generali)</t>
  </si>
  <si>
    <t>X</t>
  </si>
  <si>
    <t>Alte Leipziger Sach und Leben</t>
  </si>
  <si>
    <t>(X)</t>
  </si>
  <si>
    <t>ARAG Rectsschutzversicherung</t>
  </si>
  <si>
    <t>(x)</t>
  </si>
  <si>
    <t>HDI (Aspecta)</t>
  </si>
  <si>
    <t>xx</t>
  </si>
  <si>
    <t>Baden-Badener</t>
  </si>
  <si>
    <t>Zurich</t>
  </si>
  <si>
    <t>Basler (Sach)</t>
  </si>
  <si>
    <t>Basler Lebensversicherung AG</t>
  </si>
  <si>
    <t>die Bayerische (ex BBV)</t>
  </si>
  <si>
    <t>covomo</t>
  </si>
  <si>
    <t>CSS</t>
  </si>
  <si>
    <t>Athene (Delta Lloyd)</t>
  </si>
  <si>
    <t>Deurag Maklerverein</t>
  </si>
  <si>
    <t>Deutscher Ring Bausparkasse</t>
  </si>
  <si>
    <t>Dialog</t>
  </si>
  <si>
    <t>ebase</t>
  </si>
  <si>
    <t>Ergo / DKV</t>
  </si>
  <si>
    <t>Fondskonzept AG</t>
  </si>
  <si>
    <t>GAMAX/JDC</t>
  </si>
  <si>
    <t>GDV</t>
  </si>
  <si>
    <t>Generali</t>
  </si>
  <si>
    <t>Generali Heilwesen</t>
  </si>
  <si>
    <t xml:space="preserve">Generali Mitarbeiter Kfz </t>
  </si>
  <si>
    <t xml:space="preserve">Haftpflichtkasse Darmstadt </t>
  </si>
  <si>
    <t>Hallesche KV, Verbund-Nr.  Alte Leipziger</t>
  </si>
  <si>
    <t xml:space="preserve">HDI Firmen und Privat – Allgemein </t>
  </si>
  <si>
    <t>HDH Hinterbliebenenkasse der Heilberufe VVaG</t>
  </si>
  <si>
    <t>Konzept und Marketing</t>
  </si>
  <si>
    <t>Kravag (Motorrad Henkel)</t>
  </si>
  <si>
    <t>Ostangler</t>
  </si>
  <si>
    <t>Rheinland/Rhion</t>
  </si>
  <si>
    <t>SV SparkassenVersicherung Gebäudeversicherung AG</t>
  </si>
  <si>
    <t>Württembergische LV + Sach</t>
  </si>
  <si>
    <t>Firma</t>
  </si>
  <si>
    <t>Name</t>
  </si>
  <si>
    <t>Registrierungspaßwort</t>
  </si>
  <si>
    <t>Benutzername</t>
  </si>
  <si>
    <t>Paßwort</t>
  </si>
  <si>
    <t>Web-Zugang</t>
  </si>
  <si>
    <t>Ansprechpartner</t>
  </si>
  <si>
    <t>Beratungsnavigator</t>
  </si>
  <si>
    <t>Navigator3.0</t>
  </si>
  <si>
    <t>werner.petri@meinberaterhaus.de</t>
  </si>
  <si>
    <t>Wer57fra$</t>
  </si>
  <si>
    <t>www.mach-plus-mit-protection.de</t>
  </si>
  <si>
    <t xml:space="preserve">Zurich, Herr Patrick Wiertz, 0228 / 268 25 23 / patrick.wiertz@zurich.com </t>
  </si>
  <si>
    <t>KIS</t>
  </si>
  <si>
    <t>2FifpLSg</t>
  </si>
  <si>
    <t>Zertifikat</t>
  </si>
  <si>
    <t>https://kunden.bkm.de/cas/login?</t>
  </si>
  <si>
    <t>Herr Schäfer</t>
  </si>
  <si>
    <t>MAXX-Net</t>
  </si>
  <si>
    <t>VHV-Tarife</t>
  </si>
  <si>
    <t>COPRA</t>
  </si>
  <si>
    <t>Easy Login (Web)</t>
  </si>
  <si>
    <t>Easy-Versicherungsportale-Login</t>
  </si>
  <si>
    <t>EL11827</t>
  </si>
  <si>
    <t>Token</t>
  </si>
  <si>
    <t>www.easy-login.de</t>
  </si>
  <si>
    <t>Easy Login</t>
  </si>
  <si>
    <t>Easy-Client</t>
  </si>
  <si>
    <t>ELBE (Online) SdV</t>
  </si>
  <si>
    <t>ELBE</t>
  </si>
  <si>
    <t>kugecufa891</t>
  </si>
  <si>
    <t>https://www.plan25.de/login.elbe</t>
  </si>
  <si>
    <t>fb-beraterwelt (ex fb-xpert)</t>
  </si>
  <si>
    <t>petri</t>
  </si>
  <si>
    <t>vowe2014</t>
  </si>
  <si>
    <t>HDI</t>
  </si>
  <si>
    <t>Firmen Digital</t>
  </si>
  <si>
    <t>https://www.hdi.de/apps</t>
  </si>
  <si>
    <t>Interrisk</t>
  </si>
  <si>
    <t>gesetzlichkrankenkassen.de</t>
  </si>
  <si>
    <t>WernerPetri</t>
  </si>
  <si>
    <t>www.makleraktiv.de</t>
  </si>
  <si>
    <t>R+V</t>
  </si>
  <si>
    <t>R+V Connect</t>
  </si>
  <si>
    <t>rom0s2s</t>
  </si>
  <si>
    <t>DATEV</t>
  </si>
  <si>
    <t>Versicherungsmarkt</t>
  </si>
  <si>
    <t>VM-Connect</t>
  </si>
  <si>
    <t>BusinessPlus</t>
  </si>
  <si>
    <t>Procheck24</t>
  </si>
  <si>
    <t>sonne</t>
  </si>
  <si>
    <t>Rhion</t>
  </si>
  <si>
    <t>IMA</t>
  </si>
  <si>
    <t>Inveda</t>
  </si>
  <si>
    <t>IMA-Sync</t>
  </si>
  <si>
    <t>ASC-Easy</t>
  </si>
  <si>
    <t>NAFI</t>
  </si>
  <si>
    <t>NAFI-Web</t>
  </si>
  <si>
    <t>SEB</t>
  </si>
  <si>
    <t>SEB-App</t>
  </si>
  <si>
    <t>BeraterHaus</t>
  </si>
  <si>
    <t>F31309H11</t>
  </si>
  <si>
    <t>verwaltung@beraterhaus</t>
  </si>
  <si>
    <t>SdV</t>
  </si>
  <si>
    <t>Schutzvereinigung der Vermittler</t>
  </si>
  <si>
    <t>SDV-20.902</t>
  </si>
  <si>
    <t>5GJBBp</t>
  </si>
  <si>
    <t>https://sdv-online.de/</t>
  </si>
  <si>
    <t>Finanzierungsplattform</t>
  </si>
  <si>
    <t>volker-tippmann-7961</t>
  </si>
  <si>
    <t>Dbhisjs61&amp;</t>
  </si>
  <si>
    <t>https://www.baufinex.de/marktplatz/</t>
  </si>
  <si>
    <t>volker_tippmann</t>
  </si>
  <si>
    <t>Starpool$1</t>
  </si>
  <si>
    <t>www.starpool.de</t>
  </si>
  <si>
    <t>MBH2020!</t>
  </si>
  <si>
    <t>http://cloud.drklein.de/index.php/s/XN2J4YLngxiEXGY</t>
  </si>
  <si>
    <t>MSC Fondskonzept</t>
  </si>
  <si>
    <t>Investmentplattform</t>
  </si>
  <si>
    <t>Google-Kalender</t>
  </si>
  <si>
    <t>Web-Browser / Google / Kalenender</t>
  </si>
  <si>
    <t>dasberaterhaus@gmail.com</t>
  </si>
  <si>
    <t>Berater&amp;Co.</t>
  </si>
  <si>
    <t>https://calendar.google.com/calendar/u/0/r/week</t>
  </si>
  <si>
    <t>BeraterHaus INTERN</t>
  </si>
  <si>
    <t>Paßwortverwaltung Makler-Extranets</t>
  </si>
  <si>
    <t>Fritz!Box</t>
  </si>
  <si>
    <t>Benutzer</t>
  </si>
  <si>
    <t>persönlich erfragen</t>
  </si>
  <si>
    <t>Alex</t>
  </si>
  <si>
    <t>Server</t>
  </si>
  <si>
    <t>Zentrale</t>
  </si>
  <si>
    <t>PC-Netzwerk</t>
  </si>
  <si>
    <t>Innendienst 1</t>
  </si>
  <si>
    <t>buero2009</t>
  </si>
  <si>
    <t>Innendienst 2</t>
  </si>
  <si>
    <t>Innendienst 3</t>
  </si>
  <si>
    <t>Werner Petri</t>
  </si>
  <si>
    <t>Volker Tippmann</t>
  </si>
  <si>
    <t>Frank Hesselbart</t>
  </si>
  <si>
    <t>Tommy Reif</t>
  </si>
  <si>
    <t>Institut für Vorsorge und Finazplanung</t>
  </si>
  <si>
    <t>https://portal.vorsorge-finanzplanung.de</t>
  </si>
  <si>
    <t>Wer57fra#</t>
  </si>
  <si>
    <t>Zugang</t>
  </si>
  <si>
    <t>berat1pt</t>
  </si>
  <si>
    <t>Allianz</t>
  </si>
  <si>
    <t>petri.w</t>
  </si>
  <si>
    <t>ARAG</t>
  </si>
  <si>
    <t>MP02723</t>
  </si>
  <si>
    <t>https://www.arag-partnervertrieb.de/</t>
  </si>
  <si>
    <t>Portal</t>
  </si>
  <si>
    <t>Advocard</t>
  </si>
  <si>
    <t>AXA</t>
  </si>
  <si>
    <t>uWybH3v6Ys</t>
  </si>
  <si>
    <t>Basler</t>
  </si>
  <si>
    <t>98527</t>
  </si>
  <si>
    <t>https://vema.basler-service.de</t>
  </si>
  <si>
    <t>Condor</t>
  </si>
  <si>
    <t>Continentale / Europa</t>
  </si>
  <si>
    <t>Degenia</t>
  </si>
  <si>
    <t>Mein703?</t>
  </si>
  <si>
    <t>MAK940862-0001</t>
  </si>
  <si>
    <t>Gothaer</t>
  </si>
  <si>
    <t>www.g-v-o.de</t>
  </si>
  <si>
    <t>Hanse-Merkur</t>
  </si>
  <si>
    <t>https://www.hansemerkur.de/maklersupport/</t>
  </si>
  <si>
    <t>berater09</t>
  </si>
  <si>
    <t>HKD</t>
  </si>
  <si>
    <t>silke.hengelhaupt@meinberaterhaus.de</t>
  </si>
  <si>
    <t>frank.malzahn@t-online.de</t>
  </si>
  <si>
    <t>Janitos</t>
  </si>
  <si>
    <t>Konzept &amp; Marketing</t>
  </si>
  <si>
    <t>Mannheimer</t>
  </si>
  <si>
    <t>Werner1.Petri</t>
  </si>
  <si>
    <t>Signal Iduna</t>
  </si>
  <si>
    <t>Beraterhaus.KG</t>
  </si>
  <si>
    <t>Wer57fra%</t>
  </si>
  <si>
    <t>www.SV-MAKLER.de</t>
  </si>
  <si>
    <t>berater1</t>
  </si>
  <si>
    <t>VKB Versicherungskammer Bayern</t>
  </si>
  <si>
    <t>Volkswohlbund</t>
  </si>
  <si>
    <t>Württembergische</t>
  </si>
  <si>
    <t>Würzburger</t>
  </si>
  <si>
    <t>WWK</t>
  </si>
  <si>
    <t>Berater22</t>
  </si>
  <si>
    <t>A1</t>
  </si>
  <si>
    <t>900426758302016</t>
  </si>
  <si>
    <t>AAB Augsburger Aktienbank</t>
  </si>
  <si>
    <t>A2</t>
  </si>
  <si>
    <t>Kroschwald / Invers</t>
  </si>
  <si>
    <t>A3</t>
  </si>
  <si>
    <t>20052</t>
  </si>
  <si>
    <t>A4</t>
  </si>
  <si>
    <t>2202_VEMA</t>
  </si>
  <si>
    <t>71518</t>
  </si>
  <si>
    <t>A5</t>
  </si>
  <si>
    <t>950212022</t>
  </si>
  <si>
    <t>950086739</t>
  </si>
  <si>
    <t>A6</t>
  </si>
  <si>
    <t>7305ba3d</t>
  </si>
  <si>
    <t>950094925</t>
  </si>
  <si>
    <t>A7</t>
  </si>
  <si>
    <t>BHSidJS61</t>
  </si>
  <si>
    <t>950205963 alt</t>
  </si>
  <si>
    <t>A8</t>
  </si>
  <si>
    <t>info@suhlfinanz.de</t>
  </si>
  <si>
    <t>3780145</t>
  </si>
  <si>
    <t>A9</t>
  </si>
  <si>
    <t>106151</t>
  </si>
  <si>
    <t>70/5523/00122700</t>
  </si>
  <si>
    <t>590/5509</t>
  </si>
  <si>
    <t>A10</t>
  </si>
  <si>
    <t>ISdBH61Jstr</t>
  </si>
  <si>
    <t>Maklerportal</t>
  </si>
  <si>
    <t>AIG  (ex WÜBA)</t>
  </si>
  <si>
    <t>16603000</t>
  </si>
  <si>
    <t>A11</t>
  </si>
  <si>
    <t>info@meinberaterhaus.de</t>
  </si>
  <si>
    <t>www.aigportal.de/hydra/#!/aig</t>
  </si>
  <si>
    <t>AIG Europe Limited (ex WÜBA)Angebot/Post</t>
  </si>
  <si>
    <t>50/110/2650</t>
  </si>
  <si>
    <t xml:space="preserve">70/585/0637 </t>
  </si>
  <si>
    <t>GMAFXMX</t>
  </si>
  <si>
    <t>über Zertifikat</t>
  </si>
  <si>
    <t>502062202</t>
  </si>
  <si>
    <t>50/110/1334</t>
  </si>
  <si>
    <t>7170</t>
  </si>
  <si>
    <t>600028446</t>
  </si>
  <si>
    <t>Alte Leipziger</t>
  </si>
  <si>
    <t>580678002</t>
  </si>
  <si>
    <t>Dbhisjs61*</t>
  </si>
  <si>
    <t>55956</t>
  </si>
  <si>
    <t>48794</t>
  </si>
  <si>
    <t>Dbhisjstr61+</t>
  </si>
  <si>
    <t>24600</t>
  </si>
  <si>
    <t>LM20000196</t>
  </si>
  <si>
    <t>Dbhisjs61#</t>
  </si>
  <si>
    <t>https://www.aok.de/vp</t>
  </si>
  <si>
    <t>05065</t>
  </si>
  <si>
    <t>36328</t>
  </si>
  <si>
    <t>Tommy22+</t>
  </si>
  <si>
    <t>Dbhsjs62</t>
  </si>
  <si>
    <t>0000100628121</t>
  </si>
  <si>
    <t>643/060344</t>
  </si>
  <si>
    <t>11005918075931</t>
  </si>
  <si>
    <t>AA2481-3</t>
  </si>
  <si>
    <t>643/AA2481-3</t>
  </si>
  <si>
    <t>7975101</t>
  </si>
  <si>
    <t>97733195</t>
  </si>
  <si>
    <t>pacco2006</t>
  </si>
  <si>
    <t>89299</t>
  </si>
  <si>
    <t>DeltaLloyd</t>
  </si>
  <si>
    <t>4187038</t>
  </si>
  <si>
    <t>3958752</t>
  </si>
  <si>
    <t>107175</t>
  </si>
  <si>
    <t>108980</t>
  </si>
  <si>
    <t>112366</t>
  </si>
  <si>
    <t>107351</t>
  </si>
  <si>
    <t>10/48/00/1783</t>
  </si>
  <si>
    <t>10/48/00/1778</t>
  </si>
  <si>
    <t>1035006249</t>
  </si>
  <si>
    <t>10/35/00/6249</t>
  </si>
  <si>
    <t>A31</t>
  </si>
  <si>
    <t>AXA Leben (alt  DBV-Leben)</t>
  </si>
  <si>
    <t>B31</t>
  </si>
  <si>
    <t>10/36/00/2754</t>
  </si>
  <si>
    <t>AXA30940</t>
  </si>
  <si>
    <t>Dahlie13</t>
  </si>
  <si>
    <r>
      <rPr>
        <b/>
        <sz val="11"/>
        <color rgb="FF000000"/>
        <rFont val="Calibri"/>
        <family val="2"/>
        <charset val="1"/>
      </rPr>
      <t>1048000805</t>
    </r>
    <r>
      <rPr>
        <sz val="11"/>
        <color theme="1" tint="0.49989318521683401"/>
        <rFont val="Calibri"/>
        <family val="2"/>
        <charset val="1"/>
      </rPr>
      <t xml:space="preserve">, 1048001741, 1048001767, 1048001772, </t>
    </r>
  </si>
  <si>
    <t>10/48/00/0805</t>
  </si>
  <si>
    <t>11/48/00/8586</t>
  </si>
  <si>
    <t>10/48/00/1767</t>
  </si>
  <si>
    <t>10/48/00/1741</t>
  </si>
  <si>
    <t>10/48/00/1772</t>
  </si>
  <si>
    <t>10/48/00/1791</t>
  </si>
  <si>
    <t>10/48/00/1296</t>
  </si>
  <si>
    <t>10/48/00/1268</t>
  </si>
  <si>
    <t>10/48/00/1674</t>
  </si>
  <si>
    <t>10/48/00/1743</t>
  </si>
  <si>
    <t>10/48/00/1190</t>
  </si>
  <si>
    <t>10/48/00/3645</t>
  </si>
  <si>
    <t>A33</t>
  </si>
  <si>
    <t>AXA Sach (Rahmenvertrag Kfz)</t>
  </si>
  <si>
    <t>B33</t>
  </si>
  <si>
    <t>130040363</t>
  </si>
  <si>
    <t>A34</t>
  </si>
  <si>
    <t>AXA Sach (Rahmenvertrag Sach)</t>
  </si>
  <si>
    <t>B34</t>
  </si>
  <si>
    <t>006548</t>
  </si>
  <si>
    <t>003816</t>
  </si>
  <si>
    <t>5707000805</t>
  </si>
  <si>
    <t>5707000376</t>
  </si>
  <si>
    <t>über fbs / Zurich</t>
  </si>
  <si>
    <t>782644</t>
  </si>
  <si>
    <t>76993201</t>
  </si>
  <si>
    <t>d7ad19f6</t>
  </si>
  <si>
    <t>0073/2556</t>
  </si>
  <si>
    <t>0021/1695</t>
  </si>
  <si>
    <t>!dBhiSjstr61!</t>
  </si>
  <si>
    <t>https://partner.basler-mietkaution.de/Account/LogOn?ReturnUrl=%2f</t>
  </si>
  <si>
    <t>600688</t>
  </si>
  <si>
    <t>ISdBH2020?</t>
  </si>
  <si>
    <t>www.basler-vertriebsservice.de</t>
  </si>
  <si>
    <t>082225</t>
  </si>
  <si>
    <t>00000000002603342</t>
  </si>
  <si>
    <t>871/0929</t>
  </si>
  <si>
    <t>VEMA-2202-00</t>
  </si>
  <si>
    <t>2202-00</t>
  </si>
  <si>
    <t>Baufinex</t>
  </si>
  <si>
    <t>agt6255</t>
  </si>
  <si>
    <t>BHiSJstr61+</t>
  </si>
  <si>
    <t>https://maklerportal.bhvg.de</t>
  </si>
  <si>
    <t>6255</t>
  </si>
  <si>
    <t>33500</t>
  </si>
  <si>
    <t>39646</t>
  </si>
  <si>
    <t>www.bhw-partner.de</t>
  </si>
  <si>
    <t>BHW</t>
  </si>
  <si>
    <t>02431917357</t>
  </si>
  <si>
    <t>20737185470.4 (0912/154224.6 (alt))</t>
  </si>
  <si>
    <t>Mainz02.2019</t>
  </si>
  <si>
    <t>https://vpotal.bkm.de</t>
  </si>
  <si>
    <t>EBqdh2#Z</t>
  </si>
  <si>
    <t>www.brandgilde-versicherungskontor.de</t>
  </si>
  <si>
    <t>Brandgilde</t>
  </si>
  <si>
    <t>14356</t>
  </si>
  <si>
    <t>A5G6-Pet</t>
  </si>
  <si>
    <t>beraterhaus1</t>
  </si>
  <si>
    <t>Sicherheitsabfrage: Mädchenname Mutter: Wolf</t>
  </si>
  <si>
    <t>A5G6</t>
  </si>
  <si>
    <t>4181</t>
  </si>
  <si>
    <t>000 20 50000</t>
  </si>
  <si>
    <t>www.carglass4partners.de (Service-Nr. 3655829222)</t>
  </si>
  <si>
    <t>3655829222</t>
  </si>
  <si>
    <t>bronko</t>
  </si>
  <si>
    <t>xnet\25111000</t>
  </si>
  <si>
    <t>25111000</t>
  </si>
  <si>
    <t>55280055</t>
  </si>
  <si>
    <t>55110</t>
  </si>
  <si>
    <t>14855, (806252 alt)</t>
  </si>
  <si>
    <t>806252</t>
  </si>
  <si>
    <t>58/14855</t>
  </si>
  <si>
    <t xml:space="preserve">58/14855 </t>
  </si>
  <si>
    <t>6100401</t>
  </si>
  <si>
    <t>berater17</t>
  </si>
  <si>
    <t>https://portal.covomo.de/</t>
  </si>
  <si>
    <t>Covomo</t>
  </si>
  <si>
    <t>49237783</t>
  </si>
  <si>
    <t>https://www.fbs-partner.de/check-in/</t>
  </si>
  <si>
    <t>fbs (ex DA direkt; Zurich)</t>
  </si>
  <si>
    <t>00106876</t>
  </si>
  <si>
    <t>Meinberater2020!</t>
  </si>
  <si>
    <t>40199</t>
  </si>
  <si>
    <t>23226630</t>
  </si>
  <si>
    <t>xDjcn6pH</t>
  </si>
  <si>
    <t>20124-26</t>
  </si>
  <si>
    <t>47502</t>
  </si>
  <si>
    <t>51089</t>
  </si>
  <si>
    <t>42992</t>
  </si>
  <si>
    <t>52516R</t>
  </si>
  <si>
    <t>DLVAG (Deutsche Lebensversicherung AG / Allianz)</t>
  </si>
  <si>
    <t>70/2020418</t>
  </si>
  <si>
    <t>998-1847</t>
  </si>
  <si>
    <t>U061971</t>
  </si>
  <si>
    <t>Winter16</t>
  </si>
  <si>
    <t>Deutscher Ring KV</t>
  </si>
  <si>
    <t>8656194</t>
  </si>
  <si>
    <t>DBHiSJstr61</t>
  </si>
  <si>
    <t>122700</t>
  </si>
  <si>
    <t>480203</t>
  </si>
  <si>
    <t>48/0203</t>
  </si>
  <si>
    <t>Abrechnung I76H358 PW: werner11</t>
  </si>
  <si>
    <t>205585</t>
  </si>
  <si>
    <t>103677,  293181</t>
  </si>
  <si>
    <t>103680</t>
  </si>
  <si>
    <t>103681</t>
  </si>
  <si>
    <t>103682</t>
  </si>
  <si>
    <t>alt 186604</t>
  </si>
  <si>
    <t>198529</t>
  </si>
  <si>
    <t>alt 198653</t>
  </si>
  <si>
    <t>alt 205583</t>
  </si>
  <si>
    <t>alt 115534</t>
  </si>
  <si>
    <t>alt 571720 (600/1679 alt)</t>
  </si>
  <si>
    <t xml:space="preserve"> alt 806063</t>
  </si>
  <si>
    <t>156902</t>
  </si>
  <si>
    <t>103679</t>
  </si>
  <si>
    <t>103959</t>
  </si>
  <si>
    <t>MAK095910-0001</t>
  </si>
  <si>
    <t>http://www.diebayerische-makler.de ODER https://www.bbv.de/Portal</t>
  </si>
  <si>
    <t>die Bayersiche</t>
  </si>
  <si>
    <t>095910</t>
  </si>
  <si>
    <t>o15gL68w</t>
  </si>
  <si>
    <t>940862</t>
  </si>
  <si>
    <t>002992 / 95022 (Patronus)</t>
  </si>
  <si>
    <t>940341</t>
  </si>
  <si>
    <t>942053</t>
  </si>
  <si>
    <t>beraterhaus</t>
  </si>
  <si>
    <t>www.sterbegeld-hdh.de</t>
  </si>
  <si>
    <t>1700999</t>
  </si>
  <si>
    <t>DKB</t>
  </si>
  <si>
    <t>21 122</t>
  </si>
  <si>
    <t>23954</t>
  </si>
  <si>
    <t>Anmeldung über VEMA Sprungbrett</t>
  </si>
  <si>
    <t>9458</t>
  </si>
  <si>
    <t>6650</t>
  </si>
  <si>
    <t>VEMA2202</t>
  </si>
  <si>
    <t>signal</t>
  </si>
  <si>
    <t xml:space="preserve">https://office.domcura.de </t>
  </si>
  <si>
    <t>29491</t>
  </si>
  <si>
    <t>ebase BH-JDC</t>
  </si>
  <si>
    <t>ebase BH-Invers</t>
  </si>
  <si>
    <t>hesself</t>
  </si>
  <si>
    <t>hubert57</t>
  </si>
  <si>
    <t>ebase Frank-JDC</t>
  </si>
  <si>
    <t>petriw</t>
  </si>
  <si>
    <t>ebase Werner-JDC</t>
  </si>
  <si>
    <t>TOREI123</t>
  </si>
  <si>
    <t>ebaseTommy-JDC</t>
  </si>
  <si>
    <t>E878895</t>
  </si>
  <si>
    <t>Berater2</t>
  </si>
  <si>
    <t>https://makler.ergo.de/de-DE/Login/easy%20Login.aspx</t>
  </si>
  <si>
    <t>E922841</t>
  </si>
  <si>
    <t>PIN 98527</t>
  </si>
  <si>
    <t>00555-1323</t>
  </si>
  <si>
    <t>dkv</t>
  </si>
  <si>
    <t>245353852</t>
  </si>
  <si>
    <t>24535-6066</t>
  </si>
  <si>
    <t>5563578</t>
  </si>
  <si>
    <t>886221478</t>
  </si>
  <si>
    <t>60001-3404</t>
  </si>
  <si>
    <t>60001-3025</t>
  </si>
  <si>
    <t>015317002202</t>
  </si>
  <si>
    <t>www.europa.de/vep</t>
  </si>
  <si>
    <t>9200754</t>
  </si>
  <si>
    <t>V201193478</t>
  </si>
  <si>
    <t>firma1</t>
  </si>
  <si>
    <t>V8446566</t>
  </si>
  <si>
    <t>Fondskonzept AG (ex Invers)</t>
  </si>
  <si>
    <t>98144</t>
  </si>
  <si>
    <t>MSC</t>
  </si>
  <si>
    <t>Fondskonzept</t>
  </si>
  <si>
    <t>98162</t>
  </si>
  <si>
    <t>tippi</t>
  </si>
  <si>
    <t>Fondskonzept AG (ex Atvantis)</t>
  </si>
  <si>
    <t>98010</t>
  </si>
  <si>
    <t>3362</t>
  </si>
  <si>
    <t xml:space="preserve">petri </t>
  </si>
  <si>
    <t>dbhisj61</t>
  </si>
  <si>
    <t>versWPetri</t>
  </si>
  <si>
    <t>F51Yc98Q</t>
  </si>
  <si>
    <t>nb52fr</t>
  </si>
  <si>
    <t>GMAX (JDC)</t>
  </si>
  <si>
    <t>309936</t>
  </si>
  <si>
    <t>Berater</t>
  </si>
  <si>
    <t>BRlFHO3k</t>
  </si>
  <si>
    <t>11288</t>
  </si>
  <si>
    <t>38580</t>
  </si>
  <si>
    <t>57319</t>
  </si>
  <si>
    <t>691-2336</t>
  </si>
  <si>
    <t>690-3088</t>
  </si>
  <si>
    <t>V103297</t>
  </si>
  <si>
    <t>https://secure.makler.gothaer.de/de/home/Homepage.jsp</t>
  </si>
  <si>
    <t>28446</t>
  </si>
  <si>
    <t>05.165</t>
  </si>
  <si>
    <t>MhTHtFwr</t>
  </si>
  <si>
    <t>3638</t>
  </si>
  <si>
    <t>009534-457</t>
  </si>
  <si>
    <t>007993-201</t>
  </si>
  <si>
    <t>9104-057</t>
  </si>
  <si>
    <t>007993-209; ex 007782-031</t>
  </si>
  <si>
    <t>1665-004</t>
  </si>
  <si>
    <t>160999</t>
  </si>
  <si>
    <t>482367</t>
  </si>
  <si>
    <t>VL400898-001</t>
  </si>
  <si>
    <t>VL103392-001</t>
  </si>
  <si>
    <t>VL100142-108</t>
  </si>
  <si>
    <t>3365483e</t>
  </si>
  <si>
    <t>iponmgb</t>
  </si>
  <si>
    <t>3365483</t>
  </si>
  <si>
    <t>https://secure.hmrv.de/rvw-ba/baEingabe.jsf</t>
  </si>
  <si>
    <t>854752</t>
  </si>
  <si>
    <t>ohne Riester+BU</t>
  </si>
  <si>
    <t>755761</t>
  </si>
  <si>
    <t>Jstr61dBHiS+</t>
  </si>
  <si>
    <t>519080</t>
  </si>
  <si>
    <t>021449</t>
  </si>
  <si>
    <t>612601</t>
  </si>
  <si>
    <t>540245</t>
  </si>
  <si>
    <t>2020002410</t>
  </si>
  <si>
    <t>203-44780</t>
  </si>
  <si>
    <t>2030029088</t>
  </si>
  <si>
    <t>6087000</t>
  </si>
  <si>
    <t>Vowe2018!</t>
  </si>
  <si>
    <t>www.hek-partnerportal.de</t>
  </si>
  <si>
    <t>700 1606 741</t>
  </si>
  <si>
    <t>2003532</t>
  </si>
  <si>
    <t>98530</t>
  </si>
  <si>
    <t>V09852</t>
  </si>
  <si>
    <t>08260</t>
  </si>
  <si>
    <t>Molly</t>
  </si>
  <si>
    <t>A568063</t>
  </si>
  <si>
    <t>https://www.inter-makler.net/postbox/#login:</t>
  </si>
  <si>
    <t>M79852707</t>
  </si>
  <si>
    <t>https://imap.interlloyd.de/base/default/login</t>
  </si>
  <si>
    <t>Sommer19</t>
  </si>
  <si>
    <t>Referenznummer: 962486 PIN: 408534</t>
  </si>
  <si>
    <t>InterRisk</t>
  </si>
  <si>
    <t>Partnernr:911322</t>
  </si>
  <si>
    <t>https://extranet.interrisk.de/secure/login.do;jsessionid=arnyZKfRXkL6</t>
  </si>
  <si>
    <t>InterRisk (GDV-Sach)</t>
  </si>
  <si>
    <t>Invers (Röder)</t>
  </si>
  <si>
    <t>7993201-12</t>
  </si>
  <si>
    <t>tippmann</t>
  </si>
  <si>
    <t>Invers (Tippmann)</t>
  </si>
  <si>
    <t>Invers (Hildebrand)</t>
  </si>
  <si>
    <t>7993201-10</t>
  </si>
  <si>
    <t>Invers (Petri)</t>
  </si>
  <si>
    <t>BHSJstr61</t>
  </si>
  <si>
    <t>berater5</t>
  </si>
  <si>
    <t>Itzehoer (LadyMobil)</t>
  </si>
  <si>
    <t>DBHi98527SJstr</t>
  </si>
  <si>
    <t>werpetri</t>
  </si>
  <si>
    <t>Berater1</t>
  </si>
  <si>
    <t>hpetri //  wer57fra</t>
  </si>
  <si>
    <t>Jung DMS (BH)</t>
  </si>
  <si>
    <t>Jung DMS (ex-Frank)</t>
  </si>
  <si>
    <t>Jung DMS (ex-Werner)</t>
  </si>
  <si>
    <t>Jung DMS (Frank)</t>
  </si>
  <si>
    <t>Jung DMS (Werner)</t>
  </si>
  <si>
    <t>Jung DMS (Tommy)</t>
  </si>
  <si>
    <t>JD276008641</t>
  </si>
  <si>
    <t>nURtnVBv</t>
  </si>
  <si>
    <t>https://www.juradirekt.com</t>
  </si>
  <si>
    <t>juradirekt</t>
  </si>
  <si>
    <t>DB_H57VgmbH</t>
  </si>
  <si>
    <t>http://www.kab-maklerservice.de</t>
  </si>
  <si>
    <t>KAB Maklerservice</t>
  </si>
  <si>
    <t>rom1zsf</t>
  </si>
  <si>
    <t>mazdacx5</t>
  </si>
  <si>
    <t>https://online.ruv.de/kravag/index.jsp</t>
  </si>
  <si>
    <t>RMP0F70</t>
  </si>
  <si>
    <t>!Di08-29</t>
  </si>
  <si>
    <t>LV1871</t>
  </si>
  <si>
    <t>www.pkv-tarifoptimierung.de</t>
  </si>
  <si>
    <t>PetriWer</t>
  </si>
  <si>
    <t>Myfin24</t>
  </si>
  <si>
    <t>berater1%</t>
  </si>
  <si>
    <t>https://markelnow.markel.de</t>
  </si>
  <si>
    <t>M0000004057-1</t>
  </si>
  <si>
    <t>molly</t>
  </si>
  <si>
    <t>JStr61dBH@</t>
  </si>
  <si>
    <t>https://www.mvk-versicherung.de/de/makler</t>
  </si>
  <si>
    <t>DBHiSJstr61&amp;</t>
  </si>
  <si>
    <t>Dbhisjs612020#</t>
  </si>
  <si>
    <t>Vertriebsportal (www.monuta.de/vertriebspartner)</t>
  </si>
  <si>
    <t>Kundenportal (www.monutanet.de)</t>
  </si>
  <si>
    <t>Vermittler36656</t>
  </si>
  <si>
    <t>berater</t>
  </si>
  <si>
    <t>B301777</t>
  </si>
  <si>
    <t>berg1 (+secure-ID)</t>
  </si>
  <si>
    <t>https://www.nuernberger-portal.de/</t>
  </si>
  <si>
    <t>NVG_0412</t>
  </si>
  <si>
    <t>Nürnberger Dokumente</t>
  </si>
  <si>
    <t>nv-11072s</t>
  </si>
  <si>
    <t>gwn606</t>
  </si>
  <si>
    <t>www.mein-nv.net</t>
  </si>
  <si>
    <t>nv-7993201s</t>
  </si>
  <si>
    <t>btk119</t>
  </si>
  <si>
    <t>w325</t>
  </si>
  <si>
    <t>makler.keinesorgen.de</t>
  </si>
  <si>
    <t>http://www.ostangler.de</t>
  </si>
  <si>
    <t>https://your.prismalife.com</t>
  </si>
  <si>
    <t>wepe200709</t>
  </si>
  <si>
    <t>co22628</t>
  </si>
  <si>
    <t>WER57fra!Suhl</t>
  </si>
  <si>
    <t>http://www.kreditconnect.de/</t>
  </si>
  <si>
    <t>R+V (Mietkaution)</t>
  </si>
  <si>
    <t>R+V (Connect)</t>
  </si>
  <si>
    <t>www.makle.ruv.de</t>
  </si>
  <si>
    <t>BHSJstr61%pw</t>
  </si>
  <si>
    <t>Roland Rechtsschutz</t>
  </si>
  <si>
    <t>Foul5slf</t>
  </si>
  <si>
    <t>schleswigerag</t>
  </si>
  <si>
    <t>Sibh9861</t>
  </si>
  <si>
    <t>Signal alt:1370/02419</t>
  </si>
  <si>
    <t>alt:296/4196</t>
  </si>
  <si>
    <t>Zugang Petri</t>
  </si>
  <si>
    <t>SLP / Swiss Life</t>
  </si>
  <si>
    <t>Berater5114</t>
  </si>
  <si>
    <t>www.stromschalten.de</t>
  </si>
  <si>
    <t>volker.tippmann@meinberaterhaus.de</t>
  </si>
  <si>
    <t>SV SparkassenVersicherung  AG</t>
  </si>
  <si>
    <t>petriwer</t>
  </si>
  <si>
    <t>TUTUS_Makler</t>
  </si>
  <si>
    <t>b4Tutus_Abf</t>
  </si>
  <si>
    <t>www.vortiva.de</t>
  </si>
  <si>
    <t>v-universa</t>
  </si>
  <si>
    <t>VP-Vertrieb#2023</t>
  </si>
  <si>
    <t>token</t>
  </si>
  <si>
    <t>siehe AMS Anmerkungen</t>
  </si>
  <si>
    <t>501588000</t>
  </si>
  <si>
    <t>057383000</t>
  </si>
  <si>
    <t>A221</t>
  </si>
  <si>
    <t>B221</t>
  </si>
  <si>
    <t>2000-6900-5</t>
  </si>
  <si>
    <t>6850-5223-7</t>
  </si>
  <si>
    <t>6850-6517-7 ( kein LV-Bestand)</t>
  </si>
  <si>
    <t>0808-5263-0</t>
  </si>
  <si>
    <t>6850-5223-7         (alt 6810-7151-2)</t>
  </si>
  <si>
    <t>Mailadressen für Bestandsübertragungen</t>
  </si>
  <si>
    <t>Courtagekonten</t>
  </si>
  <si>
    <t>Maxpool</t>
  </si>
  <si>
    <t>Sach</t>
  </si>
  <si>
    <t>kfz</t>
  </si>
  <si>
    <t>Leben</t>
  </si>
  <si>
    <t>Kranken</t>
  </si>
  <si>
    <t>Bestandsuebertragung-Makler@axa.de</t>
  </si>
  <si>
    <t>10/48/00/0805 bzw. 003816</t>
  </si>
  <si>
    <t>AXA Kfz</t>
  </si>
  <si>
    <t>AXA Kranken</t>
  </si>
  <si>
    <t>amvb-uebertragung@allianz.de</t>
  </si>
  <si>
    <t>lebensversicherung@allianz.de</t>
  </si>
  <si>
    <t>70/202/2262</t>
  </si>
  <si>
    <t>APKV-ZMSB-KUWU@allianz.de</t>
  </si>
  <si>
    <r>
      <rPr>
        <i/>
        <sz val="11"/>
        <color rgb="FF000000"/>
        <rFont val="Arial"/>
        <family val="2"/>
        <charset val="1"/>
      </rPr>
      <t>70/585/0637</t>
    </r>
    <r>
      <rPr>
        <sz val="11"/>
        <color rgb="FF000000"/>
        <rFont val="Arial"/>
        <family val="2"/>
        <charset val="1"/>
      </rPr>
      <t xml:space="preserve"> </t>
    </r>
  </si>
  <si>
    <t>Alte Leipziger Leben</t>
  </si>
  <si>
    <t>vertrieb@alte-leipziger.de</t>
  </si>
  <si>
    <t>Alte Leipziger Sach</t>
  </si>
  <si>
    <t>bu-makler@arag.de</t>
  </si>
  <si>
    <t>Barmenia Versicherung</t>
  </si>
  <si>
    <t>md-leipzig@barmenia.de</t>
  </si>
  <si>
    <t>Die Bayerische</t>
  </si>
  <si>
    <t>provisionsreklamation@diebayerische.de</t>
  </si>
  <si>
    <t>maklerauftraege-b@ergo.de</t>
  </si>
  <si>
    <t>(H) 887884 (V) 886986</t>
  </si>
  <si>
    <t>Generali Sach</t>
  </si>
  <si>
    <t>gen-maklerauftrag@generali.de</t>
  </si>
  <si>
    <t>293181</t>
  </si>
  <si>
    <t>Generali Kfz</t>
  </si>
  <si>
    <t>Generali Leben</t>
  </si>
  <si>
    <t>lv_service@gothaer.de</t>
  </si>
  <si>
    <t>Gothaer Kranken</t>
  </si>
  <si>
    <t>kv_service@gothaer.de</t>
  </si>
  <si>
    <t>gkc_mm@gothaer.de</t>
  </si>
  <si>
    <t>Heiko.Domigalle@hansemerkur.de</t>
  </si>
  <si>
    <t>221/1200468</t>
  </si>
  <si>
    <t>Hallesche Kranken</t>
  </si>
  <si>
    <t>VTW-ZK-ZB@alte-leipziger.de</t>
  </si>
  <si>
    <t>leben.service@hdi.de</t>
  </si>
  <si>
    <t>203166</t>
  </si>
  <si>
    <t>HK.Vertrag@hdi.de</t>
  </si>
  <si>
    <t>bestandsuebertragung@invers-gruppe.de</t>
  </si>
  <si>
    <t>7993201-xx</t>
  </si>
  <si>
    <t>maklerservice@inter.de</t>
  </si>
  <si>
    <t>G_Vertriebsverwaltung_Makler@ruv.de</t>
  </si>
  <si>
    <t>770/771072</t>
  </si>
  <si>
    <t>florian.steinhilber@lv1871.de</t>
  </si>
  <si>
    <t>Nürnberger Leben</t>
  </si>
  <si>
    <t>michael.hoffmann@nuernberger.de</t>
  </si>
  <si>
    <t>152/05/3992</t>
  </si>
  <si>
    <t>Nürnberger Sach</t>
  </si>
  <si>
    <t>Ronald.Schleicher@nuernberger.de</t>
  </si>
  <si>
    <t>mdleipzig@mannheimer.de</t>
  </si>
  <si>
    <t>522/89456</t>
  </si>
  <si>
    <t>Rhion Versicherung</t>
  </si>
  <si>
    <t>zva@rhion.de</t>
  </si>
  <si>
    <t>maklerauftrag@signal-iduna.de</t>
  </si>
  <si>
    <t>1370/02419</t>
  </si>
  <si>
    <t>kc-ost@volkswohl-bund.de</t>
  </si>
  <si>
    <t xml:space="preserve">184/204 </t>
  </si>
  <si>
    <t>mandatsbearbeitung@wuerttembergische.de</t>
  </si>
  <si>
    <t>6810-7150-4</t>
  </si>
  <si>
    <t>6810-7151-2</t>
  </si>
  <si>
    <t xml:space="preserve">ansonsten über Maklerbetreuer einreichen </t>
  </si>
  <si>
    <t>Art der Zustellung</t>
  </si>
  <si>
    <t>Briefpost</t>
  </si>
  <si>
    <t>AMS/Concenter</t>
  </si>
  <si>
    <t>Doppelerfassung</t>
  </si>
  <si>
    <t>nur csv</t>
  </si>
  <si>
    <t>über R+V</t>
  </si>
  <si>
    <t>Transferservice</t>
  </si>
  <si>
    <t>Easy-Login</t>
  </si>
  <si>
    <t>gdv</t>
  </si>
  <si>
    <t>die Bayerische</t>
  </si>
  <si>
    <t>Direct Line</t>
  </si>
  <si>
    <t>E-Mail</t>
  </si>
  <si>
    <t>DBV</t>
  </si>
  <si>
    <t>Haftpflichtkasse</t>
  </si>
  <si>
    <t>Extranet</t>
  </si>
  <si>
    <t>keine Briefpost</t>
  </si>
  <si>
    <t>KRAVAG</t>
  </si>
  <si>
    <t>KS-Auxilia</t>
  </si>
  <si>
    <t>PDF; GDV</t>
  </si>
  <si>
    <t>R+V Versicherung</t>
  </si>
  <si>
    <t>PDF</t>
  </si>
  <si>
    <t>TGIC</t>
  </si>
  <si>
    <t>WüBa</t>
  </si>
  <si>
    <t>007975-101</t>
  </si>
  <si>
    <t>Vermittlernummern (alle Versicherer) Stand: 13.01.2017</t>
  </si>
  <si>
    <t>Versicherer</t>
  </si>
  <si>
    <t>VmNr</t>
  </si>
  <si>
    <t>Attribute</t>
  </si>
  <si>
    <t>Aachener Bausparkasse AG</t>
  </si>
  <si>
    <t>keine Anbindung (VR)</t>
  </si>
  <si>
    <t>Advigon Versicherung AG</t>
  </si>
  <si>
    <t>Zuordnung bestätigt</t>
  </si>
  <si>
    <t>Aegon  Niederlassung Deutschland der Aegon Ireland plc</t>
  </si>
  <si>
    <t>16603-000</t>
  </si>
  <si>
    <t>ALLCURA  Versicherungs-Aktiengesellschaft</t>
  </si>
  <si>
    <t>Allianz Versicherungen</t>
  </si>
  <si>
    <t>0603123</t>
  </si>
  <si>
    <t>Zuordnung bestätigt 
 KV</t>
  </si>
  <si>
    <t>keine Anbindung (VR) 
 Sach</t>
  </si>
  <si>
    <t>501102650</t>
  </si>
  <si>
    <t>Zuordnung bestätigt 
 LV</t>
  </si>
  <si>
    <t>702022262</t>
  </si>
  <si>
    <t>Zuordnung bestätigt 
 CZ beendet (VM) 
 LV</t>
  </si>
  <si>
    <t>705850637</t>
  </si>
  <si>
    <t>Zuordnung bestätigt 
 KV</t>
  </si>
  <si>
    <t>Allianz Esa cargo &amp; logistics GmbH</t>
  </si>
  <si>
    <t>Allianz Global Assistance</t>
  </si>
  <si>
    <t>ALTE LEIPZIGER</t>
  </si>
  <si>
    <t>nicht zugeordnet 
 LV 
 Sach</t>
  </si>
  <si>
    <t>Verbundnummer</t>
  </si>
  <si>
    <t>Alte Oldenburger Krankenversicherung AG</t>
  </si>
  <si>
    <t>Amlin Insurance SE Direktion für Deutschland</t>
  </si>
  <si>
    <t>Ammerländer Versicherung VVaG</t>
  </si>
  <si>
    <t>ANGLO Underwriting GmbH</t>
  </si>
  <si>
    <t>Atradius Kreditversicherung</t>
  </si>
  <si>
    <t>Zuordnung bestätigt 
 CZ beendet (VM)</t>
  </si>
  <si>
    <t>AXA Versicherungen</t>
  </si>
  <si>
    <t>nicht zugeordnet 
 LV</t>
  </si>
  <si>
    <t>1048000805</t>
  </si>
  <si>
    <t>Zuordnung bestätigt 
 Sach</t>
  </si>
  <si>
    <t>1048001741</t>
  </si>
  <si>
    <t>nicht für Neugeschäft 
 Sach</t>
  </si>
  <si>
    <t>1048001767</t>
  </si>
  <si>
    <t>1048001772</t>
  </si>
  <si>
    <t>1048001791</t>
  </si>
  <si>
    <t>nicht zugeordnet 
 KV</t>
  </si>
  <si>
    <t>Baden-Badener Versicherung AG</t>
  </si>
  <si>
    <t>Baloise Luxembourg</t>
  </si>
  <si>
    <t>0021/1650</t>
  </si>
  <si>
    <t>nicht zugeordnet</t>
  </si>
  <si>
    <t>Basler Versicherungen</t>
  </si>
  <si>
    <t>BavariaDirekt OVAG - Ostdeutsche Versicherung Aktiengesellschaft</t>
  </si>
  <si>
    <t>Bayerische Hausbesitzer-Versicherungs-Gesellschaft a.G.</t>
  </si>
  <si>
    <t>Berliner Versicherung (BVAG)</t>
  </si>
  <si>
    <t>BGV / Badische Versicherungen</t>
  </si>
  <si>
    <t>BSG Basler Service GmbH</t>
  </si>
  <si>
    <t>Care Concept AG</t>
  </si>
  <si>
    <t>Carl Rieck Assecuradeur GmbH</t>
  </si>
  <si>
    <t>CENTRAL</t>
  </si>
  <si>
    <t>Chubb Insurance Company of Europe SE</t>
  </si>
  <si>
    <t>Coface</t>
  </si>
  <si>
    <t>Concordia Versicherungen</t>
  </si>
  <si>
    <t>35143/000</t>
  </si>
  <si>
    <t>Concordia oeco Lebensversicherungs-AG</t>
  </si>
  <si>
    <t>Condor Versicherungen</t>
  </si>
  <si>
    <t>14855</t>
  </si>
  <si>
    <t>nicht zugeordnet 
 Investmentfonds 
 LV</t>
  </si>
  <si>
    <t>Zuordnung bestätigt 
 LV</t>
  </si>
  <si>
    <t>Confiserie Burg Lauenstein GmbH</t>
  </si>
  <si>
    <t>CONSAL (BBKK und UKV)</t>
  </si>
  <si>
    <t>Continentale Versicherungen</t>
  </si>
  <si>
    <t>Zuordnung nicht gewünscht 
 Zuordnung von VR abgelehnt</t>
  </si>
  <si>
    <t>D.A.S. Allgemeine Rechtsschutz Versicherung AG (ERGO)</t>
  </si>
  <si>
    <t>DA direkt - Deutsche Allgemeine Versicherung (Zurich Gruppe)</t>
  </si>
  <si>
    <t>DEURAG Versicherungen</t>
  </si>
  <si>
    <t>Anbindung über Invers</t>
  </si>
  <si>
    <t>Deutscher Ring Krankenversicherung</t>
  </si>
  <si>
    <t>911/0988</t>
  </si>
  <si>
    <t>DEVK Deutsche Eisenbahn Versicherung</t>
  </si>
  <si>
    <t>DFV Deutsche Familienversicherung AG</t>
  </si>
  <si>
    <t>Dialog Lebensversicherung</t>
  </si>
  <si>
    <t>Die Bayerische (ehemals BBV)</t>
  </si>
  <si>
    <t>Die Hinterbliebenenkasse HDH Versicherungsverein a G.</t>
  </si>
  <si>
    <t>Direct Line Versicherung AG</t>
  </si>
  <si>
    <t>DKV Krankenversicherung AG (ERGO)</t>
  </si>
  <si>
    <t>88622-1478</t>
  </si>
  <si>
    <t>886985</t>
  </si>
  <si>
    <t>nicht für Neugeschäft 
 Verbundnummer</t>
  </si>
  <si>
    <t>Docura VVaG Versicherungen</t>
  </si>
  <si>
    <t>DOMCURA AG</t>
  </si>
  <si>
    <t>elipsLife German Branch</t>
  </si>
  <si>
    <t>Ergo LV</t>
  </si>
  <si>
    <t>Zuordnung bestätigt 
 nicht zugeordnet 
 LV</t>
  </si>
  <si>
    <t>nicht für Neugeschäft 
 LV 
 Verbundnummer</t>
  </si>
  <si>
    <t>ERV AG (ERGO)</t>
  </si>
  <si>
    <t>Euler Hermes Kreditversicherungs-AG</t>
  </si>
  <si>
    <t>EUROPA Versicherungen</t>
  </si>
  <si>
    <t>EXTREMUS Versicherungs-AG</t>
  </si>
  <si>
    <t>FondsKonzept AG</t>
  </si>
  <si>
    <t>Courtagezusage beantragt</t>
  </si>
  <si>
    <t>Friends Provident International fpb financial partners business AG</t>
  </si>
  <si>
    <t>Generali Versicherungen / Advocard Rechtsschutz</t>
  </si>
  <si>
    <t>German Assistance Versicherung AG</t>
  </si>
  <si>
    <t>GHV Darmstadt Anstalt des öffentlichen Rechts</t>
  </si>
  <si>
    <t>28.446</t>
  </si>
  <si>
    <t>Zuordnung bestätigt 
 Sach</t>
  </si>
  <si>
    <t>Zuordnung bestätigt 
 LV</t>
  </si>
  <si>
    <t>Grundeigentuemer Versicherung VVaG</t>
  </si>
  <si>
    <t>GVO Gegenseitigkeit Versicherung Oldenburg VVaG</t>
  </si>
  <si>
    <t>Hallesche Private Krankenversicherung</t>
  </si>
  <si>
    <t>Hannoversche Leben</t>
  </si>
  <si>
    <t>501588-000</t>
  </si>
  <si>
    <t>HanseMerkur Versicherungsgruppe</t>
  </si>
  <si>
    <t>HDI Versicherungen</t>
  </si>
  <si>
    <t>202-0002410</t>
  </si>
  <si>
    <t>Zuordnung bestätigt 
 Sondernummer für VEMA-Rahmenvertrag etc.</t>
  </si>
  <si>
    <t>203-28322</t>
  </si>
  <si>
    <t>spezielle Vermittlernummer notwendig 
 Sach</t>
  </si>
  <si>
    <t>212-33950</t>
  </si>
  <si>
    <t>212-33951</t>
  </si>
  <si>
    <t>HDNA Haftplichtgemeinschaft Deutscher Nahverkehrs- und Versorgungsunternehmen Allg. VVaG</t>
  </si>
  <si>
    <t>Helvetia Versicherungen</t>
  </si>
  <si>
    <t>200/3532</t>
  </si>
  <si>
    <t>Hiscox Europe  - direkte Anbindung oder über Anglo (Fidelis)</t>
  </si>
  <si>
    <t>HKD Haftpflichtkasse Darmstadt</t>
  </si>
  <si>
    <t>HUK-COBURG / Bruderhilfe</t>
  </si>
  <si>
    <t>HÜBENER Versicherungs AG</t>
  </si>
  <si>
    <t>IDEAL</t>
  </si>
  <si>
    <t>Intasure</t>
  </si>
  <si>
    <t>INTER Versicherungsgruppe</t>
  </si>
  <si>
    <t>INTERLLOYD Versicherungs-AG</t>
  </si>
  <si>
    <t>Interrisk Versicherungen</t>
  </si>
  <si>
    <t>Itzehoer Versicherungen</t>
  </si>
  <si>
    <t>Zuordnung nicht gewünscht 
 Anbindung anderen Pool</t>
  </si>
  <si>
    <t>Janitos Versicherung AG</t>
  </si>
  <si>
    <t>77750001</t>
  </si>
  <si>
    <t>Zweitnummer ohne Zuordnung</t>
  </si>
  <si>
    <t>92932202</t>
  </si>
  <si>
    <t>Konzept und Marketing Gruppe (K&amp;M)</t>
  </si>
  <si>
    <t>LBN Versicherungsverein a.G.</t>
  </si>
  <si>
    <t>LifeFinance KG</t>
  </si>
  <si>
    <t>LKH Landeskrankenhilfe</t>
  </si>
  <si>
    <t>LOESSEL.COMMUNICATION PBX.Network.Broadcast.</t>
  </si>
  <si>
    <t>LTA Lifecard Travel Assistance Gesellschaft für Reiseschutz mbH</t>
  </si>
  <si>
    <t>LV1871 Lebensversicherung von 1871 / Delta Direkt</t>
  </si>
  <si>
    <t>Mannheimer Versicherungen</t>
  </si>
  <si>
    <t>Anbindung anderen Pool 
 KV</t>
  </si>
  <si>
    <t>Markel International</t>
  </si>
  <si>
    <t>Medien-Versicherung a.G.</t>
  </si>
  <si>
    <t>Monuta Versicherungen</t>
  </si>
  <si>
    <t>570130</t>
  </si>
  <si>
    <t>Anbindung anderen Pool 
 CZ beendet (VM)</t>
  </si>
  <si>
    <t>MÜNCHENER VEREIN Versicherungsgruppe</t>
  </si>
  <si>
    <t>36656</t>
  </si>
  <si>
    <t>höhere Courtagesätze</t>
  </si>
  <si>
    <t>nationale suisse Schweizer-National Versicherungs-AG</t>
  </si>
  <si>
    <t>neue leben Lebensversicherung AG</t>
  </si>
  <si>
    <t>Neue Rechtsschutz-Versicherung - NRV</t>
  </si>
  <si>
    <t>Neuendorfer Brand-Bau-Gilde VVaG</t>
  </si>
  <si>
    <t>NV Versicherungsgruppe</t>
  </si>
  <si>
    <t>NÜRNBERGER VERSICHERUNGSGRUPPE</t>
  </si>
  <si>
    <t>152053992</t>
  </si>
  <si>
    <t>Oberösterreichische Niederlassung Deutschland</t>
  </si>
  <si>
    <t>Ostangler Brandgilde VVaG</t>
  </si>
  <si>
    <t>Policen Direkt Versicherungsvermittlung GmbH</t>
  </si>
  <si>
    <t>PrismaLife / CARDEA.life</t>
  </si>
  <si>
    <t>Provinzial Nord Brandkasse AG</t>
  </si>
  <si>
    <t>R+V / KRAVAG Allgemeine Versicherung</t>
  </si>
  <si>
    <t>Rhion Versicherung AG</t>
  </si>
  <si>
    <t>ROLAND Rechtsschutz Versicherungs-AG</t>
  </si>
  <si>
    <t>SDK Süddeutsche Krankenversicherung aG</t>
  </si>
  <si>
    <t>SHB Allgemeine Versicherung VVaG</t>
  </si>
  <si>
    <t>SIGNAL IDUNA</t>
  </si>
  <si>
    <t>SituatiVe GmbH (AppSichern.de)</t>
  </si>
  <si>
    <t>Skandia</t>
  </si>
  <si>
    <t>SOVAG SCHWARZMEER UND OSTSEE Versicherungs-AG</t>
  </si>
  <si>
    <t>Sparkassen DirektVersicherung AG</t>
  </si>
  <si>
    <t>Standard Life Versicherungen</t>
  </si>
  <si>
    <t>Stuttgarter Versicherungsgruppe</t>
  </si>
  <si>
    <t>SV SparkassenVersicherung / ÖRAG</t>
  </si>
  <si>
    <t>Swiss Life</t>
  </si>
  <si>
    <t>Uelzener Allgemeine Versicherungs-Gesellschaft a.G Versicherungen</t>
  </si>
  <si>
    <t>uniVersa Versicherungen</t>
  </si>
  <si>
    <t>VHV Versicherungen</t>
  </si>
  <si>
    <t>057383-000</t>
  </si>
  <si>
    <t>spezielle Vermittlernummer notwendig</t>
  </si>
  <si>
    <t>Volkswohl Bund / prokundo</t>
  </si>
  <si>
    <t>184973</t>
  </si>
  <si>
    <t>VOV GmbH</t>
  </si>
  <si>
    <t>VPV Versicherungen</t>
  </si>
  <si>
    <t>Waldenburger Versicherung</t>
  </si>
  <si>
    <t>WWK Versicherungen</t>
  </si>
  <si>
    <t>Q9481554</t>
  </si>
  <si>
    <t>Zuordnung von VR abgelehnt</t>
  </si>
  <si>
    <t>Württembergische Versicherungsgruppe</t>
  </si>
  <si>
    <t>Zuordnung bestätigt 
 KV 
 LV 
 Sach</t>
  </si>
  <si>
    <t>Würzburger Versicherungs-AG</t>
  </si>
  <si>
    <t>Zuordnung bestätigt 
 Reise</t>
  </si>
  <si>
    <t>Zuordnung bestätigt 
 Handyschutzbrief</t>
  </si>
  <si>
    <t>Zuordnung beantragt 
 Anbindung über Invers 
 EagleStar-Vermittlernummer</t>
  </si>
  <si>
    <t>Kurz.</t>
  </si>
  <si>
    <t>Anbieter</t>
  </si>
  <si>
    <t>Vermittler-Nr beim Anb.</t>
  </si>
  <si>
    <t>AAB</t>
  </si>
  <si>
    <t>Augsburger Aktienbank</t>
  </si>
  <si>
    <t>9900133692</t>
  </si>
  <si>
    <t>ADC</t>
  </si>
  <si>
    <t>ADCURI</t>
  </si>
  <si>
    <t>ALTSA</t>
  </si>
  <si>
    <t>Alte Leipziger Sachversicherung</t>
  </si>
  <si>
    <t xml:space="preserve">130656.466 Sach-Nr. 22-2409 </t>
  </si>
  <si>
    <t>AUX</t>
  </si>
  <si>
    <t>Auxilia</t>
  </si>
  <si>
    <t>AXASA</t>
  </si>
  <si>
    <t>AXA Sachversicherung</t>
  </si>
  <si>
    <t>1036008206</t>
  </si>
  <si>
    <t>BAD</t>
  </si>
  <si>
    <t>Baden Badener</t>
  </si>
  <si>
    <t>BARKV</t>
  </si>
  <si>
    <t>Barmenia Versicherungen</t>
  </si>
  <si>
    <t>BASSA</t>
  </si>
  <si>
    <t>621-285</t>
  </si>
  <si>
    <t>BAYSA</t>
  </si>
  <si>
    <t>Bayerische Sachversicherung</t>
  </si>
  <si>
    <t>090124</t>
  </si>
  <si>
    <t>CCOSA</t>
  </si>
  <si>
    <t>Concordia Versicherungsgesellschaft a.G.</t>
  </si>
  <si>
    <t>55280-055</t>
  </si>
  <si>
    <t>DEURAG</t>
  </si>
  <si>
    <t>DEURAG Rechtsschutz AG</t>
  </si>
  <si>
    <t>DMBRS</t>
  </si>
  <si>
    <t>DMB Rechtsschutz-Versicherung AG</t>
  </si>
  <si>
    <t>07875</t>
  </si>
  <si>
    <t>EAGST</t>
  </si>
  <si>
    <t>EagleStar</t>
  </si>
  <si>
    <t>EBASE</t>
  </si>
  <si>
    <t>37337993201</t>
  </si>
  <si>
    <t>FDB</t>
  </si>
  <si>
    <t>Fondsdepot Bank</t>
  </si>
  <si>
    <t>5250799320100000</t>
  </si>
  <si>
    <t>FEUSA</t>
  </si>
  <si>
    <t>Feuersozietät Versicherungs AG</t>
  </si>
  <si>
    <t>165102</t>
  </si>
  <si>
    <t>FFB</t>
  </si>
  <si>
    <t>FIL Fondsbank GmbH</t>
  </si>
  <si>
    <t>GOTKV</t>
  </si>
  <si>
    <t>Gothaer KV</t>
  </si>
  <si>
    <t>GOTLV</t>
  </si>
  <si>
    <t>Gothaer Lebensversicherung AG</t>
  </si>
  <si>
    <t>GOTSA</t>
  </si>
  <si>
    <t>Gothaer Sachversicherung</t>
  </si>
  <si>
    <t>HDISA</t>
  </si>
  <si>
    <t>HDI Vertriebs AG</t>
  </si>
  <si>
    <t>2030028322</t>
  </si>
  <si>
    <t>Haftpflichtkasse Darmstadt</t>
  </si>
  <si>
    <t>INTSA</t>
  </si>
  <si>
    <t>INTER Sachversicherung</t>
  </si>
  <si>
    <t>IRSA</t>
  </si>
  <si>
    <t>InterRisk Sachversicherung</t>
  </si>
  <si>
    <t>JANITSA</t>
  </si>
  <si>
    <t>MAN</t>
  </si>
  <si>
    <t>Mannheimer Vers. AG</t>
  </si>
  <si>
    <t>88877</t>
  </si>
  <si>
    <t>NORDV</t>
  </si>
  <si>
    <t>Nordvers Versicherungsvermittlungsgesellschaft mbH</t>
  </si>
  <si>
    <t>NV</t>
  </si>
  <si>
    <t>NV-Versicherungen VVaG</t>
  </si>
  <si>
    <t>OAB</t>
  </si>
  <si>
    <t>Ostangler Versicherungen</t>
  </si>
  <si>
    <t>R+V Allgemeine Versicherung AG</t>
  </si>
  <si>
    <t>098657</t>
  </si>
  <si>
    <t>STSA</t>
  </si>
  <si>
    <t>Stuttgarter Versicherungs AG Filialdirektion Berlin</t>
  </si>
  <si>
    <t>VHV Allgemeine Versicherung AG</t>
  </si>
  <si>
    <t>058995-489</t>
  </si>
  <si>
    <t>WÜRTLV</t>
  </si>
  <si>
    <t>Württembergische Lebensversicherung AG</t>
  </si>
  <si>
    <t>6850-6517-7</t>
  </si>
  <si>
    <t>WÜRTSA</t>
  </si>
  <si>
    <t>Württembergische Sach</t>
  </si>
  <si>
    <t>WÜRZ</t>
  </si>
  <si>
    <t>Antrag</t>
  </si>
  <si>
    <t>WWKLV</t>
  </si>
  <si>
    <t>WWK LV</t>
  </si>
  <si>
    <t>982/1554 PE</t>
  </si>
  <si>
    <t>WWKSA</t>
  </si>
  <si>
    <t>WWK Sach Allgemeine Versicherung AG</t>
  </si>
  <si>
    <t>982/1554</t>
  </si>
  <si>
    <t>ZURLV</t>
  </si>
  <si>
    <t>Zurich Deutscher Herold Lebensversicherung AG</t>
  </si>
  <si>
    <t>222963</t>
  </si>
  <si>
    <t>Adressenliste und Anmeldungen online</t>
  </si>
  <si>
    <t>Adresse</t>
  </si>
  <si>
    <t>Telefon/Fax</t>
  </si>
  <si>
    <t>Verm.-Nr.</t>
  </si>
  <si>
    <t>Internet-Adr.</t>
  </si>
  <si>
    <t>Apella AG</t>
  </si>
  <si>
    <t>942876</t>
  </si>
  <si>
    <t>www.apella.de</t>
  </si>
  <si>
    <t>AX40464</t>
  </si>
  <si>
    <t>www.amex-online.de</t>
  </si>
  <si>
    <t>Alte Leipziger AG</t>
  </si>
  <si>
    <t>Alte Leipziger Platz 1</t>
  </si>
  <si>
    <t>827053.001 Verb. VNR</t>
  </si>
  <si>
    <t>Malzahn.F</t>
  </si>
  <si>
    <t>www.al-vermittler.de</t>
  </si>
  <si>
    <t>61440 Oberursel</t>
  </si>
  <si>
    <t>23-9855 Frank Sach</t>
  </si>
  <si>
    <t>Malzahn.E</t>
  </si>
  <si>
    <t>ARAG Platz 1</t>
  </si>
  <si>
    <t>T 0211 9890 1616</t>
  </si>
  <si>
    <t>565/28214</t>
  </si>
  <si>
    <t>www.arag.de</t>
  </si>
  <si>
    <t>40472 Düsseldorf</t>
  </si>
  <si>
    <t>F 0211 963 2850</t>
  </si>
  <si>
    <t>AXA Versicherung AG</t>
  </si>
  <si>
    <t>Colonia Allee 10-20</t>
  </si>
  <si>
    <t>80/36/00/0462 Frank</t>
  </si>
  <si>
    <t>AXA35986</t>
  </si>
  <si>
    <t>Katharina1</t>
  </si>
  <si>
    <t>www.axa.de</t>
  </si>
  <si>
    <t>51067 Köln</t>
  </si>
  <si>
    <t>80/36/00/0633 Elke</t>
  </si>
  <si>
    <t>(auch für sichere Nachrichten)</t>
  </si>
  <si>
    <t>77005410</t>
  </si>
  <si>
    <t>g2ihANUHC4</t>
  </si>
  <si>
    <t>www.bb-maklerwelt.de.</t>
  </si>
  <si>
    <t>Bayerische</t>
  </si>
  <si>
    <t>Thomas-Dehler-Str-. 25</t>
  </si>
  <si>
    <t>0180 1228366</t>
  </si>
  <si>
    <t>6801 581213 Frank</t>
  </si>
  <si>
    <t>MAK581213-0001</t>
  </si>
  <si>
    <t>FrankMal1</t>
  </si>
  <si>
    <t>www.bbv.de</t>
  </si>
  <si>
    <t>81737 München</t>
  </si>
  <si>
    <t>6801 580370 Elke</t>
  </si>
  <si>
    <t>MAK580370-0001</t>
  </si>
  <si>
    <t>Admiralitätsstr. 67</t>
  </si>
  <si>
    <t>T 040 36139 0</t>
  </si>
  <si>
    <t>www.condor-versicherungsgruppe.de</t>
  </si>
  <si>
    <t>20459 Hamburg</t>
  </si>
  <si>
    <t>F 040 36139-100</t>
  </si>
  <si>
    <t>Anmeldung R+V</t>
  </si>
  <si>
    <t>55197</t>
  </si>
  <si>
    <t>Cordial01</t>
  </si>
  <si>
    <t>www.concordia.de</t>
  </si>
  <si>
    <t>Login allg.</t>
  </si>
  <si>
    <t>Die Freiheit 14</t>
  </si>
  <si>
    <t>T 0561/780061</t>
  </si>
  <si>
    <t>FrankM</t>
  </si>
  <si>
    <t>www.rs.deurag.de</t>
  </si>
  <si>
    <t>34117 Kassel</t>
  </si>
  <si>
    <t>F 0561 102973</t>
  </si>
  <si>
    <t>Benutzer: malzahn</t>
  </si>
  <si>
    <t>www.deurag.de</t>
  </si>
  <si>
    <t>Passw.:KatharinaHe1 (31.5.16)</t>
  </si>
  <si>
    <t>für GDV-Download</t>
  </si>
  <si>
    <t>bu3c#kH7</t>
  </si>
  <si>
    <t>www.deutscherring-kranken-makler.de</t>
  </si>
  <si>
    <t>Deutscher Ring</t>
  </si>
  <si>
    <t>Ludwig-Erhard-Str. 22</t>
  </si>
  <si>
    <t>T 040 3599-50</t>
  </si>
  <si>
    <t>5315/0001</t>
  </si>
  <si>
    <t>Antr.-Bausparen(Begleitz.)</t>
  </si>
  <si>
    <t>F 040 3599-5128</t>
  </si>
  <si>
    <t>über Apella</t>
  </si>
  <si>
    <t>Sicherheitsfrage:</t>
  </si>
  <si>
    <t>easyLogin</t>
  </si>
  <si>
    <t>0921 75758 555</t>
  </si>
  <si>
    <t>Katharina Heußer</t>
  </si>
  <si>
    <t>vb027300880</t>
  </si>
  <si>
    <t>Antw.: 13.06.1962</t>
  </si>
  <si>
    <t>Benutzername GDV</t>
  </si>
  <si>
    <t>FrankMal01 (08.01.2018)</t>
  </si>
  <si>
    <t>ERGO / Victoria</t>
  </si>
  <si>
    <t>Stresemannstr. 111</t>
  </si>
  <si>
    <t>030 88781-</t>
  </si>
  <si>
    <t>OM_V173043_MaFr</t>
  </si>
  <si>
    <t>www.makler-ergo.de</t>
  </si>
  <si>
    <t>10963 Berlin</t>
  </si>
  <si>
    <t>PIN 2412</t>
  </si>
  <si>
    <t>www.datenbereitstellung.de</t>
  </si>
  <si>
    <t>E843589</t>
  </si>
  <si>
    <t>135886</t>
  </si>
  <si>
    <t>Adenauer Ring 7-11</t>
  </si>
  <si>
    <t>01803 284666</t>
  </si>
  <si>
    <t>Alias:FrankMal1</t>
  </si>
  <si>
    <t>Sommer2018</t>
  </si>
  <si>
    <t>www.maklernet.generali.de</t>
  </si>
  <si>
    <t>für GDV-Daten</t>
  </si>
  <si>
    <t>G156902A</t>
  </si>
  <si>
    <t>www.generali.de</t>
  </si>
  <si>
    <t>28269</t>
  </si>
  <si>
    <t>V103059</t>
  </si>
  <si>
    <t>Frank12M</t>
  </si>
  <si>
    <t>www.makler.gothaer.de</t>
  </si>
  <si>
    <t>Herr Lang</t>
  </si>
  <si>
    <t>Postfach 11 26</t>
  </si>
  <si>
    <t>T 06154 601-1356</t>
  </si>
  <si>
    <t>009530-525</t>
  </si>
  <si>
    <t>64373 Roßdorf</t>
  </si>
  <si>
    <t>F 06154/601-2356</t>
  </si>
  <si>
    <t>Postfach 101 625</t>
  </si>
  <si>
    <t>0221 144 3001</t>
  </si>
  <si>
    <t>257544</t>
  </si>
  <si>
    <t>257544HDI</t>
  </si>
  <si>
    <t>AnnettWer18</t>
  </si>
  <si>
    <t>www.mymaklernet.de</t>
  </si>
  <si>
    <t>50456 Köln</t>
  </si>
  <si>
    <t>0221 144 61975</t>
  </si>
  <si>
    <t>fzf3nkf8</t>
  </si>
  <si>
    <t>42013</t>
  </si>
  <si>
    <t>Ideal Versicherung</t>
  </si>
  <si>
    <t>www.ideal-versicherung.de</t>
  </si>
  <si>
    <t xml:space="preserve">0211 96307 </t>
  </si>
  <si>
    <t>Frank 798527</t>
  </si>
  <si>
    <t>M798527</t>
  </si>
  <si>
    <t>www.interlloyd.de</t>
  </si>
  <si>
    <t>40464 Düsseldorf</t>
  </si>
  <si>
    <t>Elke 79852706</t>
  </si>
  <si>
    <t>7850391</t>
  </si>
  <si>
    <t>7850391-Sach</t>
  </si>
  <si>
    <t>FrankM05</t>
  </si>
  <si>
    <t>www.interrisk.de</t>
  </si>
  <si>
    <t>22326-Leben</t>
  </si>
  <si>
    <t>für Prov. 985278704</t>
  </si>
  <si>
    <t>Hansrstr. 10</t>
  </si>
  <si>
    <t>04821 7730</t>
  </si>
  <si>
    <t>AnnettW1</t>
  </si>
  <si>
    <t>25521 Itzehoe</t>
  </si>
  <si>
    <t>GDV per Mail</t>
  </si>
  <si>
    <t>T 06221 709 1565</t>
  </si>
  <si>
    <t>94600214 Elke</t>
  </si>
  <si>
    <t>fmalzahn</t>
  </si>
  <si>
    <t>www.portal.janitos.de</t>
  </si>
  <si>
    <t>F 6221 709 1562</t>
  </si>
  <si>
    <t>10410028 Frank Apella</t>
  </si>
  <si>
    <t>T 0511 640 540</t>
  </si>
  <si>
    <t>32309</t>
  </si>
  <si>
    <t>www.k-m.info</t>
  </si>
  <si>
    <t>F 0511 640 5444</t>
  </si>
  <si>
    <t>KS Auxilia</t>
  </si>
  <si>
    <t>82/998525</t>
  </si>
  <si>
    <t>www.ks-auxilia.de</t>
  </si>
  <si>
    <t>SMS Code 514836</t>
  </si>
  <si>
    <t xml:space="preserve">Kapuzinerstraße 9 </t>
  </si>
  <si>
    <t>089 544 344-0</t>
  </si>
  <si>
    <t>152/05/3183</t>
  </si>
  <si>
    <t>B010699</t>
  </si>
  <si>
    <t>Frank + ID</t>
  </si>
  <si>
    <t>www.nuernberger-portal.de</t>
  </si>
  <si>
    <t>Versicherungsgruppe</t>
  </si>
  <si>
    <t>80337 München</t>
  </si>
  <si>
    <t>R + V</t>
  </si>
  <si>
    <t>Raiffeisenplatz 1</t>
  </si>
  <si>
    <t>T 01802 7858633</t>
  </si>
  <si>
    <t>406/453657</t>
  </si>
  <si>
    <t>ROM07yy</t>
  </si>
  <si>
    <t>www.ruv.de</t>
  </si>
  <si>
    <t>65189 Wiesbaden</t>
  </si>
  <si>
    <t>F 0611533 4500</t>
  </si>
  <si>
    <t>R+V über Apella</t>
  </si>
  <si>
    <t>089097</t>
  </si>
  <si>
    <t>rom1diz</t>
  </si>
  <si>
    <t> www.makler.ruv.de</t>
  </si>
  <si>
    <t>Bismarkstr. 101</t>
  </si>
  <si>
    <t>T 030 88701-150</t>
  </si>
  <si>
    <t>Vertriebspartnerservice AG</t>
  </si>
  <si>
    <t>10625 Berlin</t>
  </si>
  <si>
    <t>F 030 88701-148</t>
  </si>
  <si>
    <t>296/3785</t>
  </si>
  <si>
    <t>u032747</t>
  </si>
  <si>
    <t>Hendrik1 (01.09.2016)</t>
  </si>
  <si>
    <t>MAKwww.si-vp.de</t>
  </si>
  <si>
    <t>Tel. Kennw.</t>
  </si>
  <si>
    <t>0231-135 7000</t>
  </si>
  <si>
    <t>Die Stuttgarter</t>
  </si>
  <si>
    <t>Rothebühlstr. 120</t>
  </si>
  <si>
    <t>T 0711 665-0</t>
  </si>
  <si>
    <t>83 570 384</t>
  </si>
  <si>
    <t>frank.malzahn</t>
  </si>
  <si>
    <t>FrankMal01</t>
  </si>
  <si>
    <t>https://extranet.stuttgarter.de</t>
  </si>
  <si>
    <t>70197 Stuttgart</t>
  </si>
  <si>
    <t>F 0711 665-1516</t>
  </si>
  <si>
    <t>MKL LD</t>
  </si>
  <si>
    <t>Kurfürstenstr. 130</t>
  </si>
  <si>
    <t>T 030 236 33 790</t>
  </si>
  <si>
    <t>www.universa.de</t>
  </si>
  <si>
    <t>10785 Berlin</t>
  </si>
  <si>
    <t>F 0341 236 33 7919</t>
  </si>
  <si>
    <t>FrankM +</t>
  </si>
  <si>
    <t>www.vhv-max.net</t>
  </si>
  <si>
    <t>102909001 2. Stick</t>
  </si>
  <si>
    <t>Secur-ID</t>
  </si>
  <si>
    <t>Württembergische Vers.</t>
  </si>
  <si>
    <t>4800-7480-7</t>
  </si>
  <si>
    <t>01Z38M</t>
  </si>
  <si>
    <t>AnnettW1 (15.01.2018)</t>
  </si>
  <si>
    <t>(http://vertriebsportal.wuerttembergische.de</t>
  </si>
  <si>
    <t>0808-5580-0</t>
  </si>
  <si>
    <t>Zürich Gruppe Deutschland</t>
  </si>
  <si>
    <t>AdrianMal1</t>
  </si>
  <si>
    <t>www.zurich.de</t>
  </si>
  <si>
    <t>FrankM1+</t>
  </si>
  <si>
    <t>www.uelzener.de</t>
  </si>
  <si>
    <t>Care Concept - Union Service</t>
  </si>
  <si>
    <t>http://www.care-concept.de/index.php?vmnr=0024060000&amp;vmmx=3523680</t>
  </si>
  <si>
    <t>www.bb-maklerwelt.de</t>
  </si>
  <si>
    <t>Alte Leipziger BSK (Gothaer)</t>
  </si>
  <si>
    <t>rfpro24</t>
  </si>
  <si>
    <t>Signal Gruppe</t>
  </si>
  <si>
    <t>U165001</t>
  </si>
  <si>
    <t>275/4862298</t>
  </si>
  <si>
    <t>Alte Leipziger (Sach)</t>
  </si>
  <si>
    <t>151915001</t>
  </si>
  <si>
    <t>Alte Leipziger (Leben)</t>
  </si>
  <si>
    <t>6134048</t>
  </si>
  <si>
    <t>RF2024Ti</t>
  </si>
  <si>
    <t>009542-389</t>
  </si>
  <si>
    <t>TUQRRTIAED</t>
  </si>
  <si>
    <t>2836005364</t>
  </si>
  <si>
    <t>2836005264</t>
  </si>
  <si>
    <t>2836005164</t>
  </si>
  <si>
    <t>197873</t>
  </si>
  <si>
    <t>RMP0S25</t>
  </si>
  <si>
    <t>R+V2024RF</t>
  </si>
  <si>
    <t>5317_VEMA</t>
  </si>
  <si>
    <t>153052502</t>
  </si>
  <si>
    <t>153052503</t>
  </si>
  <si>
    <t>Nürnberger Lebensversicherung</t>
  </si>
  <si>
    <t>vema2024RF</t>
  </si>
  <si>
    <t>1568922</t>
  </si>
  <si>
    <t>RYS1928</t>
  </si>
  <si>
    <t>DATEV Smart Login</t>
  </si>
  <si>
    <t>VT24Datev</t>
  </si>
  <si>
    <t>FM24Datev</t>
  </si>
  <si>
    <t>ELO</t>
  </si>
  <si>
    <t>Flessabank</t>
  </si>
  <si>
    <t>A246252</t>
  </si>
  <si>
    <t>Baloise Sachversicherung</t>
  </si>
  <si>
    <t>Kassensuche GmbH (Makleraktiv)</t>
  </si>
  <si>
    <t>151915002</t>
  </si>
  <si>
    <t>Tippmann.V</t>
  </si>
  <si>
    <t>TGIC(GDV)</t>
  </si>
  <si>
    <t>-2B6b,kw2je5</t>
  </si>
  <si>
    <t>easy login</t>
  </si>
  <si>
    <t>Hallesche KV (Alte Leipziger)</t>
  </si>
  <si>
    <t>VolkerTippmnann</t>
  </si>
  <si>
    <t>27407</t>
  </si>
  <si>
    <t>Volk&amp;Fran24</t>
  </si>
  <si>
    <t>V9195255</t>
  </si>
  <si>
    <t>RK5SbZ99</t>
  </si>
  <si>
    <t>FNZ (ex ebase) (Jung DMS)</t>
  </si>
  <si>
    <t>JDCVTi2024</t>
  </si>
  <si>
    <t>7704731</t>
  </si>
  <si>
    <t>fzfsruj</t>
  </si>
  <si>
    <t>B8C2</t>
  </si>
  <si>
    <t>Tip_B8C2</t>
  </si>
  <si>
    <t>B8C2-Tip</t>
  </si>
  <si>
    <t>6643764265</t>
  </si>
  <si>
    <t>Zertifikat / easy Login</t>
  </si>
  <si>
    <t>W6FnjWTz8t7P</t>
  </si>
  <si>
    <t>Zertifikat / Dongle</t>
  </si>
  <si>
    <t>40/101/1458</t>
  </si>
  <si>
    <t>RennsteigF</t>
  </si>
  <si>
    <t>Ex387381291</t>
  </si>
  <si>
    <t>7200117077</t>
  </si>
  <si>
    <t>Administrator</t>
  </si>
  <si>
    <t>ELO24VT</t>
  </si>
  <si>
    <t>ELO24admin</t>
  </si>
  <si>
    <t>ELO24FM</t>
  </si>
  <si>
    <t>ELO24TR</t>
  </si>
  <si>
    <t>ELO24FH</t>
  </si>
  <si>
    <t>installer/installeR24</t>
  </si>
  <si>
    <t>38907/000</t>
  </si>
  <si>
    <t>Kranken/Komposit/Sonsige/BHW-Bausparen</t>
  </si>
  <si>
    <t>Kolpin6150</t>
  </si>
  <si>
    <t>VEMA5317</t>
  </si>
  <si>
    <t>0821-4244-4</t>
  </si>
  <si>
    <t>RF2025Pro!</t>
  </si>
  <si>
    <t>J_Glahn</t>
  </si>
  <si>
    <t>tippmanN24</t>
  </si>
  <si>
    <t>hesselbartH24</t>
  </si>
  <si>
    <t>buerO24</t>
  </si>
  <si>
    <t>reiF24</t>
  </si>
  <si>
    <t>RF2025</t>
  </si>
  <si>
    <t>ME2025RF.</t>
  </si>
  <si>
    <t>920472</t>
  </si>
  <si>
    <t>123587001</t>
  </si>
  <si>
    <t>123586001</t>
  </si>
  <si>
    <t>123588001</t>
  </si>
  <si>
    <t>39946</t>
  </si>
  <si>
    <t>2-Faktor auf info@...</t>
  </si>
  <si>
    <t>MMV (Kravag)</t>
  </si>
  <si>
    <t>240789</t>
  </si>
  <si>
    <t>Dialog Lebensversicherung-AG</t>
  </si>
  <si>
    <t>706967</t>
  </si>
  <si>
    <t>141963</t>
  </si>
  <si>
    <t>vcP9MtRCw7Sf61</t>
  </si>
  <si>
    <t>Postkorb</t>
  </si>
  <si>
    <t>SportVers GmbH</t>
  </si>
  <si>
    <t>124</t>
  </si>
  <si>
    <t>vema2025RF</t>
  </si>
  <si>
    <t>56988</t>
  </si>
  <si>
    <t xml:space="preserve">3h#Pk4r2j4.w </t>
  </si>
  <si>
    <t>707005</t>
  </si>
  <si>
    <t>2-Faktor-Mail</t>
  </si>
  <si>
    <t>frank_hesselbarth</t>
  </si>
  <si>
    <t>FH2024Starpool$</t>
  </si>
  <si>
    <t>frank_malzahn</t>
  </si>
  <si>
    <t>FM2024Starpool$</t>
  </si>
  <si>
    <t>volker_tippmann1</t>
  </si>
  <si>
    <t>RF2024Starpool!</t>
  </si>
  <si>
    <t>164715-001</t>
  </si>
  <si>
    <t>164715-002</t>
  </si>
  <si>
    <t>164715-003</t>
  </si>
  <si>
    <t>TGIC-Zertifikat / easy login</t>
  </si>
  <si>
    <t>707054</t>
  </si>
  <si>
    <t>707055</t>
  </si>
  <si>
    <t>707056</t>
  </si>
  <si>
    <t>RF2025FMa!</t>
  </si>
  <si>
    <t>RF2025TRe!</t>
  </si>
  <si>
    <t>RF2025VTi!</t>
  </si>
  <si>
    <t>7704731-01</t>
  </si>
  <si>
    <t>7704731-03</t>
  </si>
  <si>
    <t>7704731-02</t>
  </si>
  <si>
    <t>Postbox VEMA</t>
  </si>
  <si>
    <t>rf-backoffice</t>
  </si>
  <si>
    <t>RFB_2025Vema.</t>
  </si>
  <si>
    <t>085125</t>
  </si>
  <si>
    <t>Annett2412.Ä</t>
  </si>
  <si>
    <t>VEMA2025VTi1234</t>
  </si>
  <si>
    <t>HDI Lebensversicherung</t>
  </si>
  <si>
    <t>HDI Sachversicherung</t>
  </si>
  <si>
    <t>771146</t>
  </si>
  <si>
    <t>771147</t>
  </si>
  <si>
    <t>771148</t>
  </si>
  <si>
    <t>771150</t>
  </si>
  <si>
    <t>771149</t>
  </si>
  <si>
    <t>771154</t>
  </si>
  <si>
    <t>52623738</t>
  </si>
  <si>
    <t>thr123456789.RF!</t>
  </si>
  <si>
    <t>RFmrT2024!#%2024</t>
  </si>
  <si>
    <t>08812239-9</t>
  </si>
  <si>
    <t>0881-2238-0</t>
  </si>
  <si>
    <t>0881-2240-2</t>
  </si>
  <si>
    <t>0821-4437-4</t>
  </si>
  <si>
    <t>0821-4436-6</t>
  </si>
  <si>
    <t>0821-4435-8</t>
  </si>
  <si>
    <t>Württembergische (VEMA)</t>
  </si>
  <si>
    <t>89735</t>
  </si>
  <si>
    <t>Morgenfund (Jung, DMS &amp; Cie.)</t>
  </si>
  <si>
    <t>Europa Lebensversicherung (Invers)</t>
  </si>
  <si>
    <t>Continentale Lebensversicherung (Invers)</t>
  </si>
  <si>
    <t>Würzburger (Invers)</t>
  </si>
  <si>
    <t>1-8-50-70473</t>
  </si>
  <si>
    <t>Mannheimer (Invers)</t>
  </si>
  <si>
    <t>Skandia Lebensversicherung (Invers)</t>
  </si>
  <si>
    <t>VHV (10%)</t>
  </si>
  <si>
    <t>164715-800</t>
  </si>
  <si>
    <t>Herzenssache</t>
  </si>
  <si>
    <t>RF2025.VEMA</t>
  </si>
  <si>
    <t>(3891 Anbindungsnummer)</t>
  </si>
  <si>
    <t>3891</t>
  </si>
  <si>
    <t>M004714</t>
  </si>
  <si>
    <t>Hauptzugang FNZ (3838)</t>
  </si>
  <si>
    <t>Tommy FNZ (3838)</t>
  </si>
  <si>
    <t>Volker FNZ (3838)</t>
  </si>
  <si>
    <t>Frank M. FNZ (3838)</t>
  </si>
  <si>
    <t>383827407</t>
  </si>
  <si>
    <t>qz7pewui</t>
  </si>
  <si>
    <t>HDI2025-RF.mrt</t>
  </si>
  <si>
    <t>68422</t>
  </si>
  <si>
    <t>911175</t>
  </si>
  <si>
    <t>985118</t>
  </si>
  <si>
    <t>USGRAVXL</t>
  </si>
  <si>
    <t>707036</t>
  </si>
  <si>
    <t>ApellA2025+</t>
  </si>
  <si>
    <t>123338001</t>
  </si>
  <si>
    <t>AMEX Pool</t>
  </si>
  <si>
    <t>VEMA-5317-01</t>
  </si>
  <si>
    <t>VEMA-5317-02</t>
  </si>
  <si>
    <t>VEMA-5317-03</t>
  </si>
  <si>
    <t>009542-667</t>
  </si>
  <si>
    <t>009542-668</t>
  </si>
  <si>
    <t>009542-669</t>
  </si>
  <si>
    <t>Jung</t>
  </si>
  <si>
    <t>RF2025FH$</t>
  </si>
  <si>
    <t xml:space="preserve">Gothaer </t>
  </si>
  <si>
    <t>Go2025mrt!</t>
  </si>
  <si>
    <t>SecureMail FrankMalzahn</t>
  </si>
  <si>
    <t>HDI Sachversicherung (VEMA)</t>
  </si>
  <si>
    <t>2030104935</t>
  </si>
  <si>
    <t>2030104934</t>
  </si>
  <si>
    <t>2030104936</t>
  </si>
  <si>
    <t>VHV (VEMA)</t>
  </si>
  <si>
    <t xml:space="preserve">503911-001 </t>
  </si>
  <si>
    <t xml:space="preserve">503911-002 </t>
  </si>
  <si>
    <t>503911-003</t>
  </si>
  <si>
    <t>(121376)</t>
  </si>
  <si>
    <t>myLife (Honorarkonzept - Jung, DMS &amp; Cie.)</t>
  </si>
  <si>
    <t>HKVTippmann</t>
  </si>
  <si>
    <t>mLI884627</t>
  </si>
  <si>
    <t>www.honorarkonzept.de</t>
  </si>
  <si>
    <t>dd022ba5-4482-4691-a782-f5907919a4c1</t>
  </si>
  <si>
    <t>Con Center</t>
  </si>
  <si>
    <t>Con center Schnittstelle zur Datenabholung AMEX</t>
  </si>
  <si>
    <t>38907/001</t>
  </si>
  <si>
    <t>38907/002</t>
  </si>
  <si>
    <t>38907/003</t>
  </si>
  <si>
    <t>Carglass</t>
  </si>
  <si>
    <t>info@rennsteigfinanz</t>
  </si>
  <si>
    <t>RF2025cg.</t>
  </si>
  <si>
    <t>7048103</t>
  </si>
  <si>
    <t>2500471</t>
  </si>
  <si>
    <t>Innendienst / Sekretär</t>
  </si>
  <si>
    <t>user /SekretaeR24</t>
  </si>
  <si>
    <t>user /Sekretaer</t>
  </si>
  <si>
    <t>Rf2026.dS</t>
  </si>
  <si>
    <t>Naumannstr.3 (siehe Notiz)</t>
  </si>
  <si>
    <t>RFmrt2026.</t>
  </si>
  <si>
    <t>RFmrt2026AZ.</t>
  </si>
  <si>
    <t>74485 (alt)</t>
  </si>
  <si>
    <t>THR123RF</t>
  </si>
  <si>
    <t>40096</t>
  </si>
  <si>
    <t>OCC ( über Amex)</t>
  </si>
  <si>
    <t>Zertifikat: af1A1Kpy</t>
  </si>
  <si>
    <t>i_dienst</t>
  </si>
  <si>
    <t>InnendiensT2026</t>
  </si>
  <si>
    <t>B116</t>
  </si>
  <si>
    <t>Dialog Versicherung AG (Sach+Proxalto)</t>
  </si>
  <si>
    <t>Würzburger Reiseversicherung</t>
  </si>
  <si>
    <t>RF2026wv</t>
  </si>
  <si>
    <t>1-8-850-5317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</si>
</sst>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407]General"/>
  </numFmts>
  <fonts count="63" x14ac:knownFonts="1">
    <font>
      <sz val="11"/>
      <color rgb="FF000000"/>
      <name val="Calibri"/>
      <family val="2"/>
      <charset val="1"/>
    </font>
    <font>
      <sz val="10"/>
      <name val="Arial"/>
      <family val="2"/>
      <charset val="1"/>
    </font>
    <font>
      <b/>
      <sz val="14"/>
      <color rgb="FFFFFFFF"/>
      <name val="Arial"/>
      <family val="2"/>
      <charset val="1"/>
    </font>
    <font>
      <b/>
      <sz val="14"/>
      <color rgb="FF1F497D"/>
      <name val="Arial"/>
      <family val="2"/>
      <charset val="1"/>
    </font>
    <font>
      <i/>
      <sz val="14"/>
      <color rgb="FF0066CC"/>
      <name val="Arial"/>
      <family val="2"/>
      <charset val="1"/>
    </font>
    <font>
      <sz val="12"/>
      <color rgb="FF000000"/>
      <name val="Arial"/>
      <family val="2"/>
      <charset val="1"/>
    </font>
    <font>
      <b/>
      <sz val="11"/>
      <name val="Arial"/>
      <family val="2"/>
      <charset val="1"/>
    </font>
    <font>
      <b/>
      <sz val="11"/>
      <color rgb="FFA6A6A6"/>
      <name val="Arial"/>
      <family val="2"/>
      <charset val="1"/>
    </font>
    <font>
      <u/>
      <sz val="11"/>
      <color theme="10"/>
      <name val="Calibri"/>
      <family val="2"/>
      <charset val="1"/>
    </font>
    <font>
      <b/>
      <sz val="10"/>
      <name val="Arial"/>
      <family val="2"/>
      <charset val="1"/>
    </font>
    <font>
      <strike/>
      <sz val="10"/>
      <color theme="0" tint="-0.499984740745262"/>
      <name val="Arial"/>
      <family val="2"/>
      <charset val="1"/>
    </font>
    <font>
      <b/>
      <strike/>
      <sz val="10"/>
      <color theme="0" tint="-0.499984740745262"/>
      <name val="Arial"/>
      <family val="2"/>
      <charset val="1"/>
    </font>
    <font>
      <b/>
      <strike/>
      <sz val="11"/>
      <color theme="1" tint="0.49989318521683401"/>
      <name val="Arial"/>
      <family val="2"/>
      <charset val="1"/>
    </font>
    <font>
      <b/>
      <sz val="11"/>
      <color rgb="FFFF6600"/>
      <name val="Arial"/>
      <family val="2"/>
      <charset val="1"/>
    </font>
    <font>
      <b/>
      <strike/>
      <sz val="11"/>
      <name val="Arial"/>
      <family val="2"/>
      <charset val="1"/>
    </font>
    <font>
      <b/>
      <sz val="11"/>
      <color rgb="FF808080"/>
      <name val="Arial"/>
      <family val="2"/>
      <charset val="1"/>
    </font>
    <font>
      <strike/>
      <sz val="12"/>
      <color rgb="FF808080"/>
      <name val="Arial"/>
      <family val="2"/>
      <charset val="1"/>
    </font>
    <font>
      <strike/>
      <sz val="12"/>
      <color rgb="FF000000"/>
      <name val="Cambria"/>
      <family val="1"/>
      <charset val="1"/>
    </font>
    <font>
      <b/>
      <strike/>
      <sz val="11"/>
      <name val="Cambria"/>
      <family val="1"/>
      <charset val="1"/>
    </font>
    <font>
      <strike/>
      <sz val="10"/>
      <name val="Cambria"/>
      <family val="1"/>
      <charset val="1"/>
    </font>
    <font>
      <b/>
      <sz val="10"/>
      <color rgb="FF212529"/>
      <name val="Arial"/>
      <family val="2"/>
      <charset val="1"/>
    </font>
    <font>
      <sz val="12"/>
      <color rgb="FF333333"/>
      <name val="Arial"/>
      <family val="2"/>
      <charset val="1"/>
    </font>
    <font>
      <sz val="10"/>
      <name val="Arial"/>
      <family val="2"/>
    </font>
    <font>
      <sz val="9"/>
      <color rgb="FF000000"/>
      <name val="Tahoma"/>
      <family val="2"/>
      <charset val="1"/>
    </font>
    <font>
      <sz val="9"/>
      <color rgb="FF000000"/>
      <name val="Segoe UI"/>
      <family val="2"/>
      <charset val="1"/>
    </font>
    <font>
      <b/>
      <sz val="16"/>
      <color rgb="FFFF0000"/>
      <name val="Calibri"/>
      <family val="2"/>
      <charset val="1"/>
    </font>
    <font>
      <sz val="11"/>
      <color rgb="FF006100"/>
      <name val="Calibri"/>
      <family val="2"/>
      <charset val="1"/>
    </font>
    <font>
      <i/>
      <sz val="12"/>
      <color rgb="FF000000"/>
      <name val="Calibri"/>
      <family val="2"/>
      <charset val="1"/>
    </font>
    <font>
      <b/>
      <sz val="11"/>
      <color rgb="FFFF0000"/>
      <name val="Calibri"/>
      <family val="2"/>
      <charset val="1"/>
    </font>
    <font>
      <sz val="12"/>
      <color rgb="FFFF0000"/>
      <name val="Arial"/>
      <family val="2"/>
      <charset val="1"/>
    </font>
    <font>
      <b/>
      <sz val="11"/>
      <color rgb="FF000000"/>
      <name val="Calibri"/>
      <family val="2"/>
      <charset val="1"/>
    </font>
    <font>
      <sz val="11"/>
      <color theme="1" tint="0.49989318521683401"/>
      <name val="Calibri"/>
      <family val="2"/>
      <charset val="1"/>
    </font>
    <font>
      <strike/>
      <sz val="11"/>
      <color rgb="FF000000"/>
      <name val="Cambria"/>
      <family val="1"/>
      <charset val="1"/>
    </font>
    <font>
      <sz val="9"/>
      <color rgb="FF000000"/>
      <name val="Segoe UI"/>
      <family val="2"/>
    </font>
    <font>
      <i/>
      <sz val="11"/>
      <color rgb="FF000000"/>
      <name val="Calibri"/>
      <family val="2"/>
      <charset val="1"/>
    </font>
    <font>
      <u/>
      <sz val="11"/>
      <color rgb="FFFF0000"/>
      <name val="Calibri"/>
      <family val="2"/>
      <charset val="1"/>
    </font>
    <font>
      <sz val="11"/>
      <color rgb="FF000000"/>
      <name val="Arial"/>
      <family val="2"/>
      <charset val="1"/>
    </font>
    <font>
      <u/>
      <sz val="11"/>
      <color rgb="FF0000FF"/>
      <name val="Calibri"/>
      <family val="2"/>
      <charset val="1"/>
    </font>
    <font>
      <i/>
      <sz val="11"/>
      <color rgb="FF000000"/>
      <name val="Arial"/>
      <family val="2"/>
      <charset val="1"/>
    </font>
    <font>
      <b/>
      <i/>
      <sz val="12"/>
      <color rgb="FF1F497D"/>
      <name val="Calibri"/>
      <family val="2"/>
      <charset val="1"/>
    </font>
    <font>
      <sz val="11"/>
      <name val="Calibri"/>
      <family val="2"/>
      <charset val="1"/>
    </font>
    <font>
      <sz val="11"/>
      <color rgb="FFFFFF00"/>
      <name val="Calibri"/>
      <family val="2"/>
      <charset val="1"/>
    </font>
    <font>
      <b/>
      <sz val="11"/>
      <color rgb="FFFFFFFF"/>
      <name val="Calibri"/>
      <family val="2"/>
      <charset val="1"/>
    </font>
    <font>
      <b/>
      <i/>
      <sz val="14"/>
      <color rgb="FF558ED5"/>
      <name val="Calibri"/>
      <family val="2"/>
      <charset val="1"/>
    </font>
    <font>
      <sz val="12"/>
      <name val="MS Sans Serif"/>
      <family val="2"/>
      <charset val="1"/>
    </font>
    <font>
      <b/>
      <sz val="11"/>
      <color theme="1"/>
      <name val="Calibri"/>
      <family val="2"/>
      <charset val="1"/>
    </font>
    <font>
      <sz val="11"/>
      <color theme="5"/>
      <name val="Calibri"/>
      <family val="2"/>
      <charset val="1"/>
    </font>
    <font>
      <sz val="11"/>
      <color theme="1"/>
      <name val="Calibri"/>
      <family val="2"/>
      <charset val="1"/>
    </font>
    <font>
      <sz val="11"/>
      <color rgb="FF000033"/>
      <name val="Calibri"/>
      <family val="2"/>
      <charset val="1"/>
    </font>
    <font>
      <sz val="11"/>
      <color rgb="FF000000"/>
      <name val="Calibri"/>
      <family val="2"/>
      <charset val="1"/>
    </font>
    <font>
      <sz val="9"/>
      <color indexed="81"/>
      <name val="Segoe UI"/>
      <family val="2"/>
    </font>
    <font>
      <b/>
      <sz val="9"/>
      <color indexed="81"/>
      <name val="Segoe UI"/>
      <family val="2"/>
    </font>
    <font>
      <sz val="8"/>
      <name val="Calibri"/>
      <family val="2"/>
      <charset val="1"/>
    </font>
    <font>
      <sz val="11"/>
      <name val="Arial"/>
      <family val="2"/>
    </font>
    <font>
      <b/>
      <sz val="11"/>
      <color theme="1"/>
      <name val="Arial"/>
      <family val="2"/>
      <charset val="1"/>
    </font>
    <font>
      <b/>
      <sz val="11"/>
      <color rgb="FF000000"/>
      <name val="Calibri"/>
      <family val="2"/>
    </font>
    <font>
      <sz val="12"/>
      <color theme="0" tint="-0.249977111117893"/>
      <name val="Arial"/>
      <family val="2"/>
      <charset val="1"/>
    </font>
    <font>
      <b/>
      <sz val="11"/>
      <color theme="0" tint="-0.249977111117893"/>
      <name val="Arial"/>
      <family val="2"/>
      <charset val="1"/>
    </font>
    <font>
      <b/>
      <sz val="12"/>
      <color rgb="FF000000"/>
      <name val="Arial"/>
      <family val="2"/>
    </font>
    <font>
      <sz val="11"/>
      <color rgb="FF000000"/>
      <name val="Aptos"/>
      <family val="2"/>
    </font>
    <font>
      <sz val="12"/>
      <color rgb="FFFF0000"/>
      <name val="Arial"/>
      <family val="2"/>
    </font>
    <font>
      <b/>
      <strike/>
      <sz val="11"/>
      <color theme="0" tint="-0.249977111117893"/>
      <name val="Arial"/>
      <family val="2"/>
      <charset val="1"/>
    </font>
    <font>
      <strike/>
      <sz val="12"/>
      <color rgb="FF000000"/>
      <name val="Arial"/>
      <family val="2"/>
      <charset val="1"/>
    </font>
  </fonts>
  <fills count="15">
    <fill>
      <patternFill patternType="none"/>
    </fill>
    <fill>
      <patternFill patternType="gray125"/>
    </fill>
    <fill>
      <patternFill patternType="solid">
        <fgColor rgb="FFC6EFCE"/>
        <bgColor rgb="FFCCFFCC"/>
      </patternFill>
    </fill>
    <fill>
      <patternFill patternType="solid">
        <fgColor rgb="FF92D050"/>
        <bgColor rgb="FFA6A6A6"/>
      </patternFill>
    </fill>
    <fill>
      <patternFill patternType="solid">
        <fgColor rgb="FF0066CC"/>
        <bgColor rgb="FF0070C0"/>
      </patternFill>
    </fill>
    <fill>
      <patternFill patternType="solid">
        <fgColor rgb="FF8EB4E3"/>
        <bgColor rgb="FF9999FF"/>
      </patternFill>
    </fill>
    <fill>
      <patternFill patternType="solid">
        <fgColor rgb="FFFFFF00"/>
        <bgColor rgb="FFFFFF00"/>
      </patternFill>
    </fill>
    <fill>
      <patternFill patternType="solid">
        <fgColor rgb="FFFFFFFF"/>
        <bgColor rgb="FFF2F2F2"/>
      </patternFill>
    </fill>
    <fill>
      <patternFill patternType="solid">
        <fgColor rgb="FFDBEEF4"/>
        <bgColor rgb="FFF0F0F0"/>
      </patternFill>
    </fill>
    <fill>
      <patternFill patternType="solid">
        <fgColor rgb="FFFF0000"/>
        <bgColor rgb="FF993300"/>
      </patternFill>
    </fill>
    <fill>
      <patternFill patternType="solid">
        <fgColor rgb="FFCCFFCC"/>
        <bgColor rgb="FFC6EFCE"/>
      </patternFill>
    </fill>
    <fill>
      <patternFill patternType="solid">
        <fgColor rgb="FF0070C0"/>
        <bgColor rgb="FF0066CC"/>
      </patternFill>
    </fill>
    <fill>
      <patternFill patternType="solid">
        <fgColor rgb="FFF0F0F0"/>
        <bgColor rgb="FFF2F2F2"/>
      </patternFill>
    </fill>
    <fill>
      <patternFill patternType="solid">
        <fgColor rgb="FFFFFF00"/>
        <bgColor indexed="64"/>
      </patternFill>
    </fill>
    <fill>
      <patternFill patternType="solid">
        <fgColor theme="5" tint="0.79998168889431442"/>
        <bgColor indexed="64"/>
      </patternFill>
    </fill>
  </fills>
  <borders count="35">
    <border>
      <left/>
      <right/>
      <top/>
      <bottom/>
      <diagonal/>
    </border>
    <border>
      <left/>
      <right style="thick">
        <color auto="1"/>
      </right>
      <top/>
      <bottom/>
      <diagonal/>
    </border>
    <border>
      <left style="thin">
        <color auto="1"/>
      </left>
      <right style="thin">
        <color auto="1"/>
      </right>
      <top style="thin">
        <color auto="1"/>
      </top>
      <bottom/>
      <diagonal/>
    </border>
    <border>
      <left style="thin">
        <color auto="1"/>
      </left>
      <right style="thin">
        <color auto="1"/>
      </right>
      <top style="thin">
        <color auto="1"/>
      </top>
      <bottom style="medium">
        <color auto="1"/>
      </bottom>
      <diagonal/>
    </border>
    <border>
      <left style="thin">
        <color auto="1"/>
      </left>
      <right style="thick">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ck">
        <color auto="1"/>
      </right>
      <top/>
      <bottom style="thin">
        <color auto="1"/>
      </bottom>
      <diagonal/>
    </border>
    <border>
      <left style="thin">
        <color auto="1"/>
      </left>
      <right style="thick">
        <color auto="1"/>
      </right>
      <top style="thin">
        <color auto="1"/>
      </top>
      <bottom style="thin">
        <color auto="1"/>
      </bottom>
      <diagonal/>
    </border>
    <border>
      <left/>
      <right style="thin">
        <color auto="1"/>
      </right>
      <top style="thin">
        <color auto="1"/>
      </top>
      <bottom style="thin">
        <color auto="1"/>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style="thin">
        <color rgb="FFFFFFFF"/>
      </left>
      <right style="thin">
        <color rgb="FFFFFFFF"/>
      </right>
      <top/>
      <bottom style="thin">
        <color rgb="FFFFFFFF"/>
      </bottom>
      <diagonal/>
    </border>
    <border>
      <left style="thin">
        <color rgb="FFFFFFFF"/>
      </left>
      <right style="thin">
        <color rgb="FFFFFFFF"/>
      </right>
      <top style="thin">
        <color rgb="FFFFFFFF"/>
      </top>
      <bottom style="thin">
        <color rgb="FFFFFFFF"/>
      </bottom>
      <diagonal/>
    </border>
    <border>
      <left style="thin">
        <color rgb="FFA0A0A0"/>
      </left>
      <right style="thin">
        <color rgb="FFA0A0A0"/>
      </right>
      <top style="thin">
        <color rgb="FFA0A0A0"/>
      </top>
      <bottom style="thin">
        <color rgb="FFA0A0A0"/>
      </bottom>
      <diagonal/>
    </border>
    <border>
      <left style="thin">
        <color rgb="FF808080"/>
      </left>
      <right style="thin">
        <color rgb="FF808080"/>
      </right>
      <top style="thin">
        <color rgb="FF808080"/>
      </top>
      <bottom style="thin">
        <color rgb="FF808080"/>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style="medium">
        <color auto="1"/>
      </left>
      <right style="medium">
        <color auto="1"/>
      </right>
      <top style="medium">
        <color auto="1"/>
      </top>
      <bottom/>
      <diagonal/>
    </border>
    <border>
      <left/>
      <right/>
      <top style="medium">
        <color auto="1"/>
      </top>
      <bottom/>
      <diagonal/>
    </border>
    <border>
      <left style="medium">
        <color auto="1"/>
      </left>
      <right/>
      <top/>
      <bottom/>
      <diagonal/>
    </border>
    <border>
      <left style="medium">
        <color auto="1"/>
      </left>
      <right style="medium">
        <color auto="1"/>
      </right>
      <top/>
      <bottom/>
      <diagonal/>
    </border>
    <border>
      <left style="medium">
        <color auto="1"/>
      </left>
      <right/>
      <top/>
      <bottom style="medium">
        <color auto="1"/>
      </bottom>
      <diagonal/>
    </border>
    <border>
      <left style="medium">
        <color auto="1"/>
      </left>
      <right style="medium">
        <color auto="1"/>
      </right>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medium">
        <color auto="1"/>
      </left>
      <right style="medium">
        <color auto="1"/>
      </right>
      <top style="thin">
        <color auto="1"/>
      </top>
      <bottom/>
      <diagonal/>
    </border>
    <border>
      <left/>
      <right/>
      <top/>
      <bottom style="medium">
        <color auto="1"/>
      </bottom>
      <diagonal/>
    </border>
    <border>
      <left style="medium">
        <color auto="1"/>
      </left>
      <right style="thin">
        <color auto="1"/>
      </right>
      <top/>
      <bottom style="thin">
        <color auto="1"/>
      </bottom>
      <diagonal/>
    </border>
    <border>
      <left style="thick">
        <color auto="1"/>
      </left>
      <right style="thin">
        <color auto="1"/>
      </right>
      <top style="thin">
        <color auto="1"/>
      </top>
      <bottom style="thin">
        <color auto="1"/>
      </bottom>
      <diagonal/>
    </border>
  </borders>
  <cellStyleXfs count="5">
    <xf numFmtId="0" fontId="0" fillId="0" borderId="0"/>
    <xf numFmtId="0" fontId="8" fillId="0" borderId="0" applyBorder="0" applyProtection="0"/>
    <xf numFmtId="0" fontId="1" fillId="0" borderId="0"/>
    <xf numFmtId="165" fontId="49" fillId="0" borderId="0" applyBorder="0" applyProtection="0"/>
    <xf numFmtId="0" fontId="26" fillId="2" borderId="0" applyBorder="0" applyProtection="0"/>
  </cellStyleXfs>
  <cellXfs count="243">
    <xf numFmtId="0" fontId="0" fillId="0" borderId="0" xfId="0"/>
    <xf numFmtId="0" fontId="1" fillId="0" borderId="0" xfId="2"/>
    <xf numFmtId="0" fontId="1" fillId="0" borderId="0" xfId="2" applyAlignment="1">
      <alignment shrinkToFit="1" readingOrder="1"/>
    </xf>
    <xf numFmtId="0" fontId="1" fillId="0" borderId="1" xfId="2" applyBorder="1"/>
    <xf numFmtId="49" fontId="1" fillId="0" borderId="0" xfId="2" applyNumberFormat="1"/>
    <xf numFmtId="49" fontId="2" fillId="3" borderId="2" xfId="2" applyNumberFormat="1" applyFont="1" applyFill="1" applyBorder="1" applyAlignment="1">
      <alignment horizontal="center" vertical="top"/>
    </xf>
    <xf numFmtId="49" fontId="2" fillId="3" borderId="3" xfId="2" applyNumberFormat="1" applyFont="1" applyFill="1" applyBorder="1" applyAlignment="1">
      <alignment horizontal="distributed" vertical="top" wrapText="1"/>
    </xf>
    <xf numFmtId="49" fontId="2" fillId="3" borderId="3" xfId="2" applyNumberFormat="1" applyFont="1" applyFill="1" applyBorder="1" applyAlignment="1">
      <alignment horizontal="center" vertical="top"/>
    </xf>
    <xf numFmtId="49" fontId="2" fillId="3" borderId="3" xfId="2" applyNumberFormat="1" applyFont="1" applyFill="1" applyBorder="1" applyAlignment="1">
      <alignment horizontal="center" vertical="top" shrinkToFit="1" readingOrder="1"/>
    </xf>
    <xf numFmtId="49" fontId="2" fillId="4" borderId="3" xfId="2" applyNumberFormat="1" applyFont="1" applyFill="1" applyBorder="1" applyAlignment="1">
      <alignment horizontal="center" vertical="top"/>
    </xf>
    <xf numFmtId="49" fontId="2" fillId="4" borderId="4" xfId="2" applyNumberFormat="1" applyFont="1" applyFill="1" applyBorder="1" applyAlignment="1">
      <alignment horizontal="center" vertical="top"/>
    </xf>
    <xf numFmtId="49" fontId="3" fillId="5" borderId="3" xfId="2" applyNumberFormat="1" applyFont="1" applyFill="1" applyBorder="1" applyAlignment="1">
      <alignment horizontal="center" vertical="top"/>
    </xf>
    <xf numFmtId="49" fontId="3" fillId="5" borderId="5" xfId="2" applyNumberFormat="1" applyFont="1" applyFill="1" applyBorder="1" applyAlignment="1">
      <alignment horizontal="center" vertical="top"/>
    </xf>
    <xf numFmtId="0" fontId="4" fillId="0" borderId="0" xfId="2" applyFont="1"/>
    <xf numFmtId="0" fontId="1" fillId="0" borderId="6" xfId="2" applyBorder="1" applyAlignment="1">
      <alignment horizontal="center"/>
    </xf>
    <xf numFmtId="49" fontId="5" fillId="0" borderId="7" xfId="2" applyNumberFormat="1" applyFont="1" applyBorder="1" applyAlignment="1" applyProtection="1">
      <alignment horizontal="center"/>
      <protection locked="0"/>
    </xf>
    <xf numFmtId="0" fontId="5" fillId="0" borderId="8" xfId="2" applyFont="1" applyBorder="1" applyAlignment="1" applyProtection="1">
      <alignment horizontal="center"/>
      <protection locked="0"/>
    </xf>
    <xf numFmtId="0" fontId="5" fillId="0" borderId="8" xfId="2" applyFont="1" applyBorder="1" applyAlignment="1" applyProtection="1">
      <alignment horizontal="center" shrinkToFit="1" readingOrder="1"/>
      <protection locked="0"/>
    </xf>
    <xf numFmtId="0" fontId="5" fillId="0" borderId="8" xfId="2" applyFont="1" applyBorder="1" applyProtection="1">
      <protection locked="0"/>
    </xf>
    <xf numFmtId="1" fontId="5" fillId="0" borderId="9" xfId="2" applyNumberFormat="1" applyFont="1" applyBorder="1" applyProtection="1">
      <protection locked="0"/>
    </xf>
    <xf numFmtId="0" fontId="5" fillId="0" borderId="9" xfId="2" applyFont="1" applyBorder="1" applyAlignment="1" applyProtection="1">
      <alignment horizontal="center"/>
      <protection locked="0"/>
    </xf>
    <xf numFmtId="0" fontId="6" fillId="0" borderId="10" xfId="2" applyFont="1" applyBorder="1" applyAlignment="1">
      <alignment vertical="top"/>
    </xf>
    <xf numFmtId="49" fontId="6" fillId="0" borderId="8" xfId="2" applyNumberFormat="1" applyFont="1" applyBorder="1" applyAlignment="1">
      <alignment vertical="top"/>
    </xf>
    <xf numFmtId="49" fontId="6" fillId="0" borderId="7" xfId="2" applyNumberFormat="1" applyFont="1" applyBorder="1" applyAlignment="1">
      <alignment horizontal="left" vertical="top"/>
    </xf>
    <xf numFmtId="49" fontId="6" fillId="6" borderId="8" xfId="2" applyNumberFormat="1" applyFont="1" applyFill="1" applyBorder="1" applyAlignment="1">
      <alignment vertical="top"/>
    </xf>
    <xf numFmtId="49" fontId="6" fillId="0" borderId="6" xfId="2" applyNumberFormat="1" applyFont="1" applyBorder="1" applyAlignment="1">
      <alignment vertical="top"/>
    </xf>
    <xf numFmtId="0" fontId="5" fillId="0" borderId="7" xfId="2" applyFont="1" applyBorder="1" applyAlignment="1" applyProtection="1">
      <alignment horizontal="center"/>
      <protection locked="0"/>
    </xf>
    <xf numFmtId="0" fontId="6" fillId="0" borderId="10" xfId="2" applyFont="1" applyBorder="1" applyAlignment="1">
      <alignment horizontal="left"/>
    </xf>
    <xf numFmtId="0" fontId="5" fillId="0" borderId="6" xfId="2" applyFont="1" applyBorder="1" applyAlignment="1" applyProtection="1">
      <alignment horizontal="center"/>
      <protection locked="0"/>
    </xf>
    <xf numFmtId="0" fontId="6" fillId="0" borderId="11" xfId="2" applyFont="1" applyBorder="1" applyAlignment="1">
      <alignment horizontal="left"/>
    </xf>
    <xf numFmtId="49" fontId="6" fillId="0" borderId="12" xfId="2" applyNumberFormat="1" applyFont="1" applyBorder="1" applyAlignment="1">
      <alignment horizontal="left" vertical="top"/>
    </xf>
    <xf numFmtId="0" fontId="0" fillId="0" borderId="6" xfId="0" applyBorder="1"/>
    <xf numFmtId="0" fontId="6" fillId="0" borderId="11" xfId="2" applyFont="1" applyBorder="1" applyAlignment="1">
      <alignment vertical="top"/>
    </xf>
    <xf numFmtId="49" fontId="6" fillId="0" borderId="6" xfId="2" applyNumberFormat="1" applyFont="1" applyBorder="1" applyAlignment="1">
      <alignment horizontal="left" vertical="top"/>
    </xf>
    <xf numFmtId="49" fontId="6" fillId="0" borderId="12" xfId="2" applyNumberFormat="1" applyFont="1" applyBorder="1" applyAlignment="1">
      <alignment vertical="top"/>
    </xf>
    <xf numFmtId="0" fontId="5" fillId="7" borderId="6" xfId="2" applyFont="1" applyFill="1" applyBorder="1" applyAlignment="1" applyProtection="1">
      <alignment horizontal="center"/>
      <protection locked="0"/>
    </xf>
    <xf numFmtId="49" fontId="7" fillId="0" borderId="12" xfId="2" applyNumberFormat="1" applyFont="1" applyBorder="1" applyAlignment="1">
      <alignment horizontal="left" vertical="top"/>
    </xf>
    <xf numFmtId="0" fontId="1" fillId="0" borderId="6" xfId="2" applyBorder="1"/>
    <xf numFmtId="49" fontId="6" fillId="6" borderId="6" xfId="2" applyNumberFormat="1" applyFont="1" applyFill="1" applyBorder="1" applyAlignment="1">
      <alignment vertical="top"/>
    </xf>
    <xf numFmtId="49" fontId="6" fillId="6" borderId="12" xfId="2" applyNumberFormat="1" applyFont="1" applyFill="1" applyBorder="1" applyAlignment="1">
      <alignment horizontal="left" vertical="top"/>
    </xf>
    <xf numFmtId="0" fontId="9" fillId="0" borderId="0" xfId="2" applyFont="1"/>
    <xf numFmtId="49" fontId="6" fillId="0" borderId="6" xfId="2" applyNumberFormat="1" applyFont="1" applyBorder="1" applyAlignment="1">
      <alignment vertical="top" wrapText="1"/>
    </xf>
    <xf numFmtId="0" fontId="8" fillId="0" borderId="6" xfId="1" applyBorder="1" applyAlignment="1" applyProtection="1">
      <alignment horizontal="center"/>
      <protection locked="0"/>
    </xf>
    <xf numFmtId="49" fontId="5" fillId="0" borderId="6" xfId="2" applyNumberFormat="1" applyFont="1" applyBorder="1" applyAlignment="1" applyProtection="1">
      <alignment horizontal="center"/>
      <protection locked="0"/>
    </xf>
    <xf numFmtId="0" fontId="6" fillId="6" borderId="11" xfId="2" applyFont="1" applyFill="1" applyBorder="1" applyAlignment="1">
      <alignment vertical="top"/>
    </xf>
    <xf numFmtId="0" fontId="10" fillId="0" borderId="6" xfId="2" applyFont="1" applyBorder="1" applyAlignment="1" applyProtection="1">
      <alignment horizontal="center"/>
      <protection locked="0"/>
    </xf>
    <xf numFmtId="1" fontId="10" fillId="0" borderId="9" xfId="2" applyNumberFormat="1" applyFont="1" applyBorder="1" applyProtection="1">
      <protection locked="0"/>
    </xf>
    <xf numFmtId="0" fontId="11" fillId="0" borderId="11" xfId="2" applyFont="1" applyBorder="1" applyAlignment="1">
      <alignment vertical="top"/>
    </xf>
    <xf numFmtId="49" fontId="11" fillId="0" borderId="6" xfId="2" applyNumberFormat="1" applyFont="1" applyBorder="1" applyAlignment="1">
      <alignment vertical="top"/>
    </xf>
    <xf numFmtId="49" fontId="11" fillId="0" borderId="12" xfId="2" applyNumberFormat="1" applyFont="1" applyBorder="1" applyAlignment="1">
      <alignment horizontal="left" vertical="top"/>
    </xf>
    <xf numFmtId="0" fontId="10" fillId="0" borderId="0" xfId="2" applyFont="1"/>
    <xf numFmtId="0" fontId="5" fillId="6" borderId="6" xfId="2" applyFont="1" applyFill="1" applyBorder="1" applyAlignment="1" applyProtection="1">
      <alignment horizontal="center"/>
      <protection locked="0"/>
    </xf>
    <xf numFmtId="0" fontId="8" fillId="0" borderId="8" xfId="1" applyBorder="1" applyAlignment="1" applyProtection="1">
      <alignment horizontal="center" shrinkToFit="1" readingOrder="1"/>
      <protection locked="0"/>
    </xf>
    <xf numFmtId="0" fontId="0" fillId="0" borderId="6" xfId="2" applyFont="1" applyBorder="1"/>
    <xf numFmtId="164" fontId="5" fillId="0" borderId="6" xfId="2" applyNumberFormat="1" applyFont="1" applyBorder="1" applyAlignment="1" applyProtection="1">
      <alignment horizontal="center"/>
      <protection locked="0"/>
    </xf>
    <xf numFmtId="0" fontId="0" fillId="0" borderId="0" xfId="0" applyAlignment="1">
      <alignment horizontal="center"/>
    </xf>
    <xf numFmtId="49" fontId="12" fillId="0" borderId="12" xfId="2" applyNumberFormat="1" applyFont="1" applyBorder="1" applyAlignment="1">
      <alignment horizontal="left" vertical="top"/>
    </xf>
    <xf numFmtId="0" fontId="5" fillId="0" borderId="8" xfId="2" applyFont="1" applyBorder="1" applyAlignment="1" applyProtection="1">
      <alignment shrinkToFit="1"/>
      <protection locked="0"/>
    </xf>
    <xf numFmtId="49" fontId="6" fillId="0" borderId="12" xfId="2" applyNumberFormat="1" applyFont="1" applyBorder="1" applyAlignment="1">
      <alignment horizontal="left"/>
    </xf>
    <xf numFmtId="49" fontId="6" fillId="6" borderId="12" xfId="2" applyNumberFormat="1" applyFont="1" applyFill="1" applyBorder="1" applyAlignment="1">
      <alignment vertical="top"/>
    </xf>
    <xf numFmtId="49" fontId="6" fillId="6" borderId="6" xfId="2" applyNumberFormat="1" applyFont="1" applyFill="1" applyBorder="1" applyAlignment="1">
      <alignment horizontal="left" vertical="top"/>
    </xf>
    <xf numFmtId="49" fontId="13" fillId="0" borderId="6" xfId="2" applyNumberFormat="1" applyFont="1" applyBorder="1" applyAlignment="1">
      <alignment vertical="top"/>
    </xf>
    <xf numFmtId="49" fontId="14" fillId="0" borderId="6" xfId="2" applyNumberFormat="1" applyFont="1" applyBorder="1" applyAlignment="1">
      <alignment vertical="top"/>
    </xf>
    <xf numFmtId="0" fontId="5" fillId="0" borderId="6" xfId="0" applyFont="1" applyBorder="1" applyAlignment="1" applyProtection="1">
      <alignment horizontal="center"/>
      <protection locked="0"/>
    </xf>
    <xf numFmtId="49" fontId="14" fillId="0" borderId="6" xfId="2" applyNumberFormat="1" applyFont="1" applyBorder="1" applyAlignment="1">
      <alignment horizontal="left" vertical="top"/>
    </xf>
    <xf numFmtId="49" fontId="12" fillId="6" borderId="12" xfId="2" applyNumberFormat="1" applyFont="1" applyFill="1" applyBorder="1" applyAlignment="1">
      <alignment horizontal="left" vertical="top"/>
    </xf>
    <xf numFmtId="49" fontId="12" fillId="0" borderId="6" xfId="2" applyNumberFormat="1" applyFont="1" applyBorder="1" applyAlignment="1">
      <alignment horizontal="left" vertical="top"/>
    </xf>
    <xf numFmtId="49" fontId="14" fillId="0" borderId="12" xfId="2" applyNumberFormat="1" applyFont="1" applyBorder="1" applyAlignment="1">
      <alignment horizontal="left" vertical="top"/>
    </xf>
    <xf numFmtId="49" fontId="0" fillId="0" borderId="6" xfId="2" applyNumberFormat="1" applyFont="1" applyBorder="1"/>
    <xf numFmtId="49" fontId="15" fillId="0" borderId="6" xfId="2" applyNumberFormat="1" applyFont="1" applyBorder="1" applyAlignment="1">
      <alignment vertical="top"/>
    </xf>
    <xf numFmtId="49" fontId="6" fillId="0" borderId="0" xfId="2" applyNumberFormat="1" applyFont="1" applyAlignment="1">
      <alignment horizontal="left" vertical="top"/>
    </xf>
    <xf numFmtId="49" fontId="5" fillId="6" borderId="6" xfId="2" applyNumberFormat="1" applyFont="1" applyFill="1" applyBorder="1" applyAlignment="1" applyProtection="1">
      <alignment horizontal="center"/>
      <protection locked="0"/>
    </xf>
    <xf numFmtId="0" fontId="16" fillId="0" borderId="6" xfId="2" applyFont="1" applyBorder="1" applyAlignment="1" applyProtection="1">
      <alignment horizontal="center"/>
      <protection locked="0"/>
    </xf>
    <xf numFmtId="0" fontId="5" fillId="0" borderId="6" xfId="2" applyFont="1" applyBorder="1" applyProtection="1">
      <protection locked="0"/>
    </xf>
    <xf numFmtId="0" fontId="0" fillId="0" borderId="0" xfId="2" applyFont="1"/>
    <xf numFmtId="0" fontId="8" fillId="6" borderId="6" xfId="1" applyFill="1" applyBorder="1" applyAlignment="1" applyProtection="1">
      <alignment horizontal="center"/>
      <protection locked="0"/>
    </xf>
    <xf numFmtId="0" fontId="1" fillId="0" borderId="12" xfId="2" applyBorder="1"/>
    <xf numFmtId="49" fontId="0" fillId="0" borderId="12" xfId="2" applyNumberFormat="1" applyFont="1" applyBorder="1" applyAlignment="1">
      <alignment horizontal="left"/>
    </xf>
    <xf numFmtId="0" fontId="6" fillId="0" borderId="0" xfId="2" applyFont="1" applyAlignment="1">
      <alignment vertical="top"/>
    </xf>
    <xf numFmtId="0" fontId="0" fillId="0" borderId="12" xfId="2" applyFont="1" applyBorder="1"/>
    <xf numFmtId="0" fontId="6" fillId="0" borderId="6" xfId="2" applyFont="1" applyBorder="1" applyAlignment="1">
      <alignment vertical="top"/>
    </xf>
    <xf numFmtId="0" fontId="17" fillId="0" borderId="6" xfId="2" applyFont="1" applyBorder="1" applyAlignment="1" applyProtection="1">
      <alignment horizontal="center"/>
      <protection locked="0"/>
    </xf>
    <xf numFmtId="1" fontId="17" fillId="0" borderId="9" xfId="2" applyNumberFormat="1" applyFont="1" applyBorder="1" applyProtection="1">
      <protection locked="0"/>
    </xf>
    <xf numFmtId="0" fontId="18" fillId="0" borderId="11" xfId="2" applyFont="1" applyBorder="1" applyAlignment="1">
      <alignment vertical="top"/>
    </xf>
    <xf numFmtId="49" fontId="18" fillId="0" borderId="6" xfId="2" applyNumberFormat="1" applyFont="1" applyBorder="1" applyAlignment="1">
      <alignment vertical="top"/>
    </xf>
    <xf numFmtId="49" fontId="18" fillId="0" borderId="12" xfId="2" applyNumberFormat="1" applyFont="1" applyBorder="1" applyAlignment="1">
      <alignment horizontal="left" vertical="top"/>
    </xf>
    <xf numFmtId="0" fontId="19" fillId="0" borderId="6" xfId="2" applyFont="1" applyBorder="1"/>
    <xf numFmtId="0" fontId="19" fillId="0" borderId="0" xfId="2" applyFont="1"/>
    <xf numFmtId="0" fontId="20" fillId="0" borderId="0" xfId="0" applyFont="1"/>
    <xf numFmtId="49" fontId="6" fillId="3" borderId="6" xfId="2" applyNumberFormat="1" applyFont="1" applyFill="1" applyBorder="1" applyAlignment="1">
      <alignment horizontal="left" vertical="top"/>
    </xf>
    <xf numFmtId="0" fontId="5" fillId="0" borderId="8" xfId="2" applyFont="1" applyBorder="1" applyAlignment="1" applyProtection="1">
      <alignment wrapText="1"/>
      <protection locked="0"/>
    </xf>
    <xf numFmtId="0" fontId="21" fillId="0" borderId="6" xfId="0" applyFont="1" applyBorder="1" applyAlignment="1">
      <alignment horizontal="center"/>
    </xf>
    <xf numFmtId="0" fontId="6" fillId="0" borderId="11" xfId="2" applyFont="1" applyBorder="1" applyAlignment="1">
      <alignment vertical="top" wrapText="1"/>
    </xf>
    <xf numFmtId="0" fontId="5" fillId="0" borderId="6" xfId="2" applyFont="1" applyBorder="1" applyAlignment="1" applyProtection="1">
      <alignment horizontal="center" shrinkToFit="1"/>
      <protection locked="0"/>
    </xf>
    <xf numFmtId="0" fontId="5" fillId="0" borderId="6" xfId="2" applyFont="1" applyBorder="1" applyAlignment="1" applyProtection="1">
      <alignment horizontal="center" wrapText="1"/>
      <protection locked="0"/>
    </xf>
    <xf numFmtId="1" fontId="5" fillId="0" borderId="9" xfId="2" applyNumberFormat="1" applyFont="1" applyBorder="1" applyAlignment="1" applyProtection="1">
      <alignment wrapText="1"/>
      <protection locked="0"/>
    </xf>
    <xf numFmtId="0" fontId="25" fillId="0" borderId="0" xfId="0" applyFont="1"/>
    <xf numFmtId="165" fontId="49" fillId="0" borderId="0" xfId="3" applyBorder="1" applyProtection="1"/>
    <xf numFmtId="0" fontId="26" fillId="2" borderId="0" xfId="4" applyBorder="1" applyAlignment="1" applyProtection="1">
      <alignment horizontal="center"/>
    </xf>
    <xf numFmtId="0" fontId="0" fillId="6" borderId="0" xfId="0" applyFill="1"/>
    <xf numFmtId="0" fontId="27" fillId="8" borderId="0" xfId="0" applyFont="1" applyFill="1" applyAlignment="1">
      <alignment horizontal="center"/>
    </xf>
    <xf numFmtId="1" fontId="0" fillId="0" borderId="0" xfId="0" applyNumberFormat="1"/>
    <xf numFmtId="0" fontId="8" fillId="0" borderId="0" xfId="1" applyBorder="1" applyProtection="1"/>
    <xf numFmtId="0" fontId="28" fillId="0" borderId="0" xfId="0" applyFont="1"/>
    <xf numFmtId="0" fontId="8" fillId="0" borderId="8" xfId="1" applyBorder="1" applyAlignment="1" applyProtection="1">
      <alignment horizontal="left" wrapText="1"/>
      <protection locked="0"/>
    </xf>
    <xf numFmtId="49" fontId="5" fillId="0" borderId="9" xfId="2" applyNumberFormat="1" applyFont="1" applyBorder="1" applyAlignment="1" applyProtection="1">
      <alignment wrapText="1"/>
      <protection locked="0"/>
    </xf>
    <xf numFmtId="49" fontId="6" fillId="3" borderId="6" xfId="2" applyNumberFormat="1" applyFont="1" applyFill="1" applyBorder="1" applyAlignment="1">
      <alignment vertical="top"/>
    </xf>
    <xf numFmtId="0" fontId="30" fillId="0" borderId="6" xfId="0" applyFont="1" applyBorder="1"/>
    <xf numFmtId="0" fontId="10" fillId="0" borderId="0" xfId="0" applyFont="1"/>
    <xf numFmtId="49" fontId="7" fillId="0" borderId="6" xfId="2" applyNumberFormat="1" applyFont="1" applyBorder="1" applyAlignment="1">
      <alignment horizontal="left" vertical="top"/>
    </xf>
    <xf numFmtId="0" fontId="10" fillId="0" borderId="8" xfId="2" applyFont="1" applyBorder="1" applyAlignment="1" applyProtection="1">
      <alignment wrapText="1"/>
      <protection locked="0"/>
    </xf>
    <xf numFmtId="49" fontId="5" fillId="0" borderId="6" xfId="2" applyNumberFormat="1" applyFont="1" applyBorder="1" applyAlignment="1" applyProtection="1">
      <alignment horizontal="center" wrapText="1"/>
      <protection locked="0"/>
    </xf>
    <xf numFmtId="0" fontId="32" fillId="0" borderId="0" xfId="0" applyFont="1"/>
    <xf numFmtId="0" fontId="17" fillId="0" borderId="8" xfId="2" applyFont="1" applyBorder="1" applyAlignment="1" applyProtection="1">
      <alignment wrapText="1"/>
      <protection locked="0"/>
    </xf>
    <xf numFmtId="49" fontId="6" fillId="0" borderId="12" xfId="2" applyNumberFormat="1" applyFont="1" applyBorder="1" applyAlignment="1">
      <alignment horizontal="left" vertical="top" wrapText="1" shrinkToFit="1"/>
    </xf>
    <xf numFmtId="0" fontId="30" fillId="10" borderId="15" xfId="2" applyFont="1" applyFill="1" applyBorder="1" applyAlignment="1">
      <alignment horizontal="center"/>
    </xf>
    <xf numFmtId="0" fontId="0" fillId="0" borderId="13" xfId="2" applyFont="1" applyBorder="1"/>
    <xf numFmtId="0" fontId="35" fillId="0" borderId="13" xfId="2" applyFont="1" applyBorder="1"/>
    <xf numFmtId="49" fontId="36" fillId="0" borderId="13" xfId="2" applyNumberFormat="1" applyFont="1" applyBorder="1" applyAlignment="1">
      <alignment horizontal="left"/>
    </xf>
    <xf numFmtId="49" fontId="36" fillId="0" borderId="13" xfId="2" applyNumberFormat="1" applyFont="1" applyBorder="1"/>
    <xf numFmtId="0" fontId="37" fillId="0" borderId="13" xfId="2" applyFont="1" applyBorder="1"/>
    <xf numFmtId="49" fontId="38" fillId="0" borderId="13" xfId="2" applyNumberFormat="1" applyFont="1" applyBorder="1"/>
    <xf numFmtId="0" fontId="37" fillId="0" borderId="0" xfId="2" applyFont="1"/>
    <xf numFmtId="0" fontId="8" fillId="0" borderId="13" xfId="1" applyBorder="1" applyProtection="1"/>
    <xf numFmtId="0" fontId="0" fillId="0" borderId="16" xfId="2" applyFont="1" applyBorder="1"/>
    <xf numFmtId="0" fontId="0" fillId="0" borderId="17" xfId="2" applyFont="1" applyBorder="1"/>
    <xf numFmtId="0" fontId="39" fillId="0" borderId="0" xfId="0" applyFont="1"/>
    <xf numFmtId="0" fontId="40" fillId="3" borderId="0" xfId="0" applyFont="1" applyFill="1"/>
    <xf numFmtId="0" fontId="41" fillId="9" borderId="0" xfId="0" applyFont="1" applyFill="1"/>
    <xf numFmtId="0" fontId="0" fillId="3" borderId="0" xfId="0" applyFill="1"/>
    <xf numFmtId="49" fontId="42" fillId="11" borderId="6" xfId="0" applyNumberFormat="1" applyFont="1" applyFill="1" applyBorder="1"/>
    <xf numFmtId="0" fontId="42" fillId="11" borderId="0" xfId="0" applyFont="1" applyFill="1"/>
    <xf numFmtId="49" fontId="30" fillId="0" borderId="6" xfId="0" applyNumberFormat="1" applyFont="1" applyBorder="1"/>
    <xf numFmtId="49" fontId="0" fillId="0" borderId="6" xfId="0" applyNumberFormat="1" applyBorder="1"/>
    <xf numFmtId="0" fontId="43" fillId="0" borderId="0" xfId="0" applyFont="1"/>
    <xf numFmtId="0" fontId="0" fillId="0" borderId="0" xfId="0" applyAlignment="1">
      <alignment horizontal="left"/>
    </xf>
    <xf numFmtId="0" fontId="0" fillId="0" borderId="0" xfId="0" applyAlignment="1">
      <alignment wrapText="1"/>
    </xf>
    <xf numFmtId="0" fontId="0" fillId="0" borderId="0" xfId="0" applyAlignment="1">
      <alignment shrinkToFit="1"/>
    </xf>
    <xf numFmtId="0" fontId="0" fillId="0" borderId="0" xfId="0" applyAlignment="1">
      <alignment wrapText="1" shrinkToFit="1"/>
    </xf>
    <xf numFmtId="0" fontId="44" fillId="12" borderId="18" xfId="0" applyFont="1" applyFill="1" applyBorder="1" applyAlignment="1">
      <alignment horizontal="left" vertical="top" wrapText="1"/>
    </xf>
    <xf numFmtId="0" fontId="44" fillId="0" borderId="19" xfId="0" applyFont="1" applyBorder="1" applyAlignment="1">
      <alignment horizontal="left" vertical="top" wrapText="1"/>
    </xf>
    <xf numFmtId="49" fontId="0" fillId="0" borderId="0" xfId="0" applyNumberFormat="1"/>
    <xf numFmtId="49" fontId="0" fillId="0" borderId="0" xfId="0" applyNumberFormat="1" applyAlignment="1">
      <alignment horizontal="center"/>
    </xf>
    <xf numFmtId="0" fontId="0" fillId="0" borderId="20" xfId="0" applyBorder="1"/>
    <xf numFmtId="49" fontId="0" fillId="0" borderId="20" xfId="0" applyNumberFormat="1" applyBorder="1"/>
    <xf numFmtId="49" fontId="0" fillId="0" borderId="20" xfId="0" applyNumberFormat="1" applyBorder="1" applyAlignment="1">
      <alignment horizontal="center"/>
    </xf>
    <xf numFmtId="0" fontId="0" fillId="0" borderId="20" xfId="0" applyBorder="1" applyAlignment="1">
      <alignment horizontal="center"/>
    </xf>
    <xf numFmtId="0" fontId="0" fillId="0" borderId="21" xfId="0" applyBorder="1"/>
    <xf numFmtId="0" fontId="0" fillId="0" borderId="22" xfId="0" applyBorder="1"/>
    <xf numFmtId="49" fontId="0" fillId="0" borderId="22" xfId="0" applyNumberFormat="1" applyBorder="1"/>
    <xf numFmtId="49" fontId="0" fillId="0" borderId="23" xfId="0" applyNumberFormat="1" applyBorder="1" applyAlignment="1">
      <alignment horizontal="center"/>
    </xf>
    <xf numFmtId="0" fontId="0" fillId="0" borderId="22" xfId="0" applyBorder="1" applyAlignment="1">
      <alignment horizontal="center"/>
    </xf>
    <xf numFmtId="0" fontId="45" fillId="0" borderId="24" xfId="0" applyFont="1" applyBorder="1"/>
    <xf numFmtId="0" fontId="0" fillId="0" borderId="25" xfId="0" applyBorder="1"/>
    <xf numFmtId="49" fontId="0" fillId="0" borderId="25" xfId="0" applyNumberFormat="1" applyBorder="1"/>
    <xf numFmtId="0" fontId="0" fillId="0" borderId="25" xfId="0" applyBorder="1" applyAlignment="1">
      <alignment horizontal="center"/>
    </xf>
    <xf numFmtId="0" fontId="8" fillId="0" borderId="25" xfId="1" applyBorder="1" applyAlignment="1" applyProtection="1">
      <alignment horizontal="center"/>
    </xf>
    <xf numFmtId="0" fontId="0" fillId="0" borderId="24" xfId="0" applyBorder="1"/>
    <xf numFmtId="0" fontId="0" fillId="0" borderId="26" xfId="0" applyBorder="1"/>
    <xf numFmtId="0" fontId="0" fillId="0" borderId="27" xfId="0" applyBorder="1"/>
    <xf numFmtId="49" fontId="0" fillId="0" borderId="27" xfId="0" applyNumberFormat="1" applyBorder="1"/>
    <xf numFmtId="0" fontId="0" fillId="0" borderId="27" xfId="0" applyBorder="1" applyAlignment="1">
      <alignment horizontal="center"/>
    </xf>
    <xf numFmtId="49" fontId="0" fillId="0" borderId="22" xfId="0" applyNumberFormat="1" applyBorder="1" applyAlignment="1">
      <alignment horizontal="center"/>
    </xf>
    <xf numFmtId="49" fontId="0" fillId="0" borderId="25" xfId="0" applyNumberFormat="1" applyBorder="1" applyAlignment="1">
      <alignment horizontal="center"/>
    </xf>
    <xf numFmtId="49" fontId="0" fillId="0" borderId="27" xfId="0" applyNumberFormat="1" applyBorder="1" applyAlignment="1">
      <alignment horizontal="center"/>
    </xf>
    <xf numFmtId="0" fontId="45" fillId="0" borderId="25" xfId="0" applyFont="1" applyBorder="1"/>
    <xf numFmtId="49" fontId="0" fillId="0" borderId="28" xfId="0" applyNumberFormat="1" applyBorder="1"/>
    <xf numFmtId="49" fontId="0" fillId="0" borderId="28" xfId="0" applyNumberFormat="1" applyBorder="1" applyAlignment="1">
      <alignment horizontal="center"/>
    </xf>
    <xf numFmtId="0" fontId="0" fillId="0" borderId="28" xfId="0" applyBorder="1" applyAlignment="1">
      <alignment horizontal="center"/>
    </xf>
    <xf numFmtId="0" fontId="45" fillId="0" borderId="0" xfId="0" applyFont="1"/>
    <xf numFmtId="49" fontId="0" fillId="0" borderId="29" xfId="0" applyNumberFormat="1" applyBorder="1"/>
    <xf numFmtId="49" fontId="0" fillId="0" borderId="29" xfId="0" applyNumberFormat="1" applyBorder="1" applyAlignment="1">
      <alignment horizontal="center"/>
    </xf>
    <xf numFmtId="0" fontId="0" fillId="0" borderId="29" xfId="0" applyBorder="1" applyAlignment="1">
      <alignment horizontal="center"/>
    </xf>
    <xf numFmtId="0" fontId="8" fillId="0" borderId="29" xfId="1" applyBorder="1" applyAlignment="1" applyProtection="1">
      <alignment horizontal="center"/>
    </xf>
    <xf numFmtId="49" fontId="0" fillId="0" borderId="30" xfId="0" applyNumberFormat="1" applyBorder="1"/>
    <xf numFmtId="49" fontId="0" fillId="0" borderId="30" xfId="0" applyNumberFormat="1" applyBorder="1" applyAlignment="1">
      <alignment horizontal="center"/>
    </xf>
    <xf numFmtId="0" fontId="0" fillId="0" borderId="30" xfId="0" applyBorder="1" applyAlignment="1">
      <alignment horizontal="center"/>
    </xf>
    <xf numFmtId="0" fontId="8" fillId="0" borderId="0" xfId="1" applyBorder="1" applyAlignment="1" applyProtection="1">
      <alignment horizontal="center"/>
    </xf>
    <xf numFmtId="0" fontId="0" fillId="0" borderId="28" xfId="0" applyBorder="1"/>
    <xf numFmtId="0" fontId="0" fillId="0" borderId="29" xfId="0" applyBorder="1"/>
    <xf numFmtId="0" fontId="46" fillId="0" borderId="29" xfId="0" applyFont="1" applyBorder="1" applyAlignment="1">
      <alignment horizontal="center"/>
    </xf>
    <xf numFmtId="0" fontId="0" fillId="0" borderId="30" xfId="0" applyBorder="1"/>
    <xf numFmtId="49" fontId="0" fillId="0" borderId="31" xfId="0" applyNumberFormat="1" applyBorder="1" applyAlignment="1">
      <alignment horizontal="center"/>
    </xf>
    <xf numFmtId="0" fontId="8" fillId="0" borderId="31" xfId="1" applyBorder="1" applyAlignment="1" applyProtection="1">
      <alignment horizontal="center"/>
    </xf>
    <xf numFmtId="0" fontId="8" fillId="0" borderId="22" xfId="1" applyBorder="1" applyAlignment="1" applyProtection="1">
      <alignment horizontal="center"/>
    </xf>
    <xf numFmtId="0" fontId="8" fillId="0" borderId="27" xfId="1" applyBorder="1" applyAlignment="1" applyProtection="1">
      <alignment horizontal="center"/>
    </xf>
    <xf numFmtId="0" fontId="45" fillId="0" borderId="27" xfId="0" applyFont="1" applyBorder="1"/>
    <xf numFmtId="0" fontId="8" fillId="0" borderId="30" xfId="1" applyBorder="1" applyAlignment="1" applyProtection="1">
      <alignment horizontal="center"/>
    </xf>
    <xf numFmtId="49" fontId="8" fillId="0" borderId="30" xfId="1" applyNumberFormat="1" applyBorder="1" applyAlignment="1" applyProtection="1">
      <alignment horizontal="center"/>
    </xf>
    <xf numFmtId="49" fontId="8" fillId="0" borderId="29" xfId="1" applyNumberFormat="1" applyBorder="1" applyAlignment="1" applyProtection="1">
      <alignment horizontal="center"/>
    </xf>
    <xf numFmtId="0" fontId="47" fillId="0" borderId="29" xfId="1" applyFont="1" applyBorder="1" applyAlignment="1" applyProtection="1">
      <alignment horizontal="center"/>
    </xf>
    <xf numFmtId="49" fontId="47" fillId="0" borderId="29" xfId="1" applyNumberFormat="1" applyFont="1" applyBorder="1" applyAlignment="1" applyProtection="1">
      <alignment horizontal="center"/>
    </xf>
    <xf numFmtId="49" fontId="8" fillId="0" borderId="27" xfId="1" applyNumberFormat="1" applyBorder="1" applyAlignment="1" applyProtection="1">
      <alignment horizontal="center"/>
    </xf>
    <xf numFmtId="49" fontId="40" fillId="0" borderId="29" xfId="1" applyNumberFormat="1" applyFont="1" applyBorder="1" applyAlignment="1" applyProtection="1">
      <alignment horizontal="center"/>
    </xf>
    <xf numFmtId="49" fontId="8" fillId="0" borderId="25" xfId="1" applyNumberFormat="1" applyBorder="1" applyAlignment="1" applyProtection="1">
      <alignment horizontal="center"/>
    </xf>
    <xf numFmtId="49" fontId="0" fillId="6" borderId="25" xfId="0" applyNumberFormat="1" applyFill="1" applyBorder="1" applyAlignment="1">
      <alignment horizontal="center"/>
    </xf>
    <xf numFmtId="49" fontId="47" fillId="0" borderId="25" xfId="1" applyNumberFormat="1" applyFont="1" applyBorder="1" applyAlignment="1" applyProtection="1">
      <alignment horizontal="center"/>
    </xf>
    <xf numFmtId="0" fontId="48" fillId="0" borderId="25" xfId="0" applyFont="1" applyBorder="1"/>
    <xf numFmtId="49" fontId="48" fillId="0" borderId="25" xfId="0" applyNumberFormat="1" applyFont="1" applyBorder="1"/>
    <xf numFmtId="0" fontId="48" fillId="0" borderId="27" xfId="0" applyFont="1" applyBorder="1"/>
    <xf numFmtId="49" fontId="0" fillId="0" borderId="32" xfId="0" applyNumberFormat="1" applyBorder="1"/>
    <xf numFmtId="0" fontId="8" fillId="0" borderId="33" xfId="1" applyBorder="1" applyProtection="1"/>
    <xf numFmtId="49" fontId="8" fillId="0" borderId="0" xfId="1" applyNumberFormat="1" applyBorder="1" applyAlignment="1" applyProtection="1">
      <alignment horizontal="center"/>
    </xf>
    <xf numFmtId="0" fontId="6" fillId="13" borderId="11" xfId="2" applyFont="1" applyFill="1" applyBorder="1" applyAlignment="1">
      <alignment vertical="top"/>
    </xf>
    <xf numFmtId="49" fontId="6" fillId="13" borderId="12" xfId="2" applyNumberFormat="1" applyFont="1" applyFill="1" applyBorder="1" applyAlignment="1">
      <alignment horizontal="left" vertical="top"/>
    </xf>
    <xf numFmtId="0" fontId="5" fillId="13" borderId="6" xfId="2" applyFont="1" applyFill="1" applyBorder="1" applyAlignment="1" applyProtection="1">
      <alignment horizontal="center"/>
      <protection locked="0"/>
    </xf>
    <xf numFmtId="49" fontId="6" fillId="13" borderId="6" xfId="2" applyNumberFormat="1" applyFont="1" applyFill="1" applyBorder="1" applyAlignment="1">
      <alignment vertical="top"/>
    </xf>
    <xf numFmtId="0" fontId="20" fillId="0" borderId="6" xfId="0" applyFont="1" applyBorder="1"/>
    <xf numFmtId="0" fontId="5" fillId="0" borderId="8" xfId="2" applyFont="1" applyBorder="1" applyAlignment="1" applyProtection="1">
      <alignment horizontal="left" wrapText="1"/>
      <protection locked="0"/>
    </xf>
    <xf numFmtId="49" fontId="5" fillId="0" borderId="9" xfId="2" applyNumberFormat="1" applyFont="1" applyBorder="1" applyProtection="1">
      <protection locked="0"/>
    </xf>
    <xf numFmtId="0" fontId="5" fillId="0" borderId="6" xfId="2" applyFont="1" applyBorder="1" applyAlignment="1" applyProtection="1">
      <alignment horizontal="left"/>
      <protection locked="0"/>
    </xf>
    <xf numFmtId="0" fontId="54" fillId="13" borderId="11" xfId="2" applyFont="1" applyFill="1" applyBorder="1" applyAlignment="1">
      <alignment vertical="top"/>
    </xf>
    <xf numFmtId="0" fontId="0" fillId="13" borderId="0" xfId="0" applyFill="1"/>
    <xf numFmtId="0" fontId="8" fillId="0" borderId="6" xfId="1" applyBorder="1" applyProtection="1">
      <protection locked="0"/>
    </xf>
    <xf numFmtId="0" fontId="53" fillId="0" borderId="8" xfId="2" applyFont="1" applyBorder="1" applyAlignment="1">
      <alignment vertical="top" wrapText="1"/>
    </xf>
    <xf numFmtId="0" fontId="5" fillId="13" borderId="8" xfId="2" applyFont="1" applyFill="1" applyBorder="1" applyAlignment="1" applyProtection="1">
      <alignment horizontal="center" shrinkToFit="1" readingOrder="1"/>
      <protection locked="0"/>
    </xf>
    <xf numFmtId="0" fontId="5" fillId="13" borderId="8" xfId="2" applyFont="1" applyFill="1" applyBorder="1" applyProtection="1">
      <protection locked="0"/>
    </xf>
    <xf numFmtId="0" fontId="56" fillId="0" borderId="8" xfId="2" applyFont="1" applyBorder="1" applyAlignment="1" applyProtection="1">
      <alignment wrapText="1"/>
      <protection locked="0"/>
    </xf>
    <xf numFmtId="1" fontId="56" fillId="0" borderId="9" xfId="2" applyNumberFormat="1" applyFont="1" applyBorder="1" applyProtection="1">
      <protection locked="0"/>
    </xf>
    <xf numFmtId="0" fontId="57" fillId="0" borderId="11" xfId="2" applyFont="1" applyBorder="1" applyAlignment="1">
      <alignment vertical="top"/>
    </xf>
    <xf numFmtId="49" fontId="57" fillId="0" borderId="6" xfId="2" applyNumberFormat="1" applyFont="1" applyBorder="1" applyAlignment="1">
      <alignment vertical="top"/>
    </xf>
    <xf numFmtId="49" fontId="57" fillId="0" borderId="12" xfId="2" applyNumberFormat="1" applyFont="1" applyBorder="1" applyAlignment="1">
      <alignment horizontal="left" vertical="top"/>
    </xf>
    <xf numFmtId="0" fontId="58" fillId="0" borderId="9" xfId="2" applyFont="1" applyBorder="1" applyAlignment="1" applyProtection="1">
      <alignment shrinkToFit="1"/>
      <protection locked="0"/>
    </xf>
    <xf numFmtId="49" fontId="6" fillId="0" borderId="34" xfId="2" applyNumberFormat="1" applyFont="1" applyBorder="1" applyAlignment="1">
      <alignment vertical="top"/>
    </xf>
    <xf numFmtId="49" fontId="6" fillId="13" borderId="12" xfId="2" applyNumberFormat="1" applyFont="1" applyFill="1" applyBorder="1" applyAlignment="1">
      <alignment vertical="top"/>
    </xf>
    <xf numFmtId="0" fontId="29" fillId="13" borderId="6" xfId="2" applyFont="1" applyFill="1" applyBorder="1" applyAlignment="1" applyProtection="1">
      <alignment horizontal="center"/>
      <protection locked="0"/>
    </xf>
    <xf numFmtId="49" fontId="6" fillId="14" borderId="6" xfId="2" applyNumberFormat="1" applyFont="1" applyFill="1" applyBorder="1" applyAlignment="1">
      <alignment vertical="top"/>
    </xf>
    <xf numFmtId="49" fontId="60" fillId="13" borderId="6" xfId="2" applyNumberFormat="1" applyFont="1" applyFill="1" applyBorder="1" applyAlignment="1" applyProtection="1">
      <alignment horizontal="center"/>
      <protection locked="0"/>
    </xf>
    <xf numFmtId="49" fontId="61" fillId="0" borderId="12" xfId="2" applyNumberFormat="1" applyFont="1" applyBorder="1" applyAlignment="1">
      <alignment horizontal="left" vertical="top"/>
    </xf>
    <xf numFmtId="0" fontId="5" fillId="0" borderId="0" xfId="2" applyFont="1" applyAlignment="1" applyProtection="1">
      <alignment horizontal="center"/>
      <protection locked="0"/>
    </xf>
    <xf numFmtId="0" fontId="59" fillId="0" borderId="6" xfId="0" applyFont="1" applyBorder="1"/>
    <xf numFmtId="0" fontId="5" fillId="0" borderId="6" xfId="2" applyFont="1" applyBorder="1" applyAlignment="1" applyProtection="1">
      <alignment horizontal="center" shrinkToFit="1" readingOrder="1"/>
      <protection locked="0"/>
    </xf>
    <xf numFmtId="0" fontId="8" fillId="0" borderId="8" xfId="1" applyBorder="1"/>
    <xf numFmtId="0" fontId="5" fillId="0" borderId="0" xfId="2" applyFont="1" applyAlignment="1" applyProtection="1">
      <alignment horizontal="center" shrinkToFit="1" readingOrder="1"/>
      <protection locked="0"/>
    </xf>
    <xf numFmtId="0" fontId="6" fillId="0" borderId="9" xfId="2" applyFont="1" applyBorder="1" applyAlignment="1">
      <alignment vertical="top"/>
    </xf>
    <xf numFmtId="0" fontId="58" fillId="0" borderId="11" xfId="2" applyFont="1" applyBorder="1" applyAlignment="1" applyProtection="1">
      <alignment wrapText="1"/>
      <protection locked="0"/>
    </xf>
    <xf numFmtId="0" fontId="5" fillId="0" borderId="12" xfId="2" applyFont="1" applyBorder="1" applyAlignment="1" applyProtection="1">
      <alignment horizontal="center"/>
      <protection locked="0"/>
    </xf>
    <xf numFmtId="0" fontId="5" fillId="0" borderId="0" xfId="2" applyFont="1" applyAlignment="1" applyProtection="1">
      <alignment horizontal="left"/>
      <protection locked="0"/>
    </xf>
    <xf numFmtId="0" fontId="55" fillId="13" borderId="0" xfId="0" applyFont="1" applyFill="1"/>
    <xf numFmtId="49" fontId="0" fillId="0" borderId="6" xfId="2" applyNumberFormat="1" applyFont="1" applyBorder="1" applyAlignment="1">
      <alignment horizontal="left"/>
    </xf>
    <xf numFmtId="0" fontId="62" fillId="0" borderId="6" xfId="2" applyFont="1" applyBorder="1" applyAlignment="1" applyProtection="1">
      <alignment horizontal="center"/>
      <protection locked="0"/>
    </xf>
    <xf numFmtId="0" fontId="30" fillId="0" borderId="13" xfId="2" applyFont="1" applyBorder="1"/>
    <xf numFmtId="0" fontId="34" fillId="10" borderId="14" xfId="2" applyFont="1" applyFill="1" applyBorder="1"/>
  </cellXfs>
  <cellStyles count="5">
    <cellStyle name="Excel Built-in Explanatory Text" xfId="2" xr:uid="{00000000-0005-0000-0000-000000000000}"/>
    <cellStyle name="Excel Built-in Good" xfId="4" xr:uid="{00000000-0005-0000-0000-000001000000}"/>
    <cellStyle name="Excel Built-in Normal" xfId="3" xr:uid="{00000000-0005-0000-0000-000002000000}"/>
    <cellStyle name="Link" xfId="1" builtinId="8"/>
    <cellStyle name="Standard"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6100"/>
      <rgbColor rgb="FF000033"/>
      <rgbColor rgb="FF808000"/>
      <rgbColor rgb="FF800080"/>
      <rgbColor rgb="FF0070C0"/>
      <rgbColor rgb="FFA6A6A6"/>
      <rgbColor rgb="FF808080"/>
      <rgbColor rgb="FF9999FF"/>
      <rgbColor rgb="FFC0504D"/>
      <rgbColor rgb="FFF2F2F2"/>
      <rgbColor rgb="FFDBEEF4"/>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6EFCE"/>
      <rgbColor rgb="FFCCFFCC"/>
      <rgbColor rgb="FFF0F0F0"/>
      <rgbColor rgb="FF8EB4E3"/>
      <rgbColor rgb="FFFF99CC"/>
      <rgbColor rgb="FFCC99FF"/>
      <rgbColor rgb="FFFFCC99"/>
      <rgbColor rgb="FF558ED5"/>
      <rgbColor rgb="FF33CCCC"/>
      <rgbColor rgb="FF92D050"/>
      <rgbColor rgb="FFFFCC00"/>
      <rgbColor rgb="FFFF9900"/>
      <rgbColor rgb="FFFF6600"/>
      <rgbColor rgb="FF7F7F7F"/>
      <rgbColor rgb="FFA0A0A0"/>
      <rgbColor rgb="FF003366"/>
      <rgbColor rgb="FF00A933"/>
      <rgbColor rgb="FF003300"/>
      <rgbColor rgb="FF212529"/>
      <rgbColor rgb="FF993300"/>
      <rgbColor rgb="FF993366"/>
      <rgbColor rgb="FF1F497D"/>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7</xdr:col>
      <xdr:colOff>245160</xdr:colOff>
      <xdr:row>43</xdr:row>
      <xdr:rowOff>121320</xdr:rowOff>
    </xdr:to>
    <xdr:sp macro="" textlink="">
      <xdr:nvSpPr>
        <xdr:cNvPr id="2" name="shapetype_202" hidden="1">
          <a:extLst>
            <a:ext uri="{FF2B5EF4-FFF2-40B4-BE49-F238E27FC236}">
              <a16:creationId xmlns:a16="http://schemas.microsoft.com/office/drawing/2014/main" id="{00000000-0008-0000-0400-000002000000}"/>
            </a:ext>
          </a:extLst>
        </xdr:cNvPr>
        <xdr:cNvSpPr/>
      </xdr:nvSpPr>
      <xdr:spPr>
        <a:xfrm>
          <a:off x="0" y="0"/>
          <a:ext cx="9327600" cy="872244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7</xdr:col>
      <xdr:colOff>245160</xdr:colOff>
      <xdr:row>43</xdr:row>
      <xdr:rowOff>121320</xdr:rowOff>
    </xdr:to>
    <xdr:sp macro="" textlink="">
      <xdr:nvSpPr>
        <xdr:cNvPr id="3" name="Text Box 58" hidden="1">
          <a:extLst>
            <a:ext uri="{FF2B5EF4-FFF2-40B4-BE49-F238E27FC236}">
              <a16:creationId xmlns:a16="http://schemas.microsoft.com/office/drawing/2014/main" id="{00000000-0008-0000-0400-000003000000}"/>
            </a:ext>
          </a:extLst>
        </xdr:cNvPr>
        <xdr:cNvSpPr/>
      </xdr:nvSpPr>
      <xdr:spPr>
        <a:xfrm>
          <a:off x="0" y="0"/>
          <a:ext cx="9327600" cy="872244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7</xdr:col>
      <xdr:colOff>245160</xdr:colOff>
      <xdr:row>43</xdr:row>
      <xdr:rowOff>121320</xdr:rowOff>
    </xdr:to>
    <xdr:sp macro="" textlink="">
      <xdr:nvSpPr>
        <xdr:cNvPr id="4" name="Text Box 56" hidden="1">
          <a:extLst>
            <a:ext uri="{FF2B5EF4-FFF2-40B4-BE49-F238E27FC236}">
              <a16:creationId xmlns:a16="http://schemas.microsoft.com/office/drawing/2014/main" id="{00000000-0008-0000-0400-000004000000}"/>
            </a:ext>
          </a:extLst>
        </xdr:cNvPr>
        <xdr:cNvSpPr/>
      </xdr:nvSpPr>
      <xdr:spPr>
        <a:xfrm>
          <a:off x="0" y="0"/>
          <a:ext cx="9327600" cy="872244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7</xdr:col>
      <xdr:colOff>245160</xdr:colOff>
      <xdr:row>43</xdr:row>
      <xdr:rowOff>121320</xdr:rowOff>
    </xdr:to>
    <xdr:sp macro="" textlink="">
      <xdr:nvSpPr>
        <xdr:cNvPr id="5" name="Text Box 54" hidden="1">
          <a:extLst>
            <a:ext uri="{FF2B5EF4-FFF2-40B4-BE49-F238E27FC236}">
              <a16:creationId xmlns:a16="http://schemas.microsoft.com/office/drawing/2014/main" id="{00000000-0008-0000-0400-000005000000}"/>
            </a:ext>
          </a:extLst>
        </xdr:cNvPr>
        <xdr:cNvSpPr/>
      </xdr:nvSpPr>
      <xdr:spPr>
        <a:xfrm>
          <a:off x="0" y="0"/>
          <a:ext cx="9327600" cy="872244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7</xdr:col>
      <xdr:colOff>245160</xdr:colOff>
      <xdr:row>43</xdr:row>
      <xdr:rowOff>121320</xdr:rowOff>
    </xdr:to>
    <xdr:sp macro="" textlink="">
      <xdr:nvSpPr>
        <xdr:cNvPr id="6" name="Text Box 52" hidden="1">
          <a:extLst>
            <a:ext uri="{FF2B5EF4-FFF2-40B4-BE49-F238E27FC236}">
              <a16:creationId xmlns:a16="http://schemas.microsoft.com/office/drawing/2014/main" id="{00000000-0008-0000-0400-000006000000}"/>
            </a:ext>
          </a:extLst>
        </xdr:cNvPr>
        <xdr:cNvSpPr/>
      </xdr:nvSpPr>
      <xdr:spPr>
        <a:xfrm>
          <a:off x="0" y="0"/>
          <a:ext cx="9327600" cy="872244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7</xdr:col>
      <xdr:colOff>245160</xdr:colOff>
      <xdr:row>43</xdr:row>
      <xdr:rowOff>121320</xdr:rowOff>
    </xdr:to>
    <xdr:sp macro="" textlink="">
      <xdr:nvSpPr>
        <xdr:cNvPr id="7" name="Text Box 50" hidden="1">
          <a:extLst>
            <a:ext uri="{FF2B5EF4-FFF2-40B4-BE49-F238E27FC236}">
              <a16:creationId xmlns:a16="http://schemas.microsoft.com/office/drawing/2014/main" id="{00000000-0008-0000-0400-000007000000}"/>
            </a:ext>
          </a:extLst>
        </xdr:cNvPr>
        <xdr:cNvSpPr/>
      </xdr:nvSpPr>
      <xdr:spPr>
        <a:xfrm>
          <a:off x="0" y="0"/>
          <a:ext cx="9327600" cy="872244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7</xdr:col>
      <xdr:colOff>245160</xdr:colOff>
      <xdr:row>43</xdr:row>
      <xdr:rowOff>121320</xdr:rowOff>
    </xdr:to>
    <xdr:sp macro="" textlink="">
      <xdr:nvSpPr>
        <xdr:cNvPr id="8" name="Text Box 48" hidden="1">
          <a:extLst>
            <a:ext uri="{FF2B5EF4-FFF2-40B4-BE49-F238E27FC236}">
              <a16:creationId xmlns:a16="http://schemas.microsoft.com/office/drawing/2014/main" id="{00000000-0008-0000-0400-000008000000}"/>
            </a:ext>
          </a:extLst>
        </xdr:cNvPr>
        <xdr:cNvSpPr/>
      </xdr:nvSpPr>
      <xdr:spPr>
        <a:xfrm>
          <a:off x="0" y="0"/>
          <a:ext cx="9327600" cy="872244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7</xdr:col>
      <xdr:colOff>245160</xdr:colOff>
      <xdr:row>43</xdr:row>
      <xdr:rowOff>121320</xdr:rowOff>
    </xdr:to>
    <xdr:sp macro="" textlink="">
      <xdr:nvSpPr>
        <xdr:cNvPr id="9" name="Text Box 46" hidden="1">
          <a:extLst>
            <a:ext uri="{FF2B5EF4-FFF2-40B4-BE49-F238E27FC236}">
              <a16:creationId xmlns:a16="http://schemas.microsoft.com/office/drawing/2014/main" id="{00000000-0008-0000-0400-000009000000}"/>
            </a:ext>
          </a:extLst>
        </xdr:cNvPr>
        <xdr:cNvSpPr/>
      </xdr:nvSpPr>
      <xdr:spPr>
        <a:xfrm>
          <a:off x="0" y="0"/>
          <a:ext cx="9327600" cy="872244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7</xdr:col>
      <xdr:colOff>245160</xdr:colOff>
      <xdr:row>43</xdr:row>
      <xdr:rowOff>121320</xdr:rowOff>
    </xdr:to>
    <xdr:sp macro="" textlink="">
      <xdr:nvSpPr>
        <xdr:cNvPr id="10" name="Text Box 44" hidden="1">
          <a:extLst>
            <a:ext uri="{FF2B5EF4-FFF2-40B4-BE49-F238E27FC236}">
              <a16:creationId xmlns:a16="http://schemas.microsoft.com/office/drawing/2014/main" id="{00000000-0008-0000-0400-00000A000000}"/>
            </a:ext>
          </a:extLst>
        </xdr:cNvPr>
        <xdr:cNvSpPr/>
      </xdr:nvSpPr>
      <xdr:spPr>
        <a:xfrm>
          <a:off x="0" y="0"/>
          <a:ext cx="9327600" cy="872244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7</xdr:col>
      <xdr:colOff>245160</xdr:colOff>
      <xdr:row>43</xdr:row>
      <xdr:rowOff>121320</xdr:rowOff>
    </xdr:to>
    <xdr:sp macro="" textlink="">
      <xdr:nvSpPr>
        <xdr:cNvPr id="11" name="Text Box 42" hidden="1">
          <a:extLst>
            <a:ext uri="{FF2B5EF4-FFF2-40B4-BE49-F238E27FC236}">
              <a16:creationId xmlns:a16="http://schemas.microsoft.com/office/drawing/2014/main" id="{00000000-0008-0000-0400-00000B000000}"/>
            </a:ext>
          </a:extLst>
        </xdr:cNvPr>
        <xdr:cNvSpPr/>
      </xdr:nvSpPr>
      <xdr:spPr>
        <a:xfrm>
          <a:off x="0" y="0"/>
          <a:ext cx="9327600" cy="872244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7</xdr:col>
      <xdr:colOff>245160</xdr:colOff>
      <xdr:row>43</xdr:row>
      <xdr:rowOff>121320</xdr:rowOff>
    </xdr:to>
    <xdr:sp macro="" textlink="">
      <xdr:nvSpPr>
        <xdr:cNvPr id="12" name="Text Box 40" hidden="1">
          <a:extLst>
            <a:ext uri="{FF2B5EF4-FFF2-40B4-BE49-F238E27FC236}">
              <a16:creationId xmlns:a16="http://schemas.microsoft.com/office/drawing/2014/main" id="{00000000-0008-0000-0400-00000C000000}"/>
            </a:ext>
          </a:extLst>
        </xdr:cNvPr>
        <xdr:cNvSpPr/>
      </xdr:nvSpPr>
      <xdr:spPr>
        <a:xfrm>
          <a:off x="0" y="0"/>
          <a:ext cx="9327600" cy="872244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7</xdr:col>
      <xdr:colOff>245160</xdr:colOff>
      <xdr:row>43</xdr:row>
      <xdr:rowOff>121320</xdr:rowOff>
    </xdr:to>
    <xdr:sp macro="" textlink="">
      <xdr:nvSpPr>
        <xdr:cNvPr id="13" name="Text Box 38" hidden="1">
          <a:extLst>
            <a:ext uri="{FF2B5EF4-FFF2-40B4-BE49-F238E27FC236}">
              <a16:creationId xmlns:a16="http://schemas.microsoft.com/office/drawing/2014/main" id="{00000000-0008-0000-0400-00000D000000}"/>
            </a:ext>
          </a:extLst>
        </xdr:cNvPr>
        <xdr:cNvSpPr/>
      </xdr:nvSpPr>
      <xdr:spPr>
        <a:xfrm>
          <a:off x="0" y="0"/>
          <a:ext cx="9327600" cy="872244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7</xdr:col>
      <xdr:colOff>245160</xdr:colOff>
      <xdr:row>43</xdr:row>
      <xdr:rowOff>121320</xdr:rowOff>
    </xdr:to>
    <xdr:sp macro="" textlink="">
      <xdr:nvSpPr>
        <xdr:cNvPr id="14" name="Text Box 36" hidden="1">
          <a:extLst>
            <a:ext uri="{FF2B5EF4-FFF2-40B4-BE49-F238E27FC236}">
              <a16:creationId xmlns:a16="http://schemas.microsoft.com/office/drawing/2014/main" id="{00000000-0008-0000-0400-00000E000000}"/>
            </a:ext>
          </a:extLst>
        </xdr:cNvPr>
        <xdr:cNvSpPr/>
      </xdr:nvSpPr>
      <xdr:spPr>
        <a:xfrm>
          <a:off x="0" y="0"/>
          <a:ext cx="9327600" cy="872244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7</xdr:col>
      <xdr:colOff>245160</xdr:colOff>
      <xdr:row>43</xdr:row>
      <xdr:rowOff>121320</xdr:rowOff>
    </xdr:to>
    <xdr:sp macro="" textlink="">
      <xdr:nvSpPr>
        <xdr:cNvPr id="15" name="Text Box 34" hidden="1">
          <a:extLst>
            <a:ext uri="{FF2B5EF4-FFF2-40B4-BE49-F238E27FC236}">
              <a16:creationId xmlns:a16="http://schemas.microsoft.com/office/drawing/2014/main" id="{00000000-0008-0000-0400-00000F000000}"/>
            </a:ext>
          </a:extLst>
        </xdr:cNvPr>
        <xdr:cNvSpPr/>
      </xdr:nvSpPr>
      <xdr:spPr>
        <a:xfrm>
          <a:off x="0" y="0"/>
          <a:ext cx="9327600" cy="872244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7</xdr:col>
      <xdr:colOff>245160</xdr:colOff>
      <xdr:row>43</xdr:row>
      <xdr:rowOff>121320</xdr:rowOff>
    </xdr:to>
    <xdr:sp macro="" textlink="">
      <xdr:nvSpPr>
        <xdr:cNvPr id="16" name="Text Box 32" hidden="1">
          <a:extLst>
            <a:ext uri="{FF2B5EF4-FFF2-40B4-BE49-F238E27FC236}">
              <a16:creationId xmlns:a16="http://schemas.microsoft.com/office/drawing/2014/main" id="{00000000-0008-0000-0400-000010000000}"/>
            </a:ext>
          </a:extLst>
        </xdr:cNvPr>
        <xdr:cNvSpPr/>
      </xdr:nvSpPr>
      <xdr:spPr>
        <a:xfrm>
          <a:off x="0" y="0"/>
          <a:ext cx="9327600" cy="872244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7</xdr:col>
      <xdr:colOff>245160</xdr:colOff>
      <xdr:row>43</xdr:row>
      <xdr:rowOff>121320</xdr:rowOff>
    </xdr:to>
    <xdr:sp macro="" textlink="">
      <xdr:nvSpPr>
        <xdr:cNvPr id="17" name="Text Box 30" hidden="1">
          <a:extLst>
            <a:ext uri="{FF2B5EF4-FFF2-40B4-BE49-F238E27FC236}">
              <a16:creationId xmlns:a16="http://schemas.microsoft.com/office/drawing/2014/main" id="{00000000-0008-0000-0400-000011000000}"/>
            </a:ext>
          </a:extLst>
        </xdr:cNvPr>
        <xdr:cNvSpPr/>
      </xdr:nvSpPr>
      <xdr:spPr>
        <a:xfrm>
          <a:off x="0" y="0"/>
          <a:ext cx="9327600" cy="872244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7</xdr:col>
      <xdr:colOff>245160</xdr:colOff>
      <xdr:row>43</xdr:row>
      <xdr:rowOff>121320</xdr:rowOff>
    </xdr:to>
    <xdr:sp macro="" textlink="">
      <xdr:nvSpPr>
        <xdr:cNvPr id="18" name="Text Box 28" hidden="1">
          <a:extLst>
            <a:ext uri="{FF2B5EF4-FFF2-40B4-BE49-F238E27FC236}">
              <a16:creationId xmlns:a16="http://schemas.microsoft.com/office/drawing/2014/main" id="{00000000-0008-0000-0400-000012000000}"/>
            </a:ext>
          </a:extLst>
        </xdr:cNvPr>
        <xdr:cNvSpPr/>
      </xdr:nvSpPr>
      <xdr:spPr>
        <a:xfrm>
          <a:off x="0" y="0"/>
          <a:ext cx="9327600" cy="872244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7</xdr:col>
      <xdr:colOff>245160</xdr:colOff>
      <xdr:row>43</xdr:row>
      <xdr:rowOff>121320</xdr:rowOff>
    </xdr:to>
    <xdr:sp macro="" textlink="">
      <xdr:nvSpPr>
        <xdr:cNvPr id="19" name="Text Box 26" hidden="1">
          <a:extLst>
            <a:ext uri="{FF2B5EF4-FFF2-40B4-BE49-F238E27FC236}">
              <a16:creationId xmlns:a16="http://schemas.microsoft.com/office/drawing/2014/main" id="{00000000-0008-0000-0400-000013000000}"/>
            </a:ext>
          </a:extLst>
        </xdr:cNvPr>
        <xdr:cNvSpPr/>
      </xdr:nvSpPr>
      <xdr:spPr>
        <a:xfrm>
          <a:off x="0" y="0"/>
          <a:ext cx="9327600" cy="872244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7</xdr:col>
      <xdr:colOff>245160</xdr:colOff>
      <xdr:row>43</xdr:row>
      <xdr:rowOff>121320</xdr:rowOff>
    </xdr:to>
    <xdr:sp macro="" textlink="">
      <xdr:nvSpPr>
        <xdr:cNvPr id="20" name="Text Box 24" hidden="1">
          <a:extLst>
            <a:ext uri="{FF2B5EF4-FFF2-40B4-BE49-F238E27FC236}">
              <a16:creationId xmlns:a16="http://schemas.microsoft.com/office/drawing/2014/main" id="{00000000-0008-0000-0400-000014000000}"/>
            </a:ext>
          </a:extLst>
        </xdr:cNvPr>
        <xdr:cNvSpPr/>
      </xdr:nvSpPr>
      <xdr:spPr>
        <a:xfrm>
          <a:off x="0" y="0"/>
          <a:ext cx="9327600" cy="872244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7</xdr:col>
      <xdr:colOff>245160</xdr:colOff>
      <xdr:row>43</xdr:row>
      <xdr:rowOff>121320</xdr:rowOff>
    </xdr:to>
    <xdr:sp macro="" textlink="">
      <xdr:nvSpPr>
        <xdr:cNvPr id="21" name="Text Box 22" hidden="1">
          <a:extLst>
            <a:ext uri="{FF2B5EF4-FFF2-40B4-BE49-F238E27FC236}">
              <a16:creationId xmlns:a16="http://schemas.microsoft.com/office/drawing/2014/main" id="{00000000-0008-0000-0400-000015000000}"/>
            </a:ext>
          </a:extLst>
        </xdr:cNvPr>
        <xdr:cNvSpPr/>
      </xdr:nvSpPr>
      <xdr:spPr>
        <a:xfrm>
          <a:off x="0" y="0"/>
          <a:ext cx="9327600" cy="872244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7</xdr:col>
      <xdr:colOff>245160</xdr:colOff>
      <xdr:row>43</xdr:row>
      <xdr:rowOff>121320</xdr:rowOff>
    </xdr:to>
    <xdr:sp macro="" textlink="">
      <xdr:nvSpPr>
        <xdr:cNvPr id="22" name="Text Box 20" hidden="1">
          <a:extLst>
            <a:ext uri="{FF2B5EF4-FFF2-40B4-BE49-F238E27FC236}">
              <a16:creationId xmlns:a16="http://schemas.microsoft.com/office/drawing/2014/main" id="{00000000-0008-0000-0400-000016000000}"/>
            </a:ext>
          </a:extLst>
        </xdr:cNvPr>
        <xdr:cNvSpPr/>
      </xdr:nvSpPr>
      <xdr:spPr>
        <a:xfrm>
          <a:off x="0" y="0"/>
          <a:ext cx="9327600" cy="872244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7</xdr:col>
      <xdr:colOff>245160</xdr:colOff>
      <xdr:row>43</xdr:row>
      <xdr:rowOff>121320</xdr:rowOff>
    </xdr:to>
    <xdr:sp macro="" textlink="">
      <xdr:nvSpPr>
        <xdr:cNvPr id="23" name="Text Box 18" hidden="1">
          <a:extLst>
            <a:ext uri="{FF2B5EF4-FFF2-40B4-BE49-F238E27FC236}">
              <a16:creationId xmlns:a16="http://schemas.microsoft.com/office/drawing/2014/main" id="{00000000-0008-0000-0400-000017000000}"/>
            </a:ext>
          </a:extLst>
        </xdr:cNvPr>
        <xdr:cNvSpPr/>
      </xdr:nvSpPr>
      <xdr:spPr>
        <a:xfrm>
          <a:off x="0" y="0"/>
          <a:ext cx="9327600" cy="872244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7</xdr:col>
      <xdr:colOff>245160</xdr:colOff>
      <xdr:row>43</xdr:row>
      <xdr:rowOff>121320</xdr:rowOff>
    </xdr:to>
    <xdr:sp macro="" textlink="">
      <xdr:nvSpPr>
        <xdr:cNvPr id="24" name="Text Box 16" hidden="1">
          <a:extLst>
            <a:ext uri="{FF2B5EF4-FFF2-40B4-BE49-F238E27FC236}">
              <a16:creationId xmlns:a16="http://schemas.microsoft.com/office/drawing/2014/main" id="{00000000-0008-0000-0400-000018000000}"/>
            </a:ext>
          </a:extLst>
        </xdr:cNvPr>
        <xdr:cNvSpPr/>
      </xdr:nvSpPr>
      <xdr:spPr>
        <a:xfrm>
          <a:off x="0" y="0"/>
          <a:ext cx="9327600" cy="872244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7</xdr:col>
      <xdr:colOff>245160</xdr:colOff>
      <xdr:row>43</xdr:row>
      <xdr:rowOff>121320</xdr:rowOff>
    </xdr:to>
    <xdr:sp macro="" textlink="">
      <xdr:nvSpPr>
        <xdr:cNvPr id="25" name="Text Box 14" hidden="1">
          <a:extLst>
            <a:ext uri="{FF2B5EF4-FFF2-40B4-BE49-F238E27FC236}">
              <a16:creationId xmlns:a16="http://schemas.microsoft.com/office/drawing/2014/main" id="{00000000-0008-0000-0400-000019000000}"/>
            </a:ext>
          </a:extLst>
        </xdr:cNvPr>
        <xdr:cNvSpPr/>
      </xdr:nvSpPr>
      <xdr:spPr>
        <a:xfrm>
          <a:off x="0" y="0"/>
          <a:ext cx="9327600" cy="872244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7</xdr:col>
      <xdr:colOff>245160</xdr:colOff>
      <xdr:row>43</xdr:row>
      <xdr:rowOff>121320</xdr:rowOff>
    </xdr:to>
    <xdr:sp macro="" textlink="">
      <xdr:nvSpPr>
        <xdr:cNvPr id="26" name="Text Box 12" hidden="1">
          <a:extLst>
            <a:ext uri="{FF2B5EF4-FFF2-40B4-BE49-F238E27FC236}">
              <a16:creationId xmlns:a16="http://schemas.microsoft.com/office/drawing/2014/main" id="{00000000-0008-0000-0400-00001A000000}"/>
            </a:ext>
          </a:extLst>
        </xdr:cNvPr>
        <xdr:cNvSpPr/>
      </xdr:nvSpPr>
      <xdr:spPr>
        <a:xfrm>
          <a:off x="0" y="0"/>
          <a:ext cx="9327600" cy="872244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7</xdr:col>
      <xdr:colOff>245160</xdr:colOff>
      <xdr:row>43</xdr:row>
      <xdr:rowOff>121320</xdr:rowOff>
    </xdr:to>
    <xdr:sp macro="" textlink="">
      <xdr:nvSpPr>
        <xdr:cNvPr id="27" name="Text Box 10" hidden="1">
          <a:extLst>
            <a:ext uri="{FF2B5EF4-FFF2-40B4-BE49-F238E27FC236}">
              <a16:creationId xmlns:a16="http://schemas.microsoft.com/office/drawing/2014/main" id="{00000000-0008-0000-0400-00001B000000}"/>
            </a:ext>
          </a:extLst>
        </xdr:cNvPr>
        <xdr:cNvSpPr/>
      </xdr:nvSpPr>
      <xdr:spPr>
        <a:xfrm>
          <a:off x="0" y="0"/>
          <a:ext cx="9327600" cy="872244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7</xdr:col>
      <xdr:colOff>245160</xdr:colOff>
      <xdr:row>43</xdr:row>
      <xdr:rowOff>121320</xdr:rowOff>
    </xdr:to>
    <xdr:sp macro="" textlink="">
      <xdr:nvSpPr>
        <xdr:cNvPr id="28" name="Text Box 8" hidden="1">
          <a:extLst>
            <a:ext uri="{FF2B5EF4-FFF2-40B4-BE49-F238E27FC236}">
              <a16:creationId xmlns:a16="http://schemas.microsoft.com/office/drawing/2014/main" id="{00000000-0008-0000-0400-00001C000000}"/>
            </a:ext>
          </a:extLst>
        </xdr:cNvPr>
        <xdr:cNvSpPr/>
      </xdr:nvSpPr>
      <xdr:spPr>
        <a:xfrm>
          <a:off x="0" y="0"/>
          <a:ext cx="9327600" cy="872244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7</xdr:col>
      <xdr:colOff>245160</xdr:colOff>
      <xdr:row>43</xdr:row>
      <xdr:rowOff>121320</xdr:rowOff>
    </xdr:to>
    <xdr:sp macro="" textlink="">
      <xdr:nvSpPr>
        <xdr:cNvPr id="29" name="Text Box 6" hidden="1">
          <a:extLst>
            <a:ext uri="{FF2B5EF4-FFF2-40B4-BE49-F238E27FC236}">
              <a16:creationId xmlns:a16="http://schemas.microsoft.com/office/drawing/2014/main" id="{00000000-0008-0000-0400-00001D000000}"/>
            </a:ext>
          </a:extLst>
        </xdr:cNvPr>
        <xdr:cNvSpPr/>
      </xdr:nvSpPr>
      <xdr:spPr>
        <a:xfrm>
          <a:off x="0" y="0"/>
          <a:ext cx="9327600" cy="872244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7</xdr:col>
      <xdr:colOff>245160</xdr:colOff>
      <xdr:row>43</xdr:row>
      <xdr:rowOff>121320</xdr:rowOff>
    </xdr:to>
    <xdr:sp macro="" textlink="">
      <xdr:nvSpPr>
        <xdr:cNvPr id="30" name="Text Box 4" hidden="1">
          <a:extLst>
            <a:ext uri="{FF2B5EF4-FFF2-40B4-BE49-F238E27FC236}">
              <a16:creationId xmlns:a16="http://schemas.microsoft.com/office/drawing/2014/main" id="{00000000-0008-0000-0400-00001E000000}"/>
            </a:ext>
          </a:extLst>
        </xdr:cNvPr>
        <xdr:cNvSpPr/>
      </xdr:nvSpPr>
      <xdr:spPr>
        <a:xfrm>
          <a:off x="0" y="0"/>
          <a:ext cx="9327600" cy="872244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7</xdr:col>
      <xdr:colOff>245160</xdr:colOff>
      <xdr:row>43</xdr:row>
      <xdr:rowOff>121320</xdr:rowOff>
    </xdr:to>
    <xdr:sp macro="" textlink="">
      <xdr:nvSpPr>
        <xdr:cNvPr id="31" name="Text Box 2" hidden="1">
          <a:extLst>
            <a:ext uri="{FF2B5EF4-FFF2-40B4-BE49-F238E27FC236}">
              <a16:creationId xmlns:a16="http://schemas.microsoft.com/office/drawing/2014/main" id="{00000000-0008-0000-0400-00001F000000}"/>
            </a:ext>
          </a:extLst>
        </xdr:cNvPr>
        <xdr:cNvSpPr/>
      </xdr:nvSpPr>
      <xdr:spPr>
        <a:xfrm>
          <a:off x="0" y="0"/>
          <a:ext cx="9327600" cy="872244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360</xdr:colOff>
      <xdr:row>0</xdr:row>
      <xdr:rowOff>360</xdr:rowOff>
    </xdr:to>
    <xdr:sp macro="" textlink="">
      <xdr:nvSpPr>
        <xdr:cNvPr id="30" name="shapetype_202" hidden="1">
          <a:extLst>
            <a:ext uri="{FF2B5EF4-FFF2-40B4-BE49-F238E27FC236}">
              <a16:creationId xmlns:a16="http://schemas.microsoft.com/office/drawing/2014/main" id="{00000000-0008-0000-0A00-00001E000000}"/>
            </a:ext>
          </a:extLst>
        </xdr:cNvPr>
        <xdr:cNvSpPr/>
      </xdr:nvSpPr>
      <xdr:spPr>
        <a:xfrm>
          <a:off x="0" y="0"/>
          <a:ext cx="360" cy="36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0</xdr:col>
      <xdr:colOff>360</xdr:colOff>
      <xdr:row>0</xdr:row>
      <xdr:rowOff>360</xdr:rowOff>
    </xdr:to>
    <xdr:sp macro="" textlink="">
      <xdr:nvSpPr>
        <xdr:cNvPr id="31" name="Text Box 4" hidden="1">
          <a:extLst>
            <a:ext uri="{FF2B5EF4-FFF2-40B4-BE49-F238E27FC236}">
              <a16:creationId xmlns:a16="http://schemas.microsoft.com/office/drawing/2014/main" id="{00000000-0008-0000-0A00-00001F000000}"/>
            </a:ext>
          </a:extLst>
        </xdr:cNvPr>
        <xdr:cNvSpPr/>
      </xdr:nvSpPr>
      <xdr:spPr>
        <a:xfrm>
          <a:off x="0" y="0"/>
          <a:ext cx="360" cy="36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0</xdr:col>
      <xdr:colOff>360</xdr:colOff>
      <xdr:row>0</xdr:row>
      <xdr:rowOff>360</xdr:rowOff>
    </xdr:to>
    <xdr:sp macro="" textlink="">
      <xdr:nvSpPr>
        <xdr:cNvPr id="32" name="Text Box 2" hidden="1">
          <a:extLst>
            <a:ext uri="{FF2B5EF4-FFF2-40B4-BE49-F238E27FC236}">
              <a16:creationId xmlns:a16="http://schemas.microsoft.com/office/drawing/2014/main" id="{00000000-0008-0000-0A00-000020000000}"/>
            </a:ext>
          </a:extLst>
        </xdr:cNvPr>
        <xdr:cNvSpPr/>
      </xdr:nvSpPr>
      <xdr:spPr>
        <a:xfrm>
          <a:off x="0" y="0"/>
          <a:ext cx="360" cy="36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passw&#246;rter_agenturen"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sswörter_agenturen"/>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mailto:info@rennsteigfinanz.de" TargetMode="External"/><Relationship Id="rId7" Type="http://schemas.openxmlformats.org/officeDocument/2006/relationships/hyperlink" Target="mailto:info@rennsteigfinanz.de" TargetMode="External"/><Relationship Id="rId2" Type="http://schemas.openxmlformats.org/officeDocument/2006/relationships/hyperlink" Target="mailto:info@rennsteigfinanz.de" TargetMode="External"/><Relationship Id="rId1" Type="http://schemas.openxmlformats.org/officeDocument/2006/relationships/hyperlink" Target="mailto:info@rennsteigfinanz.de" TargetMode="External"/><Relationship Id="rId6" Type="http://schemas.openxmlformats.org/officeDocument/2006/relationships/hyperlink" Target="mailto:info@rennsteigfinanz" TargetMode="External"/><Relationship Id="rId5" Type="http://schemas.openxmlformats.org/officeDocument/2006/relationships/hyperlink" Target="mailto:info@rennsteigfinanz.de" TargetMode="External"/><Relationship Id="rId10" Type="http://schemas.openxmlformats.org/officeDocument/2006/relationships/comments" Target="../comments1.xml"/><Relationship Id="rId4" Type="http://schemas.openxmlformats.org/officeDocument/2006/relationships/hyperlink" Target="http://www.honorarkonzept.de/" TargetMode="External"/><Relationship Id="rId9"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3.bin"/><Relationship Id="rId1" Type="http://schemas.openxmlformats.org/officeDocument/2006/relationships/hyperlink" Target="mailto:dasberaterhaus@gmail.com" TargetMode="External"/><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8" Type="http://schemas.openxmlformats.org/officeDocument/2006/relationships/hyperlink" Target="mailto:info@meinberaterhaus.de" TargetMode="External"/><Relationship Id="rId13" Type="http://schemas.openxmlformats.org/officeDocument/2006/relationships/hyperlink" Target="https://makler.ergo.de/de-DE/Login/easy%20Login.aspx" TargetMode="External"/><Relationship Id="rId18" Type="http://schemas.openxmlformats.org/officeDocument/2006/relationships/hyperlink" Target="mailto:silke.hengelhaupt@meinberaterhaus.de" TargetMode="External"/><Relationship Id="rId26" Type="http://schemas.openxmlformats.org/officeDocument/2006/relationships/vmlDrawing" Target="../drawings/vmlDrawing3.vml"/><Relationship Id="rId3" Type="http://schemas.openxmlformats.org/officeDocument/2006/relationships/hyperlink" Target="mailto:info@meinberaterhaus.de" TargetMode="External"/><Relationship Id="rId21" Type="http://schemas.openxmlformats.org/officeDocument/2006/relationships/hyperlink" Target="https://www.mvk-versicherung.de/de/makler" TargetMode="External"/><Relationship Id="rId7" Type="http://schemas.openxmlformats.org/officeDocument/2006/relationships/hyperlink" Target="mailto:info@meinberaterhaus.de" TargetMode="External"/><Relationship Id="rId12" Type="http://schemas.openxmlformats.org/officeDocument/2006/relationships/hyperlink" Target="http://www.carglass4partners.de/" TargetMode="External"/><Relationship Id="rId17" Type="http://schemas.openxmlformats.org/officeDocument/2006/relationships/hyperlink" Target="https://markelnow.markel.de/" TargetMode="External"/><Relationship Id="rId25" Type="http://schemas.openxmlformats.org/officeDocument/2006/relationships/drawing" Target="../drawings/drawing1.xml"/><Relationship Id="rId2" Type="http://schemas.openxmlformats.org/officeDocument/2006/relationships/hyperlink" Target="http://www.aigportal.de/hydra/" TargetMode="External"/><Relationship Id="rId16" Type="http://schemas.openxmlformats.org/officeDocument/2006/relationships/hyperlink" Target="mailto:info@meinberaterhaus.de" TargetMode="External"/><Relationship Id="rId20" Type="http://schemas.openxmlformats.org/officeDocument/2006/relationships/hyperlink" Target="mailto:info@meinberaterhaus.de" TargetMode="External"/><Relationship Id="rId1" Type="http://schemas.openxmlformats.org/officeDocument/2006/relationships/hyperlink" Target="mailto:info@suhlfinanz.de" TargetMode="External"/><Relationship Id="rId6" Type="http://schemas.openxmlformats.org/officeDocument/2006/relationships/hyperlink" Target="mailto:info@meinberaterhaus.de" TargetMode="External"/><Relationship Id="rId11" Type="http://schemas.openxmlformats.org/officeDocument/2006/relationships/hyperlink" Target="mailto:info@meinberaterhaus.de" TargetMode="External"/><Relationship Id="rId24" Type="http://schemas.openxmlformats.org/officeDocument/2006/relationships/printerSettings" Target="../printerSettings/printerSettings4.bin"/><Relationship Id="rId5" Type="http://schemas.openxmlformats.org/officeDocument/2006/relationships/hyperlink" Target="mailto:info@meinberaterhaus.de" TargetMode="External"/><Relationship Id="rId15" Type="http://schemas.openxmlformats.org/officeDocument/2006/relationships/hyperlink" Target="https://extranet.interrisk.de/secure/login.do;jsessionid=arnyZKfRXkL6" TargetMode="External"/><Relationship Id="rId23" Type="http://schemas.openxmlformats.org/officeDocument/2006/relationships/hyperlink" Target="http://www.maklerweb.de/" TargetMode="External"/><Relationship Id="rId10" Type="http://schemas.openxmlformats.org/officeDocument/2006/relationships/hyperlink" Target="http://www.brandgilde-versicherungskontor.de/" TargetMode="External"/><Relationship Id="rId19" Type="http://schemas.openxmlformats.org/officeDocument/2006/relationships/hyperlink" Target="https://www.mvk-versicherung.de/de/makler" TargetMode="External"/><Relationship Id="rId4" Type="http://schemas.openxmlformats.org/officeDocument/2006/relationships/hyperlink" Target="mailto:info@meinberaterhaus.de" TargetMode="External"/><Relationship Id="rId9" Type="http://schemas.openxmlformats.org/officeDocument/2006/relationships/hyperlink" Target="https://maklerportal.bhvg.de/" TargetMode="External"/><Relationship Id="rId14" Type="http://schemas.openxmlformats.org/officeDocument/2006/relationships/hyperlink" Target="https://secure.hmrv.de/rvw-ba/baEingabe.jsf" TargetMode="External"/><Relationship Id="rId22" Type="http://schemas.openxmlformats.org/officeDocument/2006/relationships/hyperlink" Target="http://www.makle.ruv.de/" TargetMode="External"/><Relationship Id="rId27" Type="http://schemas.openxmlformats.org/officeDocument/2006/relationships/comments" Target="../comments3.xml"/></Relationships>
</file>

<file path=xl/worksheets/_rels/sheet5.xml.rels><?xml version="1.0" encoding="UTF-8" standalone="yes"?>
<Relationships xmlns="http://schemas.openxmlformats.org/package/2006/relationships"><Relationship Id="rId8" Type="http://schemas.openxmlformats.org/officeDocument/2006/relationships/hyperlink" Target="mailto:gen-maklerauftrag@generali.de" TargetMode="External"/><Relationship Id="rId13" Type="http://schemas.openxmlformats.org/officeDocument/2006/relationships/hyperlink" Target="mailto:G_Vertriebsverwaltung_Makler@ruv.de" TargetMode="External"/><Relationship Id="rId18" Type="http://schemas.openxmlformats.org/officeDocument/2006/relationships/vmlDrawing" Target="../drawings/vmlDrawing4.vml"/><Relationship Id="rId3" Type="http://schemas.openxmlformats.org/officeDocument/2006/relationships/hyperlink" Target="mailto:BrmBerlin@axa.de" TargetMode="External"/><Relationship Id="rId7" Type="http://schemas.openxmlformats.org/officeDocument/2006/relationships/hyperlink" Target="mailto:maklerauftraege-b@ergo.de" TargetMode="External"/><Relationship Id="rId12" Type="http://schemas.openxmlformats.org/officeDocument/2006/relationships/hyperlink" Target="mailto:maklerservice@inter.de" TargetMode="External"/><Relationship Id="rId17" Type="http://schemas.openxmlformats.org/officeDocument/2006/relationships/printerSettings" Target="../printerSettings/printerSettings5.bin"/><Relationship Id="rId2" Type="http://schemas.openxmlformats.org/officeDocument/2006/relationships/hyperlink" Target="mailto:BrmBerlin@axa.de" TargetMode="External"/><Relationship Id="rId16" Type="http://schemas.openxmlformats.org/officeDocument/2006/relationships/hyperlink" Target="mailto:si-vp.maklerauftrag.hh@signal-iduna.de" TargetMode="External"/><Relationship Id="rId1" Type="http://schemas.openxmlformats.org/officeDocument/2006/relationships/hyperlink" Target="mailto:BrmBerlin@axa.de" TargetMode="External"/><Relationship Id="rId6" Type="http://schemas.openxmlformats.org/officeDocument/2006/relationships/hyperlink" Target="mailto:APKV-ZMSB-KUWU@allianz.de" TargetMode="External"/><Relationship Id="rId11" Type="http://schemas.openxmlformats.org/officeDocument/2006/relationships/hyperlink" Target="mailto:HK.Vertrag@hdi.de" TargetMode="External"/><Relationship Id="rId5" Type="http://schemas.openxmlformats.org/officeDocument/2006/relationships/hyperlink" Target="mailto:lebensversicherung@allianz.de" TargetMode="External"/><Relationship Id="rId15" Type="http://schemas.openxmlformats.org/officeDocument/2006/relationships/hyperlink" Target="mailto:zva@rhion.de" TargetMode="External"/><Relationship Id="rId10" Type="http://schemas.openxmlformats.org/officeDocument/2006/relationships/hyperlink" Target="mailto:leben.service@hdi.de" TargetMode="External"/><Relationship Id="rId19" Type="http://schemas.openxmlformats.org/officeDocument/2006/relationships/comments" Target="../comments4.xml"/><Relationship Id="rId4" Type="http://schemas.openxmlformats.org/officeDocument/2006/relationships/hyperlink" Target="mailto:amvb-uebertragung@allianz.de" TargetMode="External"/><Relationship Id="rId9" Type="http://schemas.openxmlformats.org/officeDocument/2006/relationships/hyperlink" Target="mailto:Heiko.Domigalle@hansemerkur.de" TargetMode="External"/><Relationship Id="rId14" Type="http://schemas.openxmlformats.org/officeDocument/2006/relationships/hyperlink" Target="mailto:Ronald.Schleicher@nuernberger.de"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tabColor rgb="FF00A933"/>
    <pageSetUpPr fitToPage="1"/>
  </sheetPr>
  <dimension ref="A1:AMK120"/>
  <sheetViews>
    <sheetView tabSelected="1" zoomScale="110" zoomScaleNormal="110" workbookViewId="0">
      <pane xSplit="1" ySplit="1" topLeftCell="B2" activePane="bottomRight" state="frozen"/>
      <selection pane="topRight" activeCell="B1" sqref="B1"/>
      <selection pane="bottomLeft" activeCell="A2" sqref="A2"/>
      <selection pane="bottomRight" activeCell="M4" sqref="M4"/>
    </sheetView>
  </sheetViews>
  <sheetFormatPr baseColWidth="10" defaultColWidth="11.5703125" defaultRowHeight="15" x14ac:dyDescent="0.25"/>
  <cols>
    <col min="1" max="1" width="10.5703125" style="1" customWidth="1"/>
    <col min="2" max="2" width="18" style="1" customWidth="1"/>
    <col min="3" max="3" width="28.7109375" style="1" customWidth="1"/>
    <col min="4" max="4" width="21.28515625" style="2" customWidth="1"/>
    <col min="5" max="5" width="21.140625" style="1" customWidth="1"/>
    <col min="6" max="6" width="10.85546875" style="1" customWidth="1"/>
    <col min="7" max="7" width="10.42578125" style="1" customWidth="1"/>
    <col min="8" max="8" width="46.42578125" style="3" bestFit="1" customWidth="1"/>
    <col min="9" max="9" width="17.5703125" style="1" customWidth="1"/>
    <col min="10" max="10" width="19.42578125" style="4" customWidth="1"/>
    <col min="11" max="11" width="16.42578125" style="1" customWidth="1"/>
    <col min="12" max="12" width="15.85546875" style="1" customWidth="1"/>
    <col min="13" max="13" width="16.140625" style="1" customWidth="1"/>
    <col min="14" max="14" width="15" style="1" customWidth="1"/>
    <col min="15" max="15" width="14.42578125" style="1" customWidth="1"/>
    <col min="16" max="1001" width="19.85546875" style="1" customWidth="1"/>
  </cols>
  <sheetData>
    <row r="1" spans="1:1022" ht="15.75" customHeight="1" thickBot="1" x14ac:dyDescent="0.35">
      <c r="A1" s="5" t="s">
        <v>0</v>
      </c>
      <c r="B1" s="6" t="s">
        <v>1</v>
      </c>
      <c r="C1" s="7" t="s">
        <v>2</v>
      </c>
      <c r="D1" s="8" t="s">
        <v>3</v>
      </c>
      <c r="E1" s="7" t="s">
        <v>4</v>
      </c>
      <c r="F1" s="7" t="s">
        <v>5</v>
      </c>
      <c r="G1" s="9" t="s">
        <v>6</v>
      </c>
      <c r="H1" s="10" t="s">
        <v>7</v>
      </c>
      <c r="I1" s="11" t="s">
        <v>8</v>
      </c>
      <c r="J1" s="12" t="s">
        <v>9</v>
      </c>
      <c r="K1" s="11" t="s">
        <v>34</v>
      </c>
      <c r="L1" s="11" t="s">
        <v>35</v>
      </c>
      <c r="M1" s="11" t="s">
        <v>16</v>
      </c>
      <c r="N1" s="11" t="s">
        <v>12</v>
      </c>
      <c r="O1" s="11" t="s">
        <v>11</v>
      </c>
      <c r="P1" s="11" t="s">
        <v>2278</v>
      </c>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c r="DB1" s="13"/>
      <c r="DC1" s="13"/>
      <c r="DD1" s="13"/>
      <c r="DE1" s="13"/>
      <c r="DF1" s="13"/>
      <c r="DG1" s="13"/>
      <c r="DH1" s="13"/>
      <c r="DI1" s="13"/>
      <c r="DJ1" s="13"/>
      <c r="DK1" s="13"/>
      <c r="DL1" s="13"/>
      <c r="DM1" s="13"/>
      <c r="DN1" s="13"/>
      <c r="DO1" s="13"/>
      <c r="DP1" s="13"/>
      <c r="DQ1" s="13"/>
      <c r="DR1" s="13"/>
      <c r="DS1" s="13"/>
      <c r="DT1" s="13"/>
      <c r="DU1" s="13"/>
      <c r="DV1" s="13"/>
      <c r="DW1" s="13"/>
      <c r="DX1" s="13"/>
      <c r="DY1" s="13"/>
      <c r="DZ1" s="13"/>
      <c r="EA1" s="13"/>
      <c r="EB1" s="13"/>
      <c r="EC1" s="13"/>
      <c r="ED1" s="13"/>
      <c r="EE1" s="13"/>
      <c r="EF1" s="13"/>
      <c r="EG1" s="13"/>
      <c r="EH1" s="13"/>
      <c r="EI1" s="13"/>
      <c r="EJ1" s="13"/>
      <c r="EK1" s="13"/>
      <c r="EL1" s="13"/>
      <c r="EM1" s="13"/>
      <c r="EN1" s="13"/>
      <c r="EO1" s="13"/>
      <c r="EP1" s="13"/>
      <c r="EQ1" s="13"/>
      <c r="ER1" s="13"/>
      <c r="ES1" s="13"/>
      <c r="ET1" s="13"/>
      <c r="EU1" s="13"/>
      <c r="EV1" s="13"/>
      <c r="EW1" s="13"/>
      <c r="EX1" s="13"/>
      <c r="EY1" s="13"/>
      <c r="EZ1" s="13"/>
      <c r="FA1" s="13"/>
      <c r="FB1" s="13"/>
      <c r="FC1" s="13"/>
      <c r="FD1" s="13"/>
      <c r="FE1" s="13"/>
      <c r="FF1" s="13"/>
      <c r="FG1" s="13"/>
      <c r="FH1" s="13"/>
      <c r="FI1" s="13"/>
      <c r="FJ1" s="13"/>
      <c r="FK1" s="13"/>
      <c r="FL1" s="13"/>
      <c r="FM1" s="13"/>
      <c r="FN1" s="13"/>
      <c r="FO1" s="13"/>
      <c r="FP1" s="13"/>
      <c r="FQ1" s="13"/>
      <c r="FR1" s="13"/>
      <c r="FS1" s="13"/>
      <c r="FT1" s="13"/>
      <c r="FU1" s="13"/>
      <c r="FV1" s="13"/>
      <c r="FW1" s="13"/>
      <c r="FX1" s="13"/>
      <c r="FY1" s="13"/>
      <c r="FZ1" s="13"/>
      <c r="GA1" s="13"/>
      <c r="GB1" s="13"/>
      <c r="GC1" s="13"/>
      <c r="GD1" s="13"/>
      <c r="GE1" s="13"/>
      <c r="GF1" s="13"/>
      <c r="GG1" s="13"/>
      <c r="GH1" s="13"/>
      <c r="GI1" s="13"/>
      <c r="GJ1" s="13"/>
      <c r="GK1" s="13"/>
      <c r="GL1" s="13"/>
      <c r="GM1" s="13"/>
      <c r="GN1" s="13"/>
      <c r="GO1" s="13"/>
      <c r="GP1" s="13"/>
      <c r="GQ1" s="13"/>
      <c r="GR1" s="13"/>
      <c r="GS1" s="13"/>
      <c r="GT1" s="13"/>
      <c r="GU1" s="13"/>
      <c r="GV1" s="13"/>
      <c r="GW1" s="13"/>
      <c r="GX1" s="13"/>
      <c r="GY1" s="13"/>
      <c r="GZ1" s="13"/>
      <c r="HA1" s="13"/>
      <c r="HB1" s="13"/>
      <c r="HC1" s="13"/>
      <c r="HD1" s="13"/>
      <c r="HE1" s="13"/>
      <c r="HF1" s="13"/>
      <c r="HG1" s="13"/>
      <c r="HH1" s="13"/>
      <c r="HI1" s="13"/>
      <c r="HJ1" s="13"/>
      <c r="HK1" s="13"/>
      <c r="HL1" s="13"/>
      <c r="HM1" s="13"/>
      <c r="HN1" s="13"/>
      <c r="HO1" s="13"/>
      <c r="HP1" s="13"/>
      <c r="HQ1" s="13"/>
      <c r="HR1" s="13"/>
      <c r="HS1" s="13"/>
      <c r="HT1" s="13"/>
      <c r="HU1" s="13"/>
      <c r="HV1" s="13"/>
      <c r="HW1" s="13"/>
      <c r="HX1" s="13"/>
      <c r="HY1" s="13"/>
      <c r="HZ1" s="13"/>
      <c r="IA1" s="13"/>
      <c r="IB1" s="13"/>
      <c r="IC1" s="13"/>
      <c r="ID1" s="13"/>
      <c r="IE1" s="13"/>
      <c r="IF1" s="13"/>
      <c r="IG1" s="13"/>
      <c r="IH1" s="13"/>
      <c r="II1" s="13"/>
      <c r="IJ1" s="13"/>
      <c r="IK1" s="13"/>
      <c r="IL1" s="13"/>
      <c r="IM1" s="13"/>
      <c r="IN1" s="13"/>
      <c r="IO1" s="13"/>
      <c r="IP1" s="13"/>
      <c r="IQ1" s="13"/>
      <c r="IR1" s="13"/>
      <c r="IS1" s="13"/>
      <c r="IT1" s="13"/>
      <c r="IU1" s="13"/>
      <c r="IV1" s="13"/>
      <c r="IW1" s="13"/>
      <c r="IX1" s="13"/>
      <c r="IY1" s="13"/>
      <c r="IZ1" s="13"/>
      <c r="JA1" s="13"/>
      <c r="JB1" s="13"/>
      <c r="JC1" s="13"/>
      <c r="JD1" s="13"/>
      <c r="JE1" s="13"/>
      <c r="JF1" s="13"/>
      <c r="JG1" s="13"/>
      <c r="JH1" s="13"/>
      <c r="JI1" s="13"/>
      <c r="JJ1" s="13"/>
      <c r="JK1" s="13"/>
      <c r="JL1" s="13"/>
      <c r="JM1" s="13"/>
      <c r="JN1" s="13"/>
      <c r="JO1" s="13"/>
      <c r="JP1" s="13"/>
      <c r="JQ1" s="13"/>
      <c r="JR1" s="13"/>
      <c r="JS1" s="13"/>
      <c r="JT1" s="13"/>
      <c r="JU1" s="13"/>
      <c r="JV1" s="13"/>
      <c r="JW1" s="13"/>
      <c r="JX1" s="13"/>
      <c r="JY1" s="13"/>
      <c r="JZ1" s="13"/>
      <c r="KA1" s="13"/>
      <c r="KB1" s="13"/>
      <c r="KC1" s="13"/>
      <c r="KD1" s="13"/>
      <c r="KE1" s="13"/>
      <c r="KF1" s="13"/>
      <c r="KG1" s="13"/>
      <c r="KH1" s="13"/>
      <c r="KI1" s="13"/>
      <c r="KJ1" s="13"/>
      <c r="KK1" s="13"/>
      <c r="KL1" s="13"/>
      <c r="KM1" s="13"/>
      <c r="KN1" s="13"/>
      <c r="KO1" s="13"/>
      <c r="KP1" s="13"/>
      <c r="KQ1" s="13"/>
      <c r="KR1" s="13"/>
      <c r="KS1" s="13"/>
      <c r="KT1" s="13"/>
      <c r="KU1" s="13"/>
      <c r="KV1" s="13"/>
      <c r="KW1" s="13"/>
      <c r="KX1" s="13"/>
      <c r="KY1" s="13"/>
      <c r="KZ1" s="13"/>
      <c r="LA1" s="13"/>
      <c r="LB1" s="13"/>
      <c r="LC1" s="13"/>
      <c r="LD1" s="13"/>
      <c r="LE1" s="13"/>
      <c r="LF1" s="13"/>
      <c r="LG1" s="13"/>
      <c r="LH1" s="13"/>
      <c r="LI1" s="13"/>
      <c r="LJ1" s="13"/>
      <c r="LK1" s="13"/>
      <c r="LL1" s="13"/>
      <c r="LM1" s="13"/>
      <c r="LN1" s="13"/>
      <c r="LO1" s="13"/>
      <c r="LP1" s="13"/>
      <c r="LQ1" s="13"/>
      <c r="LR1" s="13"/>
      <c r="LS1" s="13"/>
      <c r="LT1" s="13"/>
      <c r="LU1" s="13"/>
      <c r="LV1" s="13"/>
      <c r="LW1" s="13"/>
      <c r="LX1" s="13"/>
      <c r="LY1" s="13"/>
      <c r="LZ1" s="13"/>
      <c r="MA1" s="13"/>
      <c r="MB1" s="13"/>
      <c r="MC1" s="13"/>
      <c r="MD1" s="13"/>
      <c r="ME1" s="13"/>
      <c r="MF1" s="13"/>
      <c r="MG1" s="13"/>
      <c r="MH1" s="13"/>
      <c r="MI1" s="13"/>
      <c r="MJ1" s="13"/>
      <c r="MK1" s="13"/>
      <c r="ML1" s="13"/>
      <c r="MM1" s="13"/>
      <c r="MN1" s="13"/>
      <c r="MO1" s="13"/>
      <c r="MP1" s="13"/>
      <c r="MQ1" s="13"/>
      <c r="MR1" s="13"/>
      <c r="MS1" s="13"/>
      <c r="MT1" s="13"/>
      <c r="MU1" s="13"/>
      <c r="MV1" s="13"/>
      <c r="MW1" s="13"/>
      <c r="MX1" s="13"/>
      <c r="MY1" s="13"/>
      <c r="MZ1" s="13"/>
      <c r="NA1" s="13"/>
      <c r="NB1" s="13"/>
      <c r="NC1" s="13"/>
      <c r="ND1" s="13"/>
      <c r="NE1" s="13"/>
      <c r="NF1" s="13"/>
      <c r="NG1" s="13"/>
      <c r="NH1" s="13"/>
      <c r="NI1" s="13"/>
      <c r="NJ1" s="13"/>
      <c r="NK1" s="13"/>
      <c r="NL1" s="13"/>
      <c r="NM1" s="13"/>
      <c r="NN1" s="13"/>
      <c r="NO1" s="13"/>
      <c r="NP1" s="13"/>
      <c r="NQ1" s="13"/>
      <c r="NR1" s="13"/>
      <c r="NS1" s="13"/>
      <c r="NT1" s="13"/>
      <c r="NU1" s="13"/>
      <c r="NV1" s="13"/>
      <c r="NW1" s="13"/>
      <c r="NX1" s="13"/>
      <c r="NY1" s="13"/>
      <c r="NZ1" s="13"/>
      <c r="OA1" s="13"/>
      <c r="OB1" s="13"/>
      <c r="OC1" s="13"/>
      <c r="OD1" s="13"/>
      <c r="OE1" s="13"/>
      <c r="OF1" s="13"/>
      <c r="OG1" s="13"/>
      <c r="OH1" s="13"/>
      <c r="OI1" s="13"/>
      <c r="OJ1" s="13"/>
      <c r="OK1" s="13"/>
      <c r="OL1" s="13"/>
      <c r="OM1" s="13"/>
      <c r="ON1" s="13"/>
      <c r="OO1" s="13"/>
      <c r="OP1" s="13"/>
      <c r="OQ1" s="13"/>
      <c r="OR1" s="13"/>
      <c r="OS1" s="13"/>
      <c r="OT1" s="13"/>
      <c r="OU1" s="13"/>
      <c r="OV1" s="13"/>
      <c r="OW1" s="13"/>
      <c r="OX1" s="13"/>
      <c r="OY1" s="13"/>
      <c r="OZ1" s="13"/>
      <c r="PA1" s="13"/>
      <c r="PB1" s="13"/>
      <c r="PC1" s="13"/>
      <c r="PD1" s="13"/>
      <c r="PE1" s="13"/>
      <c r="PF1" s="13"/>
      <c r="PG1" s="13"/>
      <c r="PH1" s="13"/>
      <c r="PI1" s="13"/>
      <c r="PJ1" s="13"/>
      <c r="PK1" s="13"/>
      <c r="PL1" s="13"/>
      <c r="PM1" s="13"/>
      <c r="PN1" s="13"/>
      <c r="PO1" s="13"/>
      <c r="PP1" s="13"/>
      <c r="PQ1" s="13"/>
      <c r="PR1" s="13"/>
      <c r="PS1" s="13"/>
      <c r="PT1" s="13"/>
      <c r="PU1" s="13"/>
      <c r="PV1" s="13"/>
      <c r="PW1" s="13"/>
      <c r="PX1" s="13"/>
      <c r="PY1" s="13"/>
      <c r="PZ1" s="13"/>
      <c r="QA1" s="13"/>
      <c r="QB1" s="13"/>
      <c r="QC1" s="13"/>
      <c r="QD1" s="13"/>
      <c r="QE1" s="13"/>
      <c r="QF1" s="13"/>
      <c r="QG1" s="13"/>
      <c r="QH1" s="13"/>
      <c r="QI1" s="13"/>
      <c r="QJ1" s="13"/>
      <c r="QK1" s="13"/>
      <c r="QL1" s="13"/>
      <c r="QM1" s="13"/>
      <c r="QN1" s="13"/>
      <c r="QO1" s="13"/>
      <c r="QP1" s="13"/>
      <c r="QQ1" s="13"/>
      <c r="QR1" s="13"/>
      <c r="QS1" s="13"/>
      <c r="QT1" s="13"/>
      <c r="QU1" s="13"/>
      <c r="QV1" s="13"/>
      <c r="QW1" s="13"/>
      <c r="QX1" s="13"/>
      <c r="QY1" s="13"/>
      <c r="QZ1" s="13"/>
      <c r="RA1" s="13"/>
      <c r="RB1" s="13"/>
      <c r="RC1" s="13"/>
      <c r="RD1" s="13"/>
      <c r="RE1" s="13"/>
      <c r="RF1" s="13"/>
      <c r="RG1" s="13"/>
      <c r="RH1" s="13"/>
      <c r="RI1" s="13"/>
      <c r="RJ1" s="13"/>
      <c r="RK1" s="13"/>
      <c r="RL1" s="13"/>
      <c r="RM1" s="13"/>
      <c r="RN1" s="13"/>
      <c r="RO1" s="13"/>
      <c r="RP1" s="13"/>
      <c r="RQ1" s="13"/>
      <c r="RR1" s="13"/>
      <c r="RS1" s="13"/>
      <c r="RT1" s="13"/>
      <c r="RU1" s="13"/>
      <c r="RV1" s="13"/>
      <c r="RW1" s="13"/>
      <c r="RX1" s="13"/>
      <c r="RY1" s="13"/>
      <c r="RZ1" s="13"/>
      <c r="SA1" s="13"/>
      <c r="SB1" s="13"/>
      <c r="SC1" s="13"/>
      <c r="SD1" s="13"/>
      <c r="SE1" s="13"/>
      <c r="SF1" s="13"/>
      <c r="SG1" s="13"/>
      <c r="SH1" s="13"/>
      <c r="SI1" s="13"/>
      <c r="SJ1" s="13"/>
      <c r="SK1" s="13"/>
      <c r="SL1" s="13"/>
      <c r="SM1" s="13"/>
      <c r="SN1" s="13"/>
      <c r="SO1" s="13"/>
      <c r="SP1" s="13"/>
      <c r="SQ1" s="13"/>
      <c r="SR1" s="13"/>
      <c r="SS1" s="13"/>
      <c r="ST1" s="13"/>
      <c r="SU1" s="13"/>
      <c r="SV1" s="13"/>
      <c r="SW1" s="13"/>
      <c r="SX1" s="13"/>
      <c r="SY1" s="13"/>
      <c r="SZ1" s="13"/>
      <c r="TA1" s="13"/>
      <c r="TB1" s="13"/>
      <c r="TC1" s="13"/>
      <c r="TD1" s="13"/>
      <c r="TE1" s="13"/>
      <c r="TF1" s="13"/>
      <c r="TG1" s="13"/>
      <c r="TH1" s="13"/>
      <c r="TI1" s="13"/>
      <c r="TJ1" s="13"/>
      <c r="TK1" s="13"/>
      <c r="TL1" s="13"/>
      <c r="TM1" s="13"/>
      <c r="TN1" s="13"/>
      <c r="TO1" s="13"/>
      <c r="TP1" s="13"/>
      <c r="TQ1" s="13"/>
      <c r="TR1" s="13"/>
      <c r="TS1" s="13"/>
      <c r="TT1" s="13"/>
      <c r="TU1" s="13"/>
      <c r="TV1" s="13"/>
      <c r="TW1" s="13"/>
      <c r="TX1" s="13"/>
      <c r="TY1" s="13"/>
      <c r="TZ1" s="13"/>
      <c r="UA1" s="13"/>
      <c r="UB1" s="13"/>
      <c r="UC1" s="13"/>
      <c r="UD1" s="13"/>
      <c r="UE1" s="13"/>
      <c r="UF1" s="13"/>
      <c r="UG1" s="13"/>
      <c r="UH1" s="13"/>
      <c r="UI1" s="13"/>
      <c r="UJ1" s="13"/>
      <c r="UK1" s="13"/>
      <c r="UL1" s="13"/>
      <c r="UM1" s="13"/>
      <c r="UN1" s="13"/>
      <c r="UO1" s="13"/>
      <c r="UP1" s="13"/>
      <c r="UQ1" s="13"/>
      <c r="UR1" s="13"/>
      <c r="US1" s="13"/>
      <c r="UT1" s="13"/>
      <c r="UU1" s="13"/>
      <c r="UV1" s="13"/>
      <c r="UW1" s="13"/>
      <c r="UX1" s="13"/>
      <c r="UY1" s="13"/>
      <c r="UZ1" s="13"/>
      <c r="VA1" s="13"/>
      <c r="VB1" s="13"/>
      <c r="VC1" s="13"/>
      <c r="VD1" s="13"/>
      <c r="VE1" s="13"/>
      <c r="VF1" s="13"/>
      <c r="VG1" s="13"/>
      <c r="VH1" s="13"/>
      <c r="VI1" s="13"/>
      <c r="VJ1" s="13"/>
      <c r="VK1" s="13"/>
      <c r="VL1" s="13"/>
      <c r="VM1" s="13"/>
      <c r="VN1" s="13"/>
      <c r="VO1" s="13"/>
      <c r="VP1" s="13"/>
      <c r="VQ1" s="13"/>
      <c r="VR1" s="13"/>
      <c r="VS1" s="13"/>
      <c r="VT1" s="13"/>
      <c r="VU1" s="13"/>
      <c r="VV1" s="13"/>
      <c r="VW1" s="13"/>
      <c r="VX1" s="13"/>
      <c r="VY1" s="13"/>
      <c r="VZ1" s="13"/>
      <c r="WA1" s="13"/>
      <c r="WB1" s="13"/>
      <c r="WC1" s="13"/>
      <c r="WD1" s="13"/>
      <c r="WE1" s="13"/>
      <c r="WF1" s="13"/>
      <c r="WG1" s="13"/>
      <c r="WH1" s="13"/>
      <c r="WI1" s="13"/>
      <c r="WJ1" s="13"/>
      <c r="WK1" s="13"/>
      <c r="WL1" s="13"/>
      <c r="WM1" s="13"/>
      <c r="WN1" s="13"/>
      <c r="WO1" s="13"/>
      <c r="WP1" s="13"/>
      <c r="WQ1" s="13"/>
      <c r="WR1" s="13"/>
      <c r="WS1" s="13"/>
      <c r="WT1" s="13"/>
      <c r="WU1" s="13"/>
      <c r="WV1" s="13"/>
      <c r="WW1" s="13"/>
      <c r="WX1" s="13"/>
      <c r="WY1" s="13"/>
      <c r="WZ1" s="13"/>
      <c r="XA1" s="13"/>
      <c r="XB1" s="13"/>
      <c r="XC1" s="13"/>
      <c r="XD1" s="13"/>
      <c r="XE1" s="13"/>
      <c r="XF1" s="13"/>
      <c r="XG1" s="13"/>
      <c r="XH1" s="13"/>
      <c r="XI1" s="13"/>
      <c r="XJ1" s="13"/>
      <c r="XK1" s="13"/>
      <c r="XL1" s="13"/>
      <c r="XM1" s="13"/>
      <c r="XN1" s="13"/>
      <c r="XO1" s="13"/>
      <c r="XP1" s="13"/>
      <c r="XQ1" s="13"/>
      <c r="XR1" s="13"/>
      <c r="XS1" s="13"/>
      <c r="XT1" s="13"/>
      <c r="XU1" s="13"/>
      <c r="XV1" s="13"/>
      <c r="XW1" s="13"/>
      <c r="XX1" s="13"/>
      <c r="XY1" s="13"/>
      <c r="XZ1" s="13"/>
      <c r="YA1" s="13"/>
      <c r="YB1" s="13"/>
      <c r="YC1" s="13"/>
      <c r="YD1" s="13"/>
      <c r="YE1" s="13"/>
      <c r="YF1" s="13"/>
      <c r="YG1" s="13"/>
      <c r="YH1" s="13"/>
      <c r="YI1" s="13"/>
      <c r="YJ1" s="13"/>
      <c r="YK1" s="13"/>
      <c r="YL1" s="13"/>
      <c r="YM1" s="13"/>
      <c r="YN1" s="13"/>
      <c r="YO1" s="13"/>
      <c r="YP1" s="13"/>
      <c r="YQ1" s="13"/>
      <c r="YR1" s="13"/>
      <c r="YS1" s="13"/>
      <c r="YT1" s="13"/>
      <c r="YU1" s="13"/>
      <c r="YV1" s="13"/>
      <c r="YW1" s="13"/>
      <c r="YX1" s="13"/>
      <c r="YY1" s="13"/>
      <c r="YZ1" s="13"/>
      <c r="ZA1" s="13"/>
      <c r="ZB1" s="13"/>
      <c r="ZC1" s="13"/>
      <c r="ZD1" s="13"/>
      <c r="ZE1" s="13"/>
      <c r="ZF1" s="13"/>
      <c r="ZG1" s="13"/>
      <c r="ZH1" s="13"/>
      <c r="ZI1" s="13"/>
      <c r="ZJ1" s="13"/>
      <c r="ZK1" s="13"/>
      <c r="ZL1" s="13"/>
      <c r="ZM1" s="13"/>
      <c r="ZN1" s="13"/>
      <c r="ZO1" s="13"/>
      <c r="ZP1" s="13"/>
      <c r="ZQ1" s="13"/>
      <c r="ZR1" s="13"/>
      <c r="ZS1" s="13"/>
      <c r="ZT1" s="13"/>
      <c r="ZU1" s="13"/>
      <c r="ZV1" s="13"/>
      <c r="ZW1" s="13"/>
      <c r="ZX1" s="13"/>
      <c r="ZY1" s="13"/>
      <c r="ZZ1" s="13"/>
      <c r="AAA1" s="13"/>
      <c r="AAB1" s="13"/>
      <c r="AAC1" s="13"/>
      <c r="AAD1" s="13"/>
      <c r="AAE1" s="13"/>
      <c r="AAF1" s="13"/>
      <c r="AAG1" s="13"/>
      <c r="AAH1" s="13"/>
      <c r="AAI1" s="13"/>
      <c r="AAJ1" s="13"/>
      <c r="AAK1" s="13"/>
      <c r="AAL1" s="13"/>
      <c r="AAM1" s="13"/>
      <c r="AAN1" s="13"/>
      <c r="AAO1" s="13"/>
      <c r="AAP1" s="13"/>
      <c r="AAQ1" s="13"/>
      <c r="AAR1" s="13"/>
      <c r="AAS1" s="13"/>
      <c r="AAT1" s="13"/>
      <c r="AAU1" s="13"/>
      <c r="AAV1" s="13"/>
      <c r="AAW1" s="13"/>
      <c r="AAX1" s="13"/>
      <c r="AAY1" s="13"/>
      <c r="AAZ1" s="13"/>
      <c r="ABA1" s="13"/>
      <c r="ABB1" s="13"/>
      <c r="ABC1" s="13"/>
      <c r="ABD1" s="13"/>
      <c r="ABE1" s="13"/>
      <c r="ABF1" s="13"/>
      <c r="ABG1" s="13"/>
      <c r="ABH1" s="13"/>
      <c r="ABI1" s="13"/>
      <c r="ABJ1" s="13"/>
      <c r="ABK1" s="13"/>
      <c r="ABL1" s="13"/>
      <c r="ABM1" s="13"/>
      <c r="ABN1" s="13"/>
      <c r="ABO1" s="13"/>
      <c r="ABP1" s="13"/>
      <c r="ABQ1" s="13"/>
      <c r="ABR1" s="13"/>
      <c r="ABS1" s="13"/>
      <c r="ABT1" s="13"/>
      <c r="ABU1" s="13"/>
      <c r="ABV1" s="13"/>
      <c r="ABW1" s="13"/>
      <c r="ABX1" s="13"/>
      <c r="ABY1" s="13"/>
      <c r="ABZ1" s="13"/>
      <c r="ACA1" s="13"/>
      <c r="ACB1" s="13"/>
      <c r="ACC1" s="13"/>
      <c r="ACD1" s="13"/>
      <c r="ACE1" s="13"/>
      <c r="ACF1" s="13"/>
      <c r="ACG1" s="13"/>
      <c r="ACH1" s="13"/>
      <c r="ACI1" s="13"/>
      <c r="ACJ1" s="13"/>
      <c r="ACK1" s="13"/>
      <c r="ACL1" s="13"/>
      <c r="ACM1" s="13"/>
      <c r="ACN1" s="13"/>
      <c r="ACO1" s="13"/>
      <c r="ACP1" s="13"/>
      <c r="ACQ1" s="13"/>
      <c r="ACR1" s="13"/>
      <c r="ACS1" s="13"/>
      <c r="ACT1" s="13"/>
      <c r="ACU1" s="13"/>
      <c r="ACV1" s="13"/>
      <c r="ACW1" s="13"/>
      <c r="ACX1" s="13"/>
      <c r="ACY1" s="13"/>
      <c r="ACZ1" s="13"/>
      <c r="ADA1" s="13"/>
      <c r="ADB1" s="13"/>
      <c r="ADC1" s="13"/>
      <c r="ADD1" s="13"/>
      <c r="ADE1" s="13"/>
      <c r="ADF1" s="13"/>
      <c r="ADG1" s="13"/>
      <c r="ADH1" s="13"/>
      <c r="ADI1" s="13"/>
      <c r="ADJ1" s="13"/>
      <c r="ADK1" s="13"/>
      <c r="ADL1" s="13"/>
      <c r="ADM1" s="13"/>
      <c r="ADN1" s="13"/>
      <c r="ADO1" s="13"/>
      <c r="ADP1" s="13"/>
      <c r="ADQ1" s="13"/>
      <c r="ADR1" s="13"/>
      <c r="ADS1" s="13"/>
      <c r="ADT1" s="13"/>
      <c r="ADU1" s="13"/>
      <c r="ADV1" s="13"/>
      <c r="ADW1" s="13"/>
      <c r="ADX1" s="13"/>
      <c r="ADY1" s="13"/>
      <c r="ADZ1" s="13"/>
      <c r="AEA1" s="13"/>
      <c r="AEB1" s="13"/>
      <c r="AEC1" s="13"/>
      <c r="AED1" s="13"/>
      <c r="AEE1" s="13"/>
      <c r="AEF1" s="13"/>
      <c r="AEG1" s="13"/>
      <c r="AEH1" s="13"/>
      <c r="AEI1" s="13"/>
      <c r="AEJ1" s="13"/>
      <c r="AEK1" s="13"/>
      <c r="AEL1" s="13"/>
      <c r="AEM1" s="13"/>
      <c r="AEN1" s="13"/>
      <c r="AEO1" s="13"/>
      <c r="AEP1" s="13"/>
      <c r="AEQ1" s="13"/>
      <c r="AER1" s="13"/>
      <c r="AES1" s="13"/>
      <c r="AET1" s="13"/>
      <c r="AEU1" s="13"/>
      <c r="AEV1" s="13"/>
      <c r="AEW1" s="13"/>
      <c r="AEX1" s="13"/>
      <c r="AEY1" s="13"/>
      <c r="AEZ1" s="13"/>
      <c r="AFA1" s="13"/>
      <c r="AFB1" s="13"/>
      <c r="AFC1" s="13"/>
      <c r="AFD1" s="13"/>
      <c r="AFE1" s="13"/>
      <c r="AFF1" s="13"/>
      <c r="AFG1" s="13"/>
      <c r="AFH1" s="13"/>
      <c r="AFI1" s="13"/>
      <c r="AFJ1" s="13"/>
      <c r="AFK1" s="13"/>
      <c r="AFL1" s="13"/>
      <c r="AFM1" s="13"/>
      <c r="AFN1" s="13"/>
      <c r="AFO1" s="13"/>
      <c r="AFP1" s="13"/>
      <c r="AFQ1" s="13"/>
      <c r="AFR1" s="13"/>
      <c r="AFS1" s="13"/>
      <c r="AFT1" s="13"/>
      <c r="AFU1" s="13"/>
      <c r="AFV1" s="13"/>
      <c r="AFW1" s="13"/>
      <c r="AFX1" s="13"/>
      <c r="AFY1" s="13"/>
      <c r="AFZ1" s="13"/>
      <c r="AGA1" s="13"/>
      <c r="AGB1" s="13"/>
      <c r="AGC1" s="13"/>
      <c r="AGD1" s="13"/>
      <c r="AGE1" s="13"/>
      <c r="AGF1" s="13"/>
      <c r="AGG1" s="13"/>
      <c r="AGH1" s="13"/>
      <c r="AGI1" s="13"/>
      <c r="AGJ1" s="13"/>
      <c r="AGK1" s="13"/>
      <c r="AGL1" s="13"/>
      <c r="AGM1" s="13"/>
      <c r="AGN1" s="13"/>
      <c r="AGO1" s="13"/>
      <c r="AGP1" s="13"/>
      <c r="AGQ1" s="13"/>
      <c r="AGR1" s="13"/>
      <c r="AGS1" s="13"/>
      <c r="AGT1" s="13"/>
      <c r="AGU1" s="13"/>
      <c r="AGV1" s="13"/>
      <c r="AGW1" s="13"/>
      <c r="AGX1" s="13"/>
      <c r="AGY1" s="13"/>
      <c r="AGZ1" s="13"/>
      <c r="AHA1" s="13"/>
      <c r="AHB1" s="13"/>
      <c r="AHC1" s="13"/>
      <c r="AHD1" s="13"/>
      <c r="AHE1" s="13"/>
      <c r="AHF1" s="13"/>
      <c r="AHG1" s="13"/>
      <c r="AHH1" s="13"/>
      <c r="AHI1" s="13"/>
      <c r="AHJ1" s="13"/>
      <c r="AHK1" s="13"/>
      <c r="AHL1" s="13"/>
      <c r="AHM1" s="13"/>
      <c r="AHN1" s="13"/>
      <c r="AHO1" s="13"/>
      <c r="AHP1" s="13"/>
      <c r="AHQ1" s="13"/>
      <c r="AHR1" s="13"/>
      <c r="AHS1" s="13"/>
      <c r="AHT1" s="13"/>
      <c r="AHU1" s="13"/>
      <c r="AHV1" s="13"/>
      <c r="AHW1" s="13"/>
      <c r="AHX1" s="13"/>
      <c r="AHY1" s="13"/>
      <c r="AHZ1" s="13"/>
      <c r="AIA1" s="13"/>
      <c r="AIB1" s="13"/>
      <c r="AIC1" s="13"/>
      <c r="AID1" s="13"/>
      <c r="AIE1" s="13"/>
      <c r="AIF1" s="13"/>
      <c r="AIG1" s="13"/>
      <c r="AIH1" s="13"/>
      <c r="AII1" s="13"/>
      <c r="AIJ1" s="13"/>
      <c r="AIK1" s="13"/>
      <c r="AIL1" s="13"/>
      <c r="AIM1" s="13"/>
      <c r="AIN1" s="13"/>
      <c r="AIO1" s="13"/>
      <c r="AIP1" s="13"/>
      <c r="AIQ1" s="13"/>
      <c r="AIR1" s="13"/>
      <c r="AIS1" s="13"/>
      <c r="AIT1" s="13"/>
      <c r="AIU1" s="13"/>
      <c r="AIV1" s="13"/>
      <c r="AIW1" s="13"/>
      <c r="AIX1" s="13"/>
      <c r="AIY1" s="13"/>
      <c r="AIZ1" s="13"/>
      <c r="AJA1" s="13"/>
      <c r="AJB1" s="13"/>
      <c r="AJC1" s="13"/>
      <c r="AJD1" s="13"/>
      <c r="AJE1" s="13"/>
      <c r="AJF1" s="13"/>
      <c r="AJG1" s="13"/>
      <c r="AJH1" s="13"/>
      <c r="AJI1" s="13"/>
      <c r="AJJ1" s="13"/>
      <c r="AJK1" s="13"/>
      <c r="AJL1" s="13"/>
      <c r="AJM1" s="13"/>
      <c r="AJN1" s="13"/>
      <c r="AJO1" s="13"/>
      <c r="AJP1" s="13"/>
      <c r="AJQ1" s="13"/>
      <c r="AJR1" s="13"/>
      <c r="AJS1" s="13"/>
      <c r="AJT1" s="13"/>
      <c r="AJU1" s="13"/>
      <c r="AJV1" s="13"/>
      <c r="AJW1" s="13"/>
      <c r="AJX1" s="13"/>
      <c r="AJY1" s="13"/>
      <c r="AJZ1" s="13"/>
      <c r="AKA1" s="13"/>
      <c r="AKB1" s="13"/>
      <c r="AKC1" s="13"/>
      <c r="AKD1" s="13"/>
      <c r="AKE1" s="13"/>
      <c r="AKF1" s="13"/>
      <c r="AKG1" s="13"/>
      <c r="AKH1" s="13"/>
      <c r="AKI1" s="13"/>
      <c r="AKJ1" s="13"/>
      <c r="AKK1" s="13"/>
      <c r="AKL1" s="13"/>
      <c r="AKM1" s="13"/>
      <c r="AKN1" s="13"/>
      <c r="AKO1" s="13"/>
      <c r="AKP1" s="13"/>
      <c r="AKQ1" s="13"/>
      <c r="AKR1" s="13"/>
      <c r="AKS1" s="13"/>
      <c r="AKT1" s="13"/>
      <c r="AKU1" s="13"/>
      <c r="AKV1" s="13"/>
      <c r="AKW1" s="13"/>
      <c r="AKX1" s="13"/>
      <c r="AKY1" s="13"/>
      <c r="AKZ1" s="13"/>
      <c r="ALA1" s="13"/>
      <c r="ALB1" s="13"/>
      <c r="ALC1" s="13"/>
      <c r="ALD1" s="13"/>
      <c r="ALE1" s="13"/>
      <c r="ALF1" s="13"/>
      <c r="ALG1" s="13"/>
      <c r="ALH1" s="13"/>
      <c r="ALI1" s="13"/>
      <c r="ALJ1" s="13"/>
      <c r="ALK1" s="13"/>
      <c r="ALL1" s="13"/>
      <c r="ALM1" s="13"/>
    </row>
    <row r="2" spans="1:1022" ht="15.75" customHeight="1" x14ac:dyDescent="0.25">
      <c r="A2" s="14" t="s">
        <v>1090</v>
      </c>
      <c r="B2" s="28" t="s">
        <v>58</v>
      </c>
      <c r="C2" s="28" t="s">
        <v>2320</v>
      </c>
      <c r="D2" s="17" t="s">
        <v>2325</v>
      </c>
      <c r="E2" s="90" t="s">
        <v>60</v>
      </c>
      <c r="F2" s="19"/>
      <c r="G2" s="20" t="s">
        <v>36</v>
      </c>
      <c r="H2" s="29" t="s">
        <v>62</v>
      </c>
      <c r="I2" s="30" t="s">
        <v>2162</v>
      </c>
      <c r="J2" s="30" t="s">
        <v>2162</v>
      </c>
      <c r="K2" s="206"/>
      <c r="L2" s="206"/>
      <c r="M2" s="206"/>
      <c r="N2" s="25"/>
      <c r="O2" s="25"/>
      <c r="P2" s="25"/>
    </row>
    <row r="3" spans="1:1022" ht="15.75" customHeight="1" x14ac:dyDescent="0.25">
      <c r="A3" s="14" t="s">
        <v>1093</v>
      </c>
      <c r="B3" s="28" t="s">
        <v>58</v>
      </c>
      <c r="C3" s="28" t="s">
        <v>2320</v>
      </c>
      <c r="D3" s="17" t="s">
        <v>59</v>
      </c>
      <c r="E3" s="90" t="s">
        <v>67</v>
      </c>
      <c r="F3" s="19"/>
      <c r="G3" s="20" t="s">
        <v>38</v>
      </c>
      <c r="H3" s="29" t="s">
        <v>67</v>
      </c>
      <c r="I3" s="30" t="s">
        <v>69</v>
      </c>
      <c r="J3" s="30" t="s">
        <v>69</v>
      </c>
      <c r="K3" s="206"/>
      <c r="L3" s="206"/>
      <c r="M3" s="206"/>
      <c r="N3" s="25"/>
      <c r="O3" s="25"/>
      <c r="P3" s="25"/>
      <c r="R3" s="40"/>
      <c r="S3" s="40"/>
      <c r="T3" s="40"/>
      <c r="U3" s="40"/>
      <c r="V3" s="40"/>
      <c r="W3" s="40"/>
      <c r="X3" s="40"/>
      <c r="Y3" s="40"/>
      <c r="Z3" s="40"/>
      <c r="AA3" s="40"/>
      <c r="AB3" s="40"/>
      <c r="AC3" s="40"/>
      <c r="AD3" s="40"/>
      <c r="AE3" s="40"/>
      <c r="AF3" s="40"/>
      <c r="AG3" s="40"/>
      <c r="AH3" s="40"/>
      <c r="AI3" s="40"/>
      <c r="AJ3" s="40"/>
      <c r="AK3" s="40"/>
      <c r="AL3" s="40"/>
      <c r="AM3" s="40"/>
      <c r="AN3" s="40"/>
      <c r="AO3" s="40"/>
      <c r="AP3" s="40"/>
      <c r="AQ3" s="40"/>
      <c r="AR3" s="40"/>
      <c r="AS3" s="40"/>
      <c r="AT3" s="40"/>
      <c r="AU3" s="40"/>
      <c r="AV3" s="40"/>
      <c r="AW3" s="40"/>
      <c r="AX3" s="40"/>
      <c r="AY3" s="40"/>
      <c r="AZ3" s="40"/>
      <c r="BA3" s="40"/>
      <c r="BB3" s="40"/>
      <c r="BC3" s="40"/>
      <c r="BD3" s="40"/>
      <c r="BE3" s="40"/>
      <c r="BF3" s="40"/>
      <c r="BG3" s="40"/>
      <c r="BH3" s="40"/>
      <c r="BI3" s="40"/>
      <c r="BJ3" s="40"/>
      <c r="BK3" s="40"/>
      <c r="BL3" s="40"/>
      <c r="BM3" s="40"/>
      <c r="BN3" s="40"/>
      <c r="BO3" s="40"/>
      <c r="BP3" s="40"/>
      <c r="BQ3" s="40"/>
      <c r="BR3" s="40"/>
      <c r="BS3" s="40"/>
      <c r="BT3" s="40"/>
      <c r="BU3" s="40"/>
      <c r="BV3" s="40"/>
      <c r="BW3" s="40"/>
      <c r="BX3" s="40"/>
      <c r="BY3" s="40"/>
      <c r="BZ3" s="40"/>
      <c r="CA3" s="40"/>
      <c r="CB3" s="40"/>
      <c r="CC3" s="40"/>
      <c r="CD3" s="40"/>
      <c r="CE3" s="40"/>
      <c r="CF3" s="40"/>
      <c r="CG3" s="40"/>
      <c r="CH3" s="40"/>
      <c r="CI3" s="40"/>
      <c r="CJ3" s="40"/>
      <c r="CK3" s="40"/>
      <c r="CL3" s="40"/>
      <c r="CM3" s="40"/>
      <c r="CN3" s="40"/>
      <c r="CO3" s="40"/>
      <c r="CP3" s="40"/>
      <c r="CQ3" s="40"/>
      <c r="CR3" s="40"/>
      <c r="CS3" s="40"/>
      <c r="CT3" s="40"/>
      <c r="CU3" s="40"/>
      <c r="CV3" s="40"/>
      <c r="CW3" s="40"/>
      <c r="CX3" s="40"/>
      <c r="CY3" s="40"/>
      <c r="CZ3" s="40"/>
      <c r="DA3" s="40"/>
      <c r="DB3" s="40"/>
      <c r="DC3" s="40"/>
      <c r="DD3" s="40"/>
      <c r="DE3" s="40"/>
      <c r="DF3" s="40"/>
      <c r="DG3" s="40"/>
      <c r="DH3" s="40"/>
      <c r="DI3" s="40"/>
      <c r="DJ3" s="40"/>
      <c r="DK3" s="40"/>
      <c r="DL3" s="40"/>
      <c r="DM3" s="40"/>
      <c r="DN3" s="40"/>
      <c r="DO3" s="40"/>
      <c r="DP3" s="40"/>
      <c r="DQ3" s="40"/>
      <c r="DR3" s="40"/>
      <c r="DS3" s="40"/>
      <c r="DT3" s="40"/>
      <c r="DU3" s="40"/>
      <c r="DV3" s="40"/>
      <c r="DW3" s="40"/>
      <c r="DX3" s="40"/>
      <c r="DY3" s="40"/>
      <c r="DZ3" s="40"/>
      <c r="EA3" s="40"/>
      <c r="EB3" s="40"/>
      <c r="EC3" s="40"/>
      <c r="ED3" s="40"/>
      <c r="EE3" s="40"/>
      <c r="EF3" s="40"/>
      <c r="EG3" s="40"/>
      <c r="EH3" s="40"/>
      <c r="EI3" s="40"/>
      <c r="EJ3" s="40"/>
      <c r="EK3" s="40"/>
      <c r="EL3" s="40"/>
      <c r="EM3" s="40"/>
      <c r="EN3" s="40"/>
      <c r="EO3" s="40"/>
      <c r="EP3" s="40"/>
      <c r="EQ3" s="40"/>
      <c r="ER3" s="40"/>
      <c r="ES3" s="40"/>
      <c r="ET3" s="40"/>
      <c r="EU3" s="40"/>
      <c r="EV3" s="40"/>
      <c r="EW3" s="40"/>
      <c r="EX3" s="40"/>
      <c r="EY3" s="40"/>
      <c r="EZ3" s="40"/>
      <c r="FA3" s="40"/>
      <c r="FB3" s="40"/>
      <c r="FC3" s="40"/>
      <c r="FD3" s="40"/>
      <c r="FE3" s="40"/>
      <c r="FF3" s="40"/>
      <c r="FG3" s="40"/>
      <c r="FH3" s="40"/>
      <c r="FI3" s="40"/>
      <c r="FJ3" s="40"/>
      <c r="FK3" s="40"/>
      <c r="FL3" s="40"/>
      <c r="FM3" s="40"/>
      <c r="FN3" s="40"/>
      <c r="FO3" s="40"/>
      <c r="FP3" s="40"/>
      <c r="FQ3" s="40"/>
      <c r="FR3" s="40"/>
      <c r="FS3" s="40"/>
      <c r="FT3" s="40"/>
      <c r="FU3" s="40"/>
      <c r="FV3" s="40"/>
      <c r="FW3" s="40"/>
      <c r="FX3" s="40"/>
      <c r="FY3" s="40"/>
      <c r="FZ3" s="40"/>
      <c r="GA3" s="40"/>
      <c r="GB3" s="40"/>
      <c r="GC3" s="40"/>
      <c r="GD3" s="40"/>
      <c r="GE3" s="40"/>
      <c r="GF3" s="40"/>
      <c r="GG3" s="40"/>
      <c r="GH3" s="40"/>
      <c r="GI3" s="40"/>
      <c r="GJ3" s="40"/>
      <c r="GK3" s="40"/>
      <c r="GL3" s="40"/>
      <c r="GM3" s="40"/>
      <c r="GN3" s="40"/>
      <c r="GO3" s="40"/>
      <c r="GP3" s="40"/>
      <c r="GQ3" s="40"/>
      <c r="GR3" s="40"/>
      <c r="GS3" s="40"/>
      <c r="GT3" s="40"/>
      <c r="GU3" s="40"/>
      <c r="GV3" s="40"/>
      <c r="GW3" s="40"/>
      <c r="GX3" s="40"/>
      <c r="GY3" s="40"/>
      <c r="GZ3" s="40"/>
      <c r="HA3" s="40"/>
      <c r="HB3" s="40"/>
      <c r="HC3" s="40"/>
      <c r="HD3" s="40"/>
      <c r="HE3" s="40"/>
      <c r="HF3" s="40"/>
      <c r="HG3" s="40"/>
      <c r="HH3" s="40"/>
      <c r="HI3" s="40"/>
      <c r="HJ3" s="40"/>
      <c r="HK3" s="40"/>
      <c r="HL3" s="40"/>
      <c r="HM3" s="40"/>
      <c r="HN3" s="40"/>
      <c r="HO3" s="40"/>
      <c r="HP3" s="40"/>
      <c r="HQ3" s="40"/>
      <c r="HR3" s="40"/>
      <c r="HS3" s="40"/>
      <c r="HT3" s="40"/>
      <c r="HU3" s="40"/>
      <c r="HV3" s="40"/>
      <c r="HW3" s="40"/>
      <c r="HX3" s="40"/>
      <c r="HY3" s="40"/>
      <c r="HZ3" s="40"/>
      <c r="IA3" s="40"/>
      <c r="IB3" s="40"/>
      <c r="IC3" s="40"/>
      <c r="ID3" s="40"/>
      <c r="IE3" s="40"/>
      <c r="IF3" s="40"/>
      <c r="IG3" s="40"/>
      <c r="IH3" s="40"/>
      <c r="II3" s="40"/>
      <c r="IJ3" s="40"/>
      <c r="IK3" s="40"/>
      <c r="IL3" s="40"/>
      <c r="IM3" s="40"/>
      <c r="IN3" s="40"/>
      <c r="IO3" s="40"/>
      <c r="IP3" s="40"/>
      <c r="IQ3" s="40"/>
      <c r="IR3" s="40"/>
      <c r="IS3" s="40"/>
      <c r="IT3" s="40"/>
      <c r="IU3" s="40"/>
      <c r="IV3" s="40"/>
      <c r="IW3" s="40"/>
      <c r="IX3" s="40"/>
      <c r="IY3" s="40"/>
      <c r="IZ3" s="40"/>
      <c r="JA3" s="40"/>
      <c r="JB3" s="40"/>
      <c r="JC3" s="40"/>
      <c r="JD3" s="40"/>
      <c r="JE3" s="40"/>
      <c r="JF3" s="40"/>
      <c r="JG3" s="40"/>
      <c r="JH3" s="40"/>
      <c r="JI3" s="40"/>
      <c r="JJ3" s="40"/>
      <c r="JK3" s="40"/>
      <c r="JL3" s="40"/>
      <c r="JM3" s="40"/>
      <c r="JN3" s="40"/>
      <c r="JO3" s="40"/>
      <c r="JP3" s="40"/>
      <c r="JQ3" s="40"/>
      <c r="JR3" s="40"/>
      <c r="JS3" s="40"/>
      <c r="JT3" s="40"/>
      <c r="JU3" s="40"/>
      <c r="JV3" s="40"/>
      <c r="JW3" s="40"/>
      <c r="JX3" s="40"/>
      <c r="JY3" s="40"/>
      <c r="JZ3" s="40"/>
      <c r="KA3" s="40"/>
      <c r="KB3" s="40"/>
      <c r="KC3" s="40"/>
      <c r="KD3" s="40"/>
      <c r="KE3" s="40"/>
      <c r="KF3" s="40"/>
      <c r="KG3" s="40"/>
      <c r="KH3" s="40"/>
      <c r="KI3" s="40"/>
      <c r="KJ3" s="40"/>
      <c r="KK3" s="40"/>
      <c r="KL3" s="40"/>
      <c r="KM3" s="40"/>
      <c r="KN3" s="40"/>
      <c r="KO3" s="40"/>
      <c r="KP3" s="40"/>
      <c r="KQ3" s="40"/>
      <c r="KR3" s="40"/>
      <c r="KS3" s="40"/>
      <c r="KT3" s="40"/>
      <c r="KU3" s="40"/>
      <c r="KV3" s="40"/>
      <c r="KW3" s="40"/>
      <c r="KX3" s="40"/>
      <c r="KY3" s="40"/>
      <c r="KZ3" s="40"/>
      <c r="LA3" s="40"/>
      <c r="LB3" s="40"/>
      <c r="LC3" s="40"/>
      <c r="LD3" s="40"/>
      <c r="LE3" s="40"/>
      <c r="LF3" s="40"/>
      <c r="LG3" s="40"/>
      <c r="LH3" s="40"/>
      <c r="LI3" s="40"/>
      <c r="LJ3" s="40"/>
      <c r="LK3" s="40"/>
      <c r="LL3" s="40"/>
      <c r="LM3" s="40"/>
      <c r="LN3" s="40"/>
      <c r="LO3" s="40"/>
      <c r="LP3" s="40"/>
      <c r="LQ3" s="40"/>
      <c r="LR3" s="40"/>
      <c r="LS3" s="40"/>
      <c r="LT3" s="40"/>
      <c r="LU3" s="40"/>
      <c r="LV3" s="40"/>
      <c r="LW3" s="40"/>
      <c r="LX3" s="40"/>
      <c r="LY3" s="40"/>
      <c r="LZ3" s="40"/>
      <c r="MA3" s="40"/>
      <c r="MB3" s="40"/>
      <c r="MC3" s="40"/>
      <c r="MD3" s="40"/>
      <c r="ME3" s="40"/>
      <c r="MF3" s="40"/>
      <c r="MG3" s="40"/>
      <c r="MH3" s="40"/>
      <c r="MI3" s="40"/>
      <c r="MJ3" s="40"/>
      <c r="MK3" s="40"/>
      <c r="ML3" s="40"/>
      <c r="MM3" s="40"/>
      <c r="MN3" s="40"/>
      <c r="MO3" s="40"/>
      <c r="MP3" s="40"/>
      <c r="MQ3" s="40"/>
      <c r="MR3" s="40"/>
      <c r="MS3" s="40"/>
      <c r="MT3" s="40"/>
      <c r="MU3" s="40"/>
      <c r="MV3" s="40"/>
      <c r="MW3" s="40"/>
      <c r="MX3" s="40"/>
      <c r="MY3" s="40"/>
      <c r="MZ3" s="40"/>
      <c r="NA3" s="40"/>
      <c r="NB3" s="40"/>
      <c r="NC3" s="40"/>
      <c r="ND3" s="40"/>
      <c r="NE3" s="40"/>
      <c r="NF3" s="40"/>
      <c r="NG3" s="40"/>
      <c r="NH3" s="40"/>
      <c r="NI3" s="40"/>
      <c r="NJ3" s="40"/>
      <c r="NK3" s="40"/>
      <c r="NL3" s="40"/>
      <c r="NM3" s="40"/>
      <c r="NN3" s="40"/>
      <c r="NO3" s="40"/>
      <c r="NP3" s="40"/>
      <c r="NQ3" s="40"/>
      <c r="NR3" s="40"/>
      <c r="NS3" s="40"/>
      <c r="NT3" s="40"/>
      <c r="NU3" s="40"/>
      <c r="NV3" s="40"/>
      <c r="NW3" s="40"/>
      <c r="NX3" s="40"/>
      <c r="NY3" s="40"/>
      <c r="NZ3" s="40"/>
      <c r="OA3" s="40"/>
      <c r="OB3" s="40"/>
      <c r="OC3" s="40"/>
      <c r="OD3" s="40"/>
      <c r="OE3" s="40"/>
      <c r="OF3" s="40"/>
      <c r="OG3" s="40"/>
      <c r="OH3" s="40"/>
      <c r="OI3" s="40"/>
      <c r="OJ3" s="40"/>
      <c r="OK3" s="40"/>
      <c r="OL3" s="40"/>
      <c r="OM3" s="40"/>
      <c r="ON3" s="40"/>
      <c r="OO3" s="40"/>
      <c r="OP3" s="40"/>
      <c r="OQ3" s="40"/>
      <c r="OR3" s="40"/>
      <c r="OS3" s="40"/>
      <c r="OT3" s="40"/>
      <c r="OU3" s="40"/>
      <c r="OV3" s="40"/>
      <c r="OW3" s="40"/>
      <c r="OX3" s="40"/>
      <c r="OY3" s="40"/>
      <c r="OZ3" s="40"/>
      <c r="PA3" s="40"/>
      <c r="PB3" s="40"/>
      <c r="PC3" s="40"/>
      <c r="PD3" s="40"/>
      <c r="PE3" s="40"/>
      <c r="PF3" s="40"/>
      <c r="PG3" s="40"/>
      <c r="PH3" s="40"/>
      <c r="PI3" s="40"/>
      <c r="PJ3" s="40"/>
      <c r="PK3" s="40"/>
      <c r="PL3" s="40"/>
      <c r="PM3" s="40"/>
      <c r="PN3" s="40"/>
      <c r="PO3" s="40"/>
      <c r="PP3" s="40"/>
      <c r="PQ3" s="40"/>
      <c r="PR3" s="40"/>
      <c r="PS3" s="40"/>
      <c r="PT3" s="40"/>
      <c r="PU3" s="40"/>
      <c r="PV3" s="40"/>
      <c r="PW3" s="40"/>
      <c r="PX3" s="40"/>
      <c r="PY3" s="40"/>
      <c r="PZ3" s="40"/>
      <c r="QA3" s="40"/>
      <c r="QB3" s="40"/>
      <c r="QC3" s="40"/>
      <c r="QD3" s="40"/>
      <c r="QE3" s="40"/>
      <c r="QF3" s="40"/>
      <c r="QG3" s="40"/>
      <c r="QH3" s="40"/>
      <c r="QI3" s="40"/>
      <c r="QJ3" s="40"/>
      <c r="QK3" s="40"/>
      <c r="QL3" s="40"/>
      <c r="QM3" s="40"/>
      <c r="QN3" s="40"/>
      <c r="QO3" s="40"/>
      <c r="QP3" s="40"/>
      <c r="QQ3" s="40"/>
      <c r="QR3" s="40"/>
      <c r="QS3" s="40"/>
      <c r="QT3" s="40"/>
      <c r="QU3" s="40"/>
      <c r="QV3" s="40"/>
      <c r="QW3" s="40"/>
      <c r="QX3" s="40"/>
      <c r="QY3" s="40"/>
      <c r="QZ3" s="40"/>
      <c r="RA3" s="40"/>
      <c r="RB3" s="40"/>
      <c r="RC3" s="40"/>
      <c r="RD3" s="40"/>
      <c r="RE3" s="40"/>
      <c r="RF3" s="40"/>
      <c r="RG3" s="40"/>
      <c r="RH3" s="40"/>
      <c r="RI3" s="40"/>
      <c r="RJ3" s="40"/>
      <c r="RK3" s="40"/>
      <c r="RL3" s="40"/>
      <c r="RM3" s="40"/>
      <c r="RN3" s="40"/>
      <c r="RO3" s="40"/>
      <c r="RP3" s="40"/>
      <c r="RQ3" s="40"/>
      <c r="RR3" s="40"/>
      <c r="RS3" s="40"/>
      <c r="RT3" s="40"/>
      <c r="RU3" s="40"/>
      <c r="RV3" s="40"/>
      <c r="RW3" s="40"/>
      <c r="RX3" s="40"/>
      <c r="RY3" s="40"/>
      <c r="RZ3" s="40"/>
      <c r="SA3" s="40"/>
      <c r="SB3" s="40"/>
      <c r="SC3" s="40"/>
      <c r="SD3" s="40"/>
      <c r="SE3" s="40"/>
      <c r="SF3" s="40"/>
      <c r="SG3" s="40"/>
      <c r="SH3" s="40"/>
      <c r="SI3" s="40"/>
      <c r="SJ3" s="40"/>
      <c r="SK3" s="40"/>
      <c r="SL3" s="40"/>
      <c r="SM3" s="40"/>
      <c r="SN3" s="40"/>
      <c r="SO3" s="40"/>
      <c r="SP3" s="40"/>
      <c r="SQ3" s="40"/>
      <c r="SR3" s="40"/>
      <c r="SS3" s="40"/>
      <c r="ST3" s="40"/>
      <c r="SU3" s="40"/>
      <c r="SV3" s="40"/>
      <c r="SW3" s="40"/>
      <c r="SX3" s="40"/>
      <c r="SY3" s="40"/>
      <c r="SZ3" s="40"/>
      <c r="TA3" s="40"/>
      <c r="TB3" s="40"/>
      <c r="TC3" s="40"/>
      <c r="TD3" s="40"/>
      <c r="TE3" s="40"/>
      <c r="TF3" s="40"/>
      <c r="TG3" s="40"/>
      <c r="TH3" s="40"/>
      <c r="TI3" s="40"/>
      <c r="TJ3" s="40"/>
      <c r="TK3" s="40"/>
      <c r="TL3" s="40"/>
      <c r="TM3" s="40"/>
      <c r="TN3" s="40"/>
      <c r="TO3" s="40"/>
      <c r="TP3" s="40"/>
      <c r="TQ3" s="40"/>
      <c r="TR3" s="40"/>
      <c r="TS3" s="40"/>
      <c r="TT3" s="40"/>
      <c r="TU3" s="40"/>
      <c r="TV3" s="40"/>
      <c r="TW3" s="40"/>
      <c r="TX3" s="40"/>
      <c r="TY3" s="40"/>
      <c r="TZ3" s="40"/>
      <c r="UA3" s="40"/>
      <c r="UB3" s="40"/>
      <c r="UC3" s="40"/>
      <c r="UD3" s="40"/>
      <c r="UE3" s="40"/>
      <c r="UF3" s="40"/>
      <c r="UG3" s="40"/>
      <c r="UH3" s="40"/>
      <c r="UI3" s="40"/>
      <c r="UJ3" s="40"/>
      <c r="UK3" s="40"/>
      <c r="UL3" s="40"/>
      <c r="UM3" s="40"/>
      <c r="UN3" s="40"/>
      <c r="UO3" s="40"/>
      <c r="UP3" s="40"/>
      <c r="UQ3" s="40"/>
      <c r="UR3" s="40"/>
      <c r="US3" s="40"/>
      <c r="UT3" s="40"/>
      <c r="UU3" s="40"/>
      <c r="UV3" s="40"/>
      <c r="UW3" s="40"/>
      <c r="UX3" s="40"/>
      <c r="UY3" s="40"/>
      <c r="UZ3" s="40"/>
      <c r="VA3" s="40"/>
      <c r="VB3" s="40"/>
      <c r="VC3" s="40"/>
      <c r="VD3" s="40"/>
      <c r="VE3" s="40"/>
      <c r="VF3" s="40"/>
      <c r="VG3" s="40"/>
      <c r="VH3" s="40"/>
      <c r="VI3" s="40"/>
      <c r="VJ3" s="40"/>
      <c r="VK3" s="40"/>
      <c r="VL3" s="40"/>
      <c r="VM3" s="40"/>
      <c r="VN3" s="40"/>
      <c r="VO3" s="40"/>
      <c r="VP3" s="40"/>
      <c r="VQ3" s="40"/>
      <c r="VR3" s="40"/>
      <c r="VS3" s="40"/>
      <c r="VT3" s="40"/>
      <c r="VU3" s="40"/>
      <c r="VV3" s="40"/>
      <c r="VW3" s="40"/>
      <c r="VX3" s="40"/>
      <c r="VY3" s="40"/>
      <c r="VZ3" s="40"/>
      <c r="WA3" s="40"/>
      <c r="WB3" s="40"/>
      <c r="WC3" s="40"/>
      <c r="WD3" s="40"/>
      <c r="WE3" s="40"/>
      <c r="WF3" s="40"/>
      <c r="WG3" s="40"/>
      <c r="WH3" s="40"/>
      <c r="WI3" s="40"/>
      <c r="WJ3" s="40"/>
      <c r="WK3" s="40"/>
      <c r="WL3" s="40"/>
      <c r="WM3" s="40"/>
      <c r="WN3" s="40"/>
      <c r="WO3" s="40"/>
      <c r="WP3" s="40"/>
      <c r="WQ3" s="40"/>
      <c r="WR3" s="40"/>
      <c r="WS3" s="40"/>
      <c r="WT3" s="40"/>
      <c r="WU3" s="40"/>
      <c r="WV3" s="40"/>
      <c r="WW3" s="40"/>
      <c r="WX3" s="40"/>
      <c r="WY3" s="40"/>
      <c r="WZ3" s="40"/>
      <c r="XA3" s="40"/>
      <c r="XB3" s="40"/>
      <c r="XC3" s="40"/>
      <c r="XD3" s="40"/>
      <c r="XE3" s="40"/>
      <c r="XF3" s="40"/>
      <c r="XG3" s="40"/>
      <c r="XH3" s="40"/>
      <c r="XI3" s="40"/>
      <c r="XJ3" s="40"/>
      <c r="XK3" s="40"/>
      <c r="XL3" s="40"/>
      <c r="XM3" s="40"/>
      <c r="XN3" s="40"/>
      <c r="XO3" s="40"/>
      <c r="XP3" s="40"/>
      <c r="XQ3" s="40"/>
      <c r="XR3" s="40"/>
      <c r="XS3" s="40"/>
      <c r="XT3" s="40"/>
      <c r="XU3" s="40"/>
      <c r="XV3" s="40"/>
      <c r="XW3" s="40"/>
      <c r="XX3" s="40"/>
      <c r="XY3" s="40"/>
      <c r="XZ3" s="40"/>
      <c r="YA3" s="40"/>
      <c r="YB3" s="40"/>
      <c r="YC3" s="40"/>
      <c r="YD3" s="40"/>
      <c r="YE3" s="40"/>
      <c r="YF3" s="40"/>
      <c r="YG3" s="40"/>
      <c r="YH3" s="40"/>
      <c r="YI3" s="40"/>
      <c r="YJ3" s="40"/>
      <c r="YK3" s="40"/>
      <c r="YL3" s="40"/>
      <c r="YM3" s="40"/>
      <c r="YN3" s="40"/>
      <c r="YO3" s="40"/>
      <c r="YP3" s="40"/>
      <c r="YQ3" s="40"/>
      <c r="YR3" s="40"/>
      <c r="YS3" s="40"/>
      <c r="YT3" s="40"/>
      <c r="YU3" s="40"/>
      <c r="YV3" s="40"/>
      <c r="YW3" s="40"/>
      <c r="YX3" s="40"/>
      <c r="YY3" s="40"/>
      <c r="YZ3" s="40"/>
      <c r="ZA3" s="40"/>
      <c r="ZB3" s="40"/>
      <c r="ZC3" s="40"/>
      <c r="ZD3" s="40"/>
      <c r="ZE3" s="40"/>
      <c r="ZF3" s="40"/>
      <c r="ZG3" s="40"/>
      <c r="ZH3" s="40"/>
      <c r="ZI3" s="40"/>
      <c r="ZJ3" s="40"/>
      <c r="ZK3" s="40"/>
      <c r="ZL3" s="40"/>
      <c r="ZM3" s="40"/>
      <c r="ZN3" s="40"/>
      <c r="ZO3" s="40"/>
      <c r="ZP3" s="40"/>
      <c r="ZQ3" s="40"/>
      <c r="ZR3" s="40"/>
      <c r="ZS3" s="40"/>
      <c r="ZT3" s="40"/>
      <c r="ZU3" s="40"/>
      <c r="ZV3" s="40"/>
      <c r="ZW3" s="40"/>
      <c r="ZX3" s="40"/>
      <c r="ZY3" s="40"/>
      <c r="ZZ3" s="40"/>
      <c r="AAA3" s="40"/>
      <c r="AAB3" s="40"/>
      <c r="AAC3" s="40"/>
      <c r="AAD3" s="40"/>
      <c r="AAE3" s="40"/>
      <c r="AAF3" s="40"/>
      <c r="AAG3" s="40"/>
      <c r="AAH3" s="40"/>
      <c r="AAI3" s="40"/>
      <c r="AAJ3" s="40"/>
      <c r="AAK3" s="40"/>
      <c r="AAL3" s="40"/>
      <c r="AAM3" s="40"/>
      <c r="AAN3" s="40"/>
      <c r="AAO3" s="40"/>
      <c r="AAP3" s="40"/>
      <c r="AAQ3" s="40"/>
      <c r="AAR3" s="40"/>
      <c r="AAS3" s="40"/>
      <c r="AAT3" s="40"/>
      <c r="AAU3" s="40"/>
      <c r="AAV3" s="40"/>
      <c r="AAW3" s="40"/>
      <c r="AAX3" s="40"/>
      <c r="AAY3" s="40"/>
      <c r="AAZ3" s="40"/>
      <c r="ABA3" s="40"/>
      <c r="ABB3" s="40"/>
      <c r="ABC3" s="40"/>
      <c r="ABD3" s="40"/>
      <c r="ABE3" s="40"/>
      <c r="ABF3" s="40"/>
      <c r="ABG3" s="40"/>
      <c r="ABH3" s="40"/>
      <c r="ABI3" s="40"/>
      <c r="ABJ3" s="40"/>
      <c r="ABK3" s="40"/>
      <c r="ABL3" s="40"/>
      <c r="ABM3" s="40"/>
      <c r="ABN3" s="40"/>
      <c r="ABO3" s="40"/>
      <c r="ABP3" s="40"/>
      <c r="ABQ3" s="40"/>
      <c r="ABR3" s="40"/>
      <c r="ABS3" s="40"/>
      <c r="ABT3" s="40"/>
      <c r="ABU3" s="40"/>
      <c r="ABV3" s="40"/>
      <c r="ABW3" s="40"/>
      <c r="ABX3" s="40"/>
      <c r="ABY3" s="40"/>
      <c r="ABZ3" s="40"/>
      <c r="ACA3" s="40"/>
      <c r="ACB3" s="40"/>
      <c r="ACC3" s="40"/>
      <c r="ACD3" s="40"/>
      <c r="ACE3" s="40"/>
      <c r="ACF3" s="40"/>
      <c r="ACG3" s="40"/>
      <c r="ACH3" s="40"/>
      <c r="ACI3" s="40"/>
      <c r="ACJ3" s="40"/>
      <c r="ACK3" s="40"/>
      <c r="ACL3" s="40"/>
      <c r="ACM3" s="40"/>
      <c r="ACN3" s="40"/>
      <c r="ACO3" s="40"/>
      <c r="ACP3" s="40"/>
      <c r="ACQ3" s="40"/>
      <c r="ACR3" s="40"/>
      <c r="ACS3" s="40"/>
      <c r="ACT3" s="40"/>
      <c r="ACU3" s="40"/>
      <c r="ACV3" s="40"/>
      <c r="ACW3" s="40"/>
      <c r="ACX3" s="40"/>
      <c r="ACY3" s="40"/>
      <c r="ACZ3" s="40"/>
      <c r="ADA3" s="40"/>
      <c r="ADB3" s="40"/>
      <c r="ADC3" s="40"/>
      <c r="ADD3" s="40"/>
      <c r="ADE3" s="40"/>
      <c r="ADF3" s="40"/>
      <c r="ADG3" s="40"/>
      <c r="ADH3" s="40"/>
      <c r="ADI3" s="40"/>
      <c r="ADJ3" s="40"/>
      <c r="ADK3" s="40"/>
      <c r="ADL3" s="40"/>
      <c r="ADM3" s="40"/>
      <c r="ADN3" s="40"/>
      <c r="ADO3" s="40"/>
      <c r="ADP3" s="40"/>
      <c r="ADQ3" s="40"/>
      <c r="ADR3" s="40"/>
      <c r="ADS3" s="40"/>
      <c r="ADT3" s="40"/>
      <c r="ADU3" s="40"/>
      <c r="ADV3" s="40"/>
      <c r="ADW3" s="40"/>
      <c r="ADX3" s="40"/>
      <c r="ADY3" s="40"/>
      <c r="ADZ3" s="40"/>
      <c r="AEA3" s="40"/>
      <c r="AEB3" s="40"/>
      <c r="AEC3" s="40"/>
      <c r="AED3" s="40"/>
      <c r="AEE3" s="40"/>
      <c r="AEF3" s="40"/>
      <c r="AEG3" s="40"/>
      <c r="AEH3" s="40"/>
      <c r="AEI3" s="40"/>
      <c r="AEJ3" s="40"/>
      <c r="AEK3" s="40"/>
      <c r="AEL3" s="40"/>
      <c r="AEM3" s="40"/>
      <c r="AEN3" s="40"/>
      <c r="AEO3" s="40"/>
      <c r="AEP3" s="40"/>
      <c r="AEQ3" s="40"/>
      <c r="AER3" s="40"/>
      <c r="AES3" s="40"/>
      <c r="AET3" s="40"/>
      <c r="AEU3" s="40"/>
      <c r="AEV3" s="40"/>
      <c r="AEW3" s="40"/>
      <c r="AEX3" s="40"/>
      <c r="AEY3" s="40"/>
      <c r="AEZ3" s="40"/>
      <c r="AFA3" s="40"/>
      <c r="AFB3" s="40"/>
      <c r="AFC3" s="40"/>
      <c r="AFD3" s="40"/>
      <c r="AFE3" s="40"/>
      <c r="AFF3" s="40"/>
      <c r="AFG3" s="40"/>
      <c r="AFH3" s="40"/>
      <c r="AFI3" s="40"/>
      <c r="AFJ3" s="40"/>
      <c r="AFK3" s="40"/>
      <c r="AFL3" s="40"/>
      <c r="AFM3" s="40"/>
      <c r="AFN3" s="40"/>
      <c r="AFO3" s="40"/>
      <c r="AFP3" s="40"/>
      <c r="AFQ3" s="40"/>
      <c r="AFR3" s="40"/>
      <c r="AFS3" s="40"/>
      <c r="AFT3" s="40"/>
      <c r="AFU3" s="40"/>
      <c r="AFV3" s="40"/>
      <c r="AFW3" s="40"/>
      <c r="AFX3" s="40"/>
      <c r="AFY3" s="40"/>
      <c r="AFZ3" s="40"/>
      <c r="AGA3" s="40"/>
      <c r="AGB3" s="40"/>
      <c r="AGC3" s="40"/>
      <c r="AGD3" s="40"/>
      <c r="AGE3" s="40"/>
      <c r="AGF3" s="40"/>
      <c r="AGG3" s="40"/>
      <c r="AGH3" s="40"/>
      <c r="AGI3" s="40"/>
      <c r="AGJ3" s="40"/>
      <c r="AGK3" s="40"/>
      <c r="AGL3" s="40"/>
      <c r="AGM3" s="40"/>
      <c r="AGN3" s="40"/>
      <c r="AGO3" s="40"/>
      <c r="AGP3" s="40"/>
      <c r="AGQ3" s="40"/>
      <c r="AGR3" s="40"/>
      <c r="AGS3" s="40"/>
      <c r="AGT3" s="40"/>
      <c r="AGU3" s="40"/>
      <c r="AGV3" s="40"/>
      <c r="AGW3" s="40"/>
      <c r="AGX3" s="40"/>
      <c r="AGY3" s="40"/>
      <c r="AGZ3" s="40"/>
      <c r="AHA3" s="40"/>
      <c r="AHB3" s="40"/>
      <c r="AHC3" s="40"/>
      <c r="AHD3" s="40"/>
      <c r="AHE3" s="40"/>
      <c r="AHF3" s="40"/>
      <c r="AHG3" s="40"/>
      <c r="AHH3" s="40"/>
      <c r="AHI3" s="40"/>
      <c r="AHJ3" s="40"/>
      <c r="AHK3" s="40"/>
      <c r="AHL3" s="40"/>
      <c r="AHM3" s="40"/>
      <c r="AHN3" s="40"/>
      <c r="AHO3" s="40"/>
      <c r="AHP3" s="40"/>
      <c r="AHQ3" s="40"/>
      <c r="AHR3" s="40"/>
      <c r="AHS3" s="40"/>
      <c r="AHT3" s="40"/>
      <c r="AHU3" s="40"/>
      <c r="AHV3" s="40"/>
      <c r="AHW3" s="40"/>
      <c r="AHX3" s="40"/>
      <c r="AHY3" s="40"/>
      <c r="AHZ3" s="40"/>
      <c r="AIA3" s="40"/>
      <c r="AIB3" s="40"/>
      <c r="AIC3" s="40"/>
      <c r="AID3" s="40"/>
      <c r="AIE3" s="40"/>
      <c r="AIF3" s="40"/>
      <c r="AIG3" s="40"/>
      <c r="AIH3" s="40"/>
      <c r="AII3" s="40"/>
      <c r="AIJ3" s="40"/>
      <c r="AIK3" s="40"/>
      <c r="AIL3" s="40"/>
      <c r="AIM3" s="40"/>
      <c r="AIN3" s="40"/>
      <c r="AIO3" s="40"/>
      <c r="AIP3" s="40"/>
      <c r="AIQ3" s="40"/>
      <c r="AIR3" s="40"/>
      <c r="AIS3" s="40"/>
      <c r="AIT3" s="40"/>
      <c r="AIU3" s="40"/>
      <c r="AIV3" s="40"/>
      <c r="AIW3" s="40"/>
      <c r="AIX3" s="40"/>
      <c r="AIY3" s="40"/>
      <c r="AIZ3" s="40"/>
      <c r="AJA3" s="40"/>
      <c r="AJB3" s="40"/>
      <c r="AJC3" s="40"/>
      <c r="AJD3" s="40"/>
      <c r="AJE3" s="40"/>
      <c r="AJF3" s="40"/>
      <c r="AJG3" s="40"/>
      <c r="AJH3" s="40"/>
      <c r="AJI3" s="40"/>
      <c r="AJJ3" s="40"/>
      <c r="AJK3" s="40"/>
      <c r="AJL3" s="40"/>
      <c r="AJM3" s="40"/>
      <c r="AJN3" s="40"/>
      <c r="AJO3" s="40"/>
      <c r="AJP3" s="40"/>
      <c r="AJQ3" s="40"/>
      <c r="AJR3" s="40"/>
      <c r="AJS3" s="40"/>
      <c r="AJT3" s="40"/>
      <c r="AJU3" s="40"/>
      <c r="AJV3" s="40"/>
      <c r="AJW3" s="40"/>
      <c r="AJX3" s="40"/>
      <c r="AJY3" s="40"/>
      <c r="AJZ3" s="40"/>
      <c r="AKA3" s="40"/>
      <c r="AKB3" s="40"/>
      <c r="AKC3" s="40"/>
      <c r="AKD3" s="40"/>
      <c r="AKE3" s="40"/>
      <c r="AKF3" s="40"/>
      <c r="AKG3" s="40"/>
      <c r="AKH3" s="40"/>
      <c r="AKI3" s="40"/>
      <c r="AKJ3" s="40"/>
      <c r="AKK3" s="40"/>
      <c r="AKL3" s="40"/>
      <c r="AKM3" s="40"/>
      <c r="AKN3" s="40"/>
      <c r="AKO3" s="40"/>
      <c r="AKP3" s="40"/>
      <c r="AKQ3" s="40"/>
      <c r="AKR3" s="40"/>
      <c r="AKS3" s="40"/>
      <c r="AKT3" s="40"/>
      <c r="AKU3" s="40"/>
      <c r="AKV3" s="40"/>
      <c r="AKW3" s="40"/>
      <c r="AKX3" s="40"/>
      <c r="AKY3" s="40"/>
      <c r="AKZ3" s="40"/>
      <c r="ALA3" s="40"/>
      <c r="ALB3" s="40"/>
      <c r="ALC3" s="40"/>
      <c r="ALD3" s="40"/>
      <c r="ALE3" s="40"/>
      <c r="ALF3" s="40"/>
      <c r="ALG3" s="40"/>
      <c r="ALH3" s="40"/>
      <c r="ALI3" s="40"/>
      <c r="ALJ3" s="40"/>
      <c r="ALK3" s="40"/>
      <c r="ALL3" s="40"/>
      <c r="ALM3" s="40"/>
    </row>
    <row r="4" spans="1:1022" ht="15.75" customHeight="1" x14ac:dyDescent="0.25">
      <c r="A4" s="14" t="s">
        <v>1095</v>
      </c>
      <c r="B4" s="28" t="s">
        <v>58</v>
      </c>
      <c r="C4" s="28" t="s">
        <v>2320</v>
      </c>
      <c r="D4" s="17" t="s">
        <v>2325</v>
      </c>
      <c r="E4" s="90" t="s">
        <v>71</v>
      </c>
      <c r="F4" s="19"/>
      <c r="G4" s="20" t="s">
        <v>40</v>
      </c>
      <c r="H4" s="29" t="s">
        <v>71</v>
      </c>
      <c r="I4" s="30" t="s">
        <v>63</v>
      </c>
      <c r="J4" s="30" t="s">
        <v>64</v>
      </c>
      <c r="K4" s="30" t="s">
        <v>64</v>
      </c>
      <c r="L4" s="30" t="s">
        <v>63</v>
      </c>
      <c r="M4" s="30" t="s">
        <v>63</v>
      </c>
      <c r="N4" s="25"/>
      <c r="O4" s="25"/>
      <c r="P4" s="25"/>
    </row>
    <row r="5" spans="1:1022" ht="15.75" customHeight="1" x14ac:dyDescent="0.25">
      <c r="A5" s="14" t="s">
        <v>1097</v>
      </c>
      <c r="B5" s="28" t="s">
        <v>2141</v>
      </c>
      <c r="C5" s="28" t="s">
        <v>2116</v>
      </c>
      <c r="D5" s="17"/>
      <c r="E5" s="18"/>
      <c r="F5" s="19"/>
      <c r="G5" s="20" t="s">
        <v>42</v>
      </c>
      <c r="H5" s="32" t="s">
        <v>2114</v>
      </c>
      <c r="I5" s="33" t="s">
        <v>767</v>
      </c>
      <c r="J5" s="25" t="s">
        <v>2113</v>
      </c>
      <c r="K5" s="25" t="s">
        <v>2113</v>
      </c>
      <c r="L5" s="226" t="s">
        <v>2140</v>
      </c>
      <c r="M5" s="25"/>
      <c r="N5" s="25"/>
      <c r="O5" s="25"/>
      <c r="P5" s="25"/>
    </row>
    <row r="6" spans="1:1022" ht="15.75" customHeight="1" x14ac:dyDescent="0.25">
      <c r="A6" s="14" t="s">
        <v>1100</v>
      </c>
      <c r="B6" s="28" t="s">
        <v>2141</v>
      </c>
      <c r="C6" s="28" t="s">
        <v>2116</v>
      </c>
      <c r="D6" s="17"/>
      <c r="E6" s="18"/>
      <c r="F6" s="19"/>
      <c r="G6" s="20" t="s">
        <v>44</v>
      </c>
      <c r="H6" s="32" t="s">
        <v>2112</v>
      </c>
      <c r="I6" s="33" t="s">
        <v>767</v>
      </c>
      <c r="J6" s="25" t="s">
        <v>2113</v>
      </c>
      <c r="K6" s="206"/>
      <c r="M6" s="206"/>
      <c r="N6" s="25"/>
      <c r="O6" s="25"/>
      <c r="P6" s="25"/>
    </row>
    <row r="7" spans="1:1022" ht="15.75" customHeight="1" x14ac:dyDescent="0.25">
      <c r="A7" s="14" t="s">
        <v>1103</v>
      </c>
      <c r="B7" s="28" t="s">
        <v>2141</v>
      </c>
      <c r="C7" s="28" t="s">
        <v>2116</v>
      </c>
      <c r="D7" s="17"/>
      <c r="E7" s="18"/>
      <c r="F7" s="19"/>
      <c r="G7" s="20" t="s">
        <v>46</v>
      </c>
      <c r="H7" s="32" t="s">
        <v>77</v>
      </c>
      <c r="I7" s="33" t="s">
        <v>767</v>
      </c>
      <c r="J7" s="226" t="s">
        <v>2140</v>
      </c>
      <c r="K7" s="206"/>
      <c r="L7" s="25"/>
      <c r="M7" s="25"/>
      <c r="N7" s="25"/>
      <c r="O7" s="25"/>
      <c r="P7" s="25"/>
    </row>
    <row r="8" spans="1:1022" ht="15.75" customHeight="1" x14ac:dyDescent="0.25">
      <c r="A8" s="14" t="s">
        <v>1106</v>
      </c>
      <c r="B8" s="213" t="s">
        <v>552</v>
      </c>
      <c r="C8" s="28" t="s">
        <v>836</v>
      </c>
      <c r="D8" s="215"/>
      <c r="E8" s="216"/>
      <c r="F8" s="19"/>
      <c r="G8" s="20" t="s">
        <v>48</v>
      </c>
      <c r="H8" s="32" t="s">
        <v>14</v>
      </c>
      <c r="I8" s="33"/>
      <c r="J8" s="34" t="s">
        <v>2202</v>
      </c>
      <c r="K8" s="25"/>
      <c r="L8" s="25"/>
      <c r="M8" s="25"/>
      <c r="N8" s="25"/>
      <c r="O8" s="25"/>
      <c r="P8" s="25"/>
    </row>
    <row r="9" spans="1:1022" ht="15.75" customHeight="1" x14ac:dyDescent="0.25">
      <c r="A9" s="14" t="s">
        <v>1109</v>
      </c>
      <c r="B9" s="28"/>
      <c r="C9" s="28"/>
      <c r="D9" s="17"/>
      <c r="E9" s="18"/>
      <c r="F9" s="19"/>
      <c r="G9" s="20" t="s">
        <v>50</v>
      </c>
      <c r="H9" s="32" t="s">
        <v>91</v>
      </c>
      <c r="I9" s="25"/>
      <c r="J9" s="30"/>
      <c r="K9" s="25"/>
      <c r="L9" s="25"/>
      <c r="M9" s="25"/>
      <c r="N9" s="25"/>
      <c r="O9" s="25"/>
      <c r="P9" s="25"/>
    </row>
    <row r="10" spans="1:1022" ht="15.75" customHeight="1" x14ac:dyDescent="0.25">
      <c r="A10" s="14" t="s">
        <v>1112</v>
      </c>
      <c r="B10" s="43" t="s">
        <v>2190</v>
      </c>
      <c r="C10" s="28" t="s">
        <v>2276</v>
      </c>
      <c r="D10" s="17" t="s">
        <v>2225</v>
      </c>
      <c r="E10" s="217" t="s">
        <v>94</v>
      </c>
      <c r="F10" s="218"/>
      <c r="G10" s="20" t="s">
        <v>52</v>
      </c>
      <c r="H10" s="219" t="s">
        <v>94</v>
      </c>
      <c r="I10" s="220"/>
      <c r="J10" s="221" t="s">
        <v>2190</v>
      </c>
      <c r="K10" s="221"/>
      <c r="L10" s="25"/>
      <c r="M10" s="25"/>
      <c r="N10" s="25"/>
      <c r="O10" s="25"/>
      <c r="P10" s="25"/>
      <c r="ALN10" s="1"/>
      <c r="ALO10" s="1"/>
      <c r="ALP10" s="1"/>
      <c r="ALQ10" s="1"/>
      <c r="ALR10" s="1"/>
      <c r="ALS10" s="1"/>
      <c r="ALT10" s="1"/>
      <c r="ALU10" s="1"/>
      <c r="ALV10" s="1"/>
      <c r="ALW10" s="1"/>
      <c r="ALX10" s="1"/>
      <c r="ALY10" s="1"/>
      <c r="ALZ10" s="1"/>
      <c r="AMA10" s="1"/>
      <c r="AMB10" s="1"/>
      <c r="AMC10" s="1"/>
      <c r="AMD10" s="1"/>
      <c r="AME10" s="1"/>
      <c r="AMF10" s="1"/>
      <c r="AMG10" s="1"/>
      <c r="AMH10" s="1"/>
    </row>
    <row r="11" spans="1:1022" ht="15.75" customHeight="1" x14ac:dyDescent="0.25">
      <c r="A11" s="14" t="s">
        <v>1116</v>
      </c>
      <c r="B11" s="43" t="s">
        <v>2190</v>
      </c>
      <c r="C11" s="28" t="s">
        <v>2319</v>
      </c>
      <c r="D11" s="17" t="s">
        <v>2191</v>
      </c>
      <c r="E11" s="90" t="s">
        <v>94</v>
      </c>
      <c r="F11" s="19"/>
      <c r="G11" s="20" t="s">
        <v>54</v>
      </c>
      <c r="H11" s="32" t="s">
        <v>94</v>
      </c>
      <c r="I11" s="25"/>
      <c r="J11" s="30" t="s">
        <v>2190</v>
      </c>
      <c r="K11" s="221" t="s">
        <v>1144</v>
      </c>
      <c r="L11" s="25"/>
      <c r="M11" s="25"/>
      <c r="N11" s="25"/>
      <c r="O11" s="25"/>
      <c r="P11" s="25"/>
      <c r="ALN11" s="1"/>
      <c r="ALO11" s="1"/>
      <c r="ALP11" s="1"/>
      <c r="ALQ11" s="1"/>
      <c r="ALR11" s="1"/>
      <c r="ALS11" s="1"/>
      <c r="ALT11" s="1"/>
      <c r="ALU11" s="1"/>
      <c r="ALV11" s="1"/>
      <c r="ALW11" s="1"/>
      <c r="ALX11" s="1"/>
      <c r="ALY11" s="1"/>
      <c r="ALZ11" s="1"/>
      <c r="AMA11" s="1"/>
      <c r="AMB11" s="1"/>
      <c r="AMC11" s="1"/>
      <c r="AMD11" s="1"/>
      <c r="AME11" s="1"/>
      <c r="AMF11" s="1"/>
      <c r="AMG11" s="1"/>
      <c r="AMH11" s="1"/>
    </row>
    <row r="12" spans="1:1022" ht="15.75" customHeight="1" x14ac:dyDescent="0.25">
      <c r="A12" s="14" t="s">
        <v>1121</v>
      </c>
      <c r="B12" s="28" t="s">
        <v>2137</v>
      </c>
      <c r="C12" s="28" t="s">
        <v>836</v>
      </c>
      <c r="D12" s="17"/>
      <c r="E12" s="18"/>
      <c r="F12" s="19"/>
      <c r="G12" s="20" t="s">
        <v>56</v>
      </c>
      <c r="H12" s="32" t="s">
        <v>119</v>
      </c>
      <c r="I12" s="25" t="s">
        <v>120</v>
      </c>
      <c r="J12" s="25" t="s">
        <v>120</v>
      </c>
      <c r="K12" s="25" t="s">
        <v>2121</v>
      </c>
      <c r="L12" s="25" t="s">
        <v>2120</v>
      </c>
      <c r="M12" s="25" t="s">
        <v>2119</v>
      </c>
      <c r="N12" s="25"/>
      <c r="O12" s="25"/>
      <c r="P12" s="25"/>
    </row>
    <row r="13" spans="1:1022" ht="15.75" customHeight="1" x14ac:dyDescent="0.25">
      <c r="A13" s="14" t="s">
        <v>57</v>
      </c>
      <c r="B13" s="28" t="s">
        <v>2137</v>
      </c>
      <c r="C13" s="28" t="s">
        <v>836</v>
      </c>
      <c r="D13" s="17"/>
      <c r="E13" s="18"/>
      <c r="F13" s="19"/>
      <c r="G13" s="20" t="s">
        <v>61</v>
      </c>
      <c r="H13" s="32" t="s">
        <v>123</v>
      </c>
      <c r="I13" s="25" t="s">
        <v>120</v>
      </c>
      <c r="J13" s="25" t="s">
        <v>120</v>
      </c>
      <c r="K13" s="25" t="s">
        <v>2121</v>
      </c>
      <c r="L13" s="25" t="s">
        <v>2120</v>
      </c>
      <c r="M13" s="25" t="s">
        <v>2119</v>
      </c>
      <c r="N13" s="25"/>
      <c r="O13" s="25"/>
      <c r="P13" s="25"/>
    </row>
    <row r="14" spans="1:1022" ht="15.75" customHeight="1" x14ac:dyDescent="0.25">
      <c r="A14" s="14" t="s">
        <v>66</v>
      </c>
      <c r="B14" s="28" t="s">
        <v>2137</v>
      </c>
      <c r="C14" s="28" t="s">
        <v>836</v>
      </c>
      <c r="D14" s="17"/>
      <c r="E14" s="18"/>
      <c r="F14" s="19"/>
      <c r="G14" s="20" t="s">
        <v>68</v>
      </c>
      <c r="H14" s="32" t="s">
        <v>126</v>
      </c>
      <c r="I14" s="25" t="s">
        <v>120</v>
      </c>
      <c r="J14" s="25" t="s">
        <v>120</v>
      </c>
      <c r="K14" s="25" t="s">
        <v>2121</v>
      </c>
      <c r="L14" s="25" t="s">
        <v>2120</v>
      </c>
      <c r="M14" s="25" t="s">
        <v>2119</v>
      </c>
      <c r="N14" s="25"/>
      <c r="O14" s="25"/>
      <c r="P14" s="25"/>
    </row>
    <row r="15" spans="1:1022" ht="15.75" customHeight="1" x14ac:dyDescent="0.25">
      <c r="A15" s="14" t="s">
        <v>70</v>
      </c>
      <c r="B15" s="28">
        <v>185903</v>
      </c>
      <c r="C15" s="28"/>
      <c r="D15" s="17" t="s">
        <v>811</v>
      </c>
      <c r="E15" s="208" t="s">
        <v>141</v>
      </c>
      <c r="F15" s="209"/>
      <c r="G15" s="20" t="s">
        <v>72</v>
      </c>
      <c r="H15" s="32" t="s">
        <v>141</v>
      </c>
      <c r="I15" s="25" t="s">
        <v>143</v>
      </c>
      <c r="J15" s="34" t="s">
        <v>143</v>
      </c>
      <c r="K15" s="25"/>
      <c r="L15" s="25"/>
      <c r="M15" s="25"/>
      <c r="N15" s="25"/>
      <c r="O15" s="25"/>
      <c r="P15" s="25"/>
    </row>
    <row r="16" spans="1:1022" ht="15.75" customHeight="1" x14ac:dyDescent="0.25">
      <c r="A16" s="14" t="s">
        <v>75</v>
      </c>
      <c r="B16" s="28">
        <v>185903</v>
      </c>
      <c r="C16" s="28"/>
      <c r="D16" s="17" t="s">
        <v>811</v>
      </c>
      <c r="E16" s="90" t="s">
        <v>2138</v>
      </c>
      <c r="F16" s="19"/>
      <c r="G16" s="20" t="s">
        <v>76</v>
      </c>
      <c r="H16" s="32" t="s">
        <v>138</v>
      </c>
      <c r="I16" s="25" t="s">
        <v>2228</v>
      </c>
      <c r="J16" s="33"/>
      <c r="K16" s="25"/>
      <c r="L16" s="25"/>
      <c r="M16" s="25"/>
      <c r="N16" s="25"/>
      <c r="O16" s="25"/>
      <c r="P16" s="25"/>
    </row>
    <row r="17" spans="1:16" ht="15.75" customHeight="1" x14ac:dyDescent="0.25">
      <c r="A17" s="14" t="s">
        <v>78</v>
      </c>
      <c r="B17" s="28">
        <v>185903</v>
      </c>
      <c r="C17" s="28"/>
      <c r="D17" s="17" t="s">
        <v>811</v>
      </c>
      <c r="E17" s="208" t="s">
        <v>145</v>
      </c>
      <c r="F17" s="19"/>
      <c r="G17" s="20" t="s">
        <v>79</v>
      </c>
      <c r="H17" s="32" t="s">
        <v>147</v>
      </c>
      <c r="I17" s="25" t="s">
        <v>139</v>
      </c>
      <c r="J17" s="30"/>
      <c r="K17" s="25" t="s">
        <v>2279</v>
      </c>
      <c r="L17" s="25" t="s">
        <v>2280</v>
      </c>
      <c r="M17" s="25" t="s">
        <v>2281</v>
      </c>
      <c r="N17" s="25"/>
      <c r="O17" s="25"/>
      <c r="P17" s="25"/>
    </row>
    <row r="18" spans="1:16" ht="15.75" customHeight="1" x14ac:dyDescent="0.25">
      <c r="A18" s="14" t="s">
        <v>81</v>
      </c>
      <c r="B18" s="28" t="s">
        <v>2157</v>
      </c>
      <c r="C18" s="28" t="s">
        <v>2156</v>
      </c>
      <c r="D18" s="17" t="s">
        <v>2159</v>
      </c>
      <c r="E18" s="18"/>
      <c r="F18" s="19"/>
      <c r="G18" s="20" t="s">
        <v>82</v>
      </c>
      <c r="H18" s="32" t="s">
        <v>168</v>
      </c>
      <c r="I18" s="33"/>
      <c r="J18" s="30" t="s">
        <v>2155</v>
      </c>
      <c r="K18" s="25"/>
      <c r="L18" s="25"/>
      <c r="M18" s="25"/>
      <c r="N18" s="25"/>
      <c r="O18" s="25"/>
      <c r="P18" s="25"/>
    </row>
    <row r="19" spans="1:16" ht="15.75" customHeight="1" x14ac:dyDescent="0.25">
      <c r="A19" s="14" t="s">
        <v>84</v>
      </c>
      <c r="B19" s="28"/>
      <c r="C19" s="237" t="s">
        <v>2310</v>
      </c>
      <c r="D19" s="17" t="s">
        <v>2311</v>
      </c>
      <c r="E19" s="18"/>
      <c r="F19" s="19"/>
      <c r="G19" s="20" t="s">
        <v>85</v>
      </c>
      <c r="H19" s="32" t="s">
        <v>2309</v>
      </c>
      <c r="I19" s="25"/>
      <c r="J19" s="34" t="s">
        <v>2312</v>
      </c>
      <c r="K19" s="25"/>
      <c r="L19" s="25"/>
      <c r="M19" s="25"/>
      <c r="N19" s="25"/>
      <c r="O19" s="33"/>
      <c r="P19" s="33"/>
    </row>
    <row r="20" spans="1:16" ht="15.75" customHeight="1" x14ac:dyDescent="0.25">
      <c r="A20" s="14" t="s">
        <v>87</v>
      </c>
      <c r="B20" s="213" t="s">
        <v>552</v>
      </c>
      <c r="C20" s="230" t="s">
        <v>2303</v>
      </c>
      <c r="D20" s="17" t="s">
        <v>2305</v>
      </c>
      <c r="E20" s="18"/>
      <c r="F20" s="19"/>
      <c r="G20" s="20" t="s">
        <v>88</v>
      </c>
      <c r="H20" s="32" t="s">
        <v>2304</v>
      </c>
      <c r="I20" s="33"/>
      <c r="J20" s="33"/>
      <c r="K20" s="25"/>
      <c r="L20" s="25"/>
      <c r="M20" s="25"/>
      <c r="N20" s="25"/>
      <c r="O20" s="25"/>
      <c r="P20" s="25"/>
    </row>
    <row r="21" spans="1:16" ht="15.75" customHeight="1" x14ac:dyDescent="0.25">
      <c r="A21" s="14" t="s">
        <v>89</v>
      </c>
      <c r="B21" s="28">
        <v>38907000</v>
      </c>
      <c r="C21" s="28" t="s">
        <v>2175</v>
      </c>
      <c r="D21" s="17"/>
      <c r="E21" s="18" t="s">
        <v>2174</v>
      </c>
      <c r="F21" s="19"/>
      <c r="G21" s="20" t="s">
        <v>90</v>
      </c>
      <c r="H21" s="32" t="s">
        <v>183</v>
      </c>
      <c r="I21" s="25" t="s">
        <v>2173</v>
      </c>
      <c r="J21" s="34" t="s">
        <v>2173</v>
      </c>
      <c r="K21" s="206" t="s">
        <v>2306</v>
      </c>
      <c r="L21" s="206" t="s">
        <v>2307</v>
      </c>
      <c r="M21" s="25" t="s">
        <v>2308</v>
      </c>
      <c r="N21" s="25"/>
      <c r="O21" s="25"/>
      <c r="P21" s="25"/>
    </row>
    <row r="22" spans="1:16" ht="15.75" customHeight="1" x14ac:dyDescent="0.25">
      <c r="A22" s="14" t="s">
        <v>92</v>
      </c>
      <c r="B22" s="28" t="s">
        <v>2123</v>
      </c>
      <c r="C22" s="28" t="s">
        <v>2124</v>
      </c>
      <c r="D22" s="231"/>
      <c r="E22" s="18"/>
      <c r="F22" s="19"/>
      <c r="G22" s="20" t="s">
        <v>93</v>
      </c>
      <c r="H22" s="32" t="s">
        <v>192</v>
      </c>
      <c r="I22" s="25"/>
      <c r="J22" s="56"/>
      <c r="K22" s="25"/>
      <c r="L22" s="25"/>
      <c r="M22" s="25"/>
      <c r="N22" s="25"/>
      <c r="O22" s="34"/>
      <c r="P22" s="34"/>
    </row>
    <row r="23" spans="1:16" ht="15.75" customHeight="1" x14ac:dyDescent="0.25">
      <c r="A23" s="14" t="s">
        <v>95</v>
      </c>
      <c r="B23" s="28"/>
      <c r="C23" s="28"/>
      <c r="D23" s="16"/>
      <c r="E23" s="18"/>
      <c r="F23" s="19"/>
      <c r="G23" s="20" t="s">
        <v>96</v>
      </c>
      <c r="H23" s="32" t="s">
        <v>2252</v>
      </c>
      <c r="I23" s="25"/>
      <c r="J23" s="33"/>
      <c r="K23" s="25"/>
      <c r="L23" s="25"/>
      <c r="M23" s="25"/>
      <c r="N23" s="25"/>
      <c r="O23" s="30">
        <v>7605304</v>
      </c>
      <c r="P23" s="30"/>
    </row>
    <row r="24" spans="1:16" ht="15.75" customHeight="1" x14ac:dyDescent="0.25">
      <c r="A24" s="14" t="s">
        <v>97</v>
      </c>
      <c r="B24" s="28">
        <v>5914912039</v>
      </c>
      <c r="C24" s="210" t="s">
        <v>197</v>
      </c>
      <c r="D24" s="210"/>
      <c r="E24" s="18"/>
      <c r="F24" s="19"/>
      <c r="G24" s="20" t="s">
        <v>98</v>
      </c>
      <c r="H24" s="32" t="s">
        <v>199</v>
      </c>
      <c r="I24" s="28">
        <v>5914912039</v>
      </c>
      <c r="J24" s="30"/>
      <c r="K24" s="25"/>
      <c r="L24" s="25"/>
      <c r="M24" s="25"/>
      <c r="N24" s="25"/>
      <c r="O24" s="25"/>
      <c r="P24" s="25"/>
    </row>
    <row r="25" spans="1:16" ht="15.75" customHeight="1" x14ac:dyDescent="0.25">
      <c r="A25" s="14" t="s">
        <v>100</v>
      </c>
      <c r="B25" s="28">
        <v>5914912039</v>
      </c>
      <c r="C25" s="28" t="s">
        <v>200</v>
      </c>
      <c r="D25" s="28" t="s">
        <v>201</v>
      </c>
      <c r="E25" s="18"/>
      <c r="F25" s="19"/>
      <c r="G25" s="20" t="s">
        <v>101</v>
      </c>
      <c r="H25" s="32" t="s">
        <v>202</v>
      </c>
      <c r="I25" s="28">
        <v>5914912039</v>
      </c>
      <c r="J25" s="30"/>
      <c r="K25" s="25"/>
      <c r="L25" s="25"/>
      <c r="M25" s="25"/>
      <c r="N25" s="25"/>
      <c r="O25" s="25"/>
      <c r="P25" s="25"/>
    </row>
    <row r="26" spans="1:16" ht="15.75" customHeight="1" x14ac:dyDescent="0.25">
      <c r="A26" s="14" t="s">
        <v>103</v>
      </c>
      <c r="B26" s="28"/>
      <c r="C26" s="28" t="s">
        <v>2131</v>
      </c>
      <c r="D26" s="28"/>
      <c r="E26" s="18"/>
      <c r="F26" s="19"/>
      <c r="G26" s="20" t="s">
        <v>104</v>
      </c>
      <c r="H26" s="32" t="s">
        <v>989</v>
      </c>
      <c r="I26" s="28"/>
      <c r="J26" s="30" t="s">
        <v>2130</v>
      </c>
      <c r="K26" s="25"/>
      <c r="L26" s="25"/>
      <c r="M26" s="25"/>
      <c r="N26" s="25"/>
      <c r="O26" s="25"/>
      <c r="P26" s="25"/>
    </row>
    <row r="27" spans="1:16" ht="15.75" customHeight="1" x14ac:dyDescent="0.25">
      <c r="A27" s="14" t="s">
        <v>106</v>
      </c>
      <c r="B27" s="28"/>
      <c r="C27" s="28" t="s">
        <v>2133</v>
      </c>
      <c r="D27" s="28"/>
      <c r="E27" s="18"/>
      <c r="F27" s="19"/>
      <c r="G27" s="20" t="s">
        <v>107</v>
      </c>
      <c r="H27" s="32" t="s">
        <v>2132</v>
      </c>
      <c r="I27" s="28"/>
      <c r="J27" s="30"/>
      <c r="K27" s="25"/>
      <c r="L27" s="25"/>
      <c r="M27" s="25"/>
      <c r="N27" s="25"/>
      <c r="O27" s="25"/>
      <c r="P27" s="25"/>
    </row>
    <row r="28" spans="1:16" ht="15.75" customHeight="1" x14ac:dyDescent="0.25">
      <c r="A28" s="14" t="s">
        <v>108</v>
      </c>
      <c r="B28" s="28"/>
      <c r="C28" s="28" t="s">
        <v>2134</v>
      </c>
      <c r="D28" s="28"/>
      <c r="E28" s="18"/>
      <c r="F28" s="19"/>
      <c r="G28" s="20" t="s">
        <v>109</v>
      </c>
      <c r="H28" s="32" t="s">
        <v>2132</v>
      </c>
      <c r="I28" s="28"/>
      <c r="J28" s="30"/>
      <c r="K28" s="25"/>
      <c r="L28" s="25"/>
      <c r="M28" s="25"/>
      <c r="N28" s="25"/>
      <c r="O28" s="25"/>
      <c r="P28" s="25"/>
    </row>
    <row r="29" spans="1:16" ht="15.75" customHeight="1" x14ac:dyDescent="0.25">
      <c r="A29" s="14" t="s">
        <v>111</v>
      </c>
      <c r="B29" s="28">
        <v>706967</v>
      </c>
      <c r="C29" s="28" t="s">
        <v>2197</v>
      </c>
      <c r="D29" s="17" t="s">
        <v>2198</v>
      </c>
      <c r="E29" s="18"/>
      <c r="F29" s="19"/>
      <c r="G29" s="20" t="s">
        <v>112</v>
      </c>
      <c r="H29" s="32" t="s">
        <v>2194</v>
      </c>
      <c r="I29" s="25"/>
      <c r="J29" s="30" t="s">
        <v>2195</v>
      </c>
      <c r="K29" s="25" t="s">
        <v>739</v>
      </c>
      <c r="L29" s="25"/>
      <c r="M29" s="25"/>
      <c r="N29" s="25"/>
      <c r="O29" s="25"/>
      <c r="P29" s="25"/>
    </row>
    <row r="30" spans="1:16" ht="15.75" customHeight="1" x14ac:dyDescent="0.25">
      <c r="A30" s="14" t="s">
        <v>114</v>
      </c>
      <c r="B30" s="225" t="s">
        <v>2274</v>
      </c>
      <c r="C30" s="225" t="s">
        <v>2317</v>
      </c>
      <c r="D30" s="215"/>
      <c r="E30" s="18"/>
      <c r="F30" s="19"/>
      <c r="G30" s="20" t="s">
        <v>115</v>
      </c>
      <c r="H30" s="32" t="s">
        <v>2329</v>
      </c>
      <c r="I30" s="25" t="s">
        <v>2275</v>
      </c>
      <c r="J30" s="30" t="s">
        <v>2204</v>
      </c>
      <c r="K30" s="25" t="s">
        <v>2216</v>
      </c>
      <c r="L30" s="25" t="s">
        <v>2217</v>
      </c>
      <c r="M30" s="25" t="s">
        <v>2218</v>
      </c>
      <c r="N30" s="25"/>
      <c r="O30" s="25"/>
      <c r="P30" s="25">
        <v>707058</v>
      </c>
    </row>
    <row r="31" spans="1:16" ht="15.75" customHeight="1" x14ac:dyDescent="0.25">
      <c r="A31" s="14" t="s">
        <v>117</v>
      </c>
      <c r="B31" s="28" t="s">
        <v>2117</v>
      </c>
      <c r="C31" s="28" t="s">
        <v>2118</v>
      </c>
      <c r="D31" s="17"/>
      <c r="E31" s="18"/>
      <c r="F31" s="19"/>
      <c r="G31" s="20" t="s">
        <v>118</v>
      </c>
      <c r="H31" s="32" t="s">
        <v>355</v>
      </c>
      <c r="I31" s="33" t="s">
        <v>2117</v>
      </c>
      <c r="J31" s="30"/>
      <c r="K31" s="25" t="s">
        <v>2282</v>
      </c>
      <c r="L31" s="25" t="s">
        <v>2283</v>
      </c>
      <c r="M31" s="25" t="s">
        <v>2284</v>
      </c>
      <c r="N31" s="33"/>
      <c r="O31" s="69"/>
      <c r="P31" s="69"/>
    </row>
    <row r="32" spans="1:16" ht="15.75" customHeight="1" x14ac:dyDescent="0.25">
      <c r="A32" s="14" t="s">
        <v>1167</v>
      </c>
      <c r="B32" s="51"/>
      <c r="C32" s="51"/>
      <c r="D32" s="215"/>
      <c r="E32" s="18"/>
      <c r="F32" s="19"/>
      <c r="G32" s="20" t="s">
        <v>1169</v>
      </c>
      <c r="H32" s="203" t="s">
        <v>257</v>
      </c>
      <c r="I32" s="25"/>
      <c r="J32" s="30"/>
      <c r="K32" s="25"/>
      <c r="L32" s="25"/>
      <c r="M32" s="25"/>
      <c r="N32" s="25"/>
      <c r="O32" s="25"/>
      <c r="P32" s="25"/>
    </row>
    <row r="33" spans="1:16" ht="15.75" customHeight="1" x14ac:dyDescent="0.25">
      <c r="A33" s="14" t="s">
        <v>121</v>
      </c>
      <c r="B33" s="28" t="s">
        <v>2176</v>
      </c>
      <c r="C33" s="28"/>
      <c r="D33" s="17" t="s">
        <v>1311</v>
      </c>
      <c r="E33" s="90" t="s">
        <v>263</v>
      </c>
      <c r="F33" s="19"/>
      <c r="G33" s="20" t="s">
        <v>122</v>
      </c>
      <c r="H33" s="32" t="s">
        <v>263</v>
      </c>
      <c r="I33" s="25" t="s">
        <v>2176</v>
      </c>
      <c r="J33" s="30"/>
      <c r="K33" s="25"/>
      <c r="L33" s="25"/>
      <c r="M33" s="25"/>
      <c r="N33" s="25"/>
      <c r="O33" s="25"/>
      <c r="P33" s="25"/>
    </row>
    <row r="34" spans="1:16" ht="15.75" customHeight="1" x14ac:dyDescent="0.25">
      <c r="A34" s="14" t="s">
        <v>1186</v>
      </c>
      <c r="B34" s="28">
        <v>6643764265</v>
      </c>
      <c r="C34" s="28" t="s">
        <v>2241</v>
      </c>
      <c r="D34" s="17"/>
      <c r="E34" s="18"/>
      <c r="F34" s="19"/>
      <c r="G34" s="20" t="s">
        <v>1188</v>
      </c>
      <c r="H34" s="32" t="s">
        <v>811</v>
      </c>
      <c r="I34" s="25"/>
      <c r="J34" s="30" t="s">
        <v>2158</v>
      </c>
      <c r="K34" s="25"/>
      <c r="L34" s="25"/>
      <c r="M34" s="25"/>
      <c r="N34" s="25"/>
      <c r="O34" s="25"/>
      <c r="P34" s="25"/>
    </row>
    <row r="35" spans="1:16" ht="15.75" customHeight="1" x14ac:dyDescent="0.25">
      <c r="A35" s="14" t="s">
        <v>1190</v>
      </c>
      <c r="B35" s="28" t="s">
        <v>2166</v>
      </c>
      <c r="C35" s="210" t="s">
        <v>2168</v>
      </c>
      <c r="D35" s="17" t="s">
        <v>2172</v>
      </c>
      <c r="E35" s="18"/>
      <c r="F35" s="19"/>
      <c r="G35" s="20" t="s">
        <v>1192</v>
      </c>
      <c r="H35" s="32" t="s">
        <v>2135</v>
      </c>
      <c r="I35" s="206"/>
      <c r="J35" s="204"/>
      <c r="K35" s="25"/>
      <c r="L35" s="25"/>
      <c r="M35" s="25"/>
      <c r="N35" s="25"/>
      <c r="O35" s="25"/>
      <c r="P35" s="25"/>
    </row>
    <row r="36" spans="1:16" ht="15.75" customHeight="1" x14ac:dyDescent="0.25">
      <c r="A36" s="14" t="s">
        <v>124</v>
      </c>
      <c r="B36" s="28" t="s">
        <v>16</v>
      </c>
      <c r="C36" s="210" t="s">
        <v>2167</v>
      </c>
      <c r="D36" s="17"/>
      <c r="E36" s="18"/>
      <c r="F36" s="19"/>
      <c r="G36" s="20" t="s">
        <v>125</v>
      </c>
      <c r="H36" s="32" t="s">
        <v>2135</v>
      </c>
      <c r="I36" s="25"/>
      <c r="J36" s="30"/>
      <c r="K36" s="25"/>
      <c r="L36" s="25"/>
      <c r="M36" s="25"/>
      <c r="N36" s="25"/>
      <c r="O36" s="25"/>
      <c r="P36" s="25"/>
    </row>
    <row r="37" spans="1:16" ht="15.75" customHeight="1" x14ac:dyDescent="0.25">
      <c r="A37" s="14" t="s">
        <v>127</v>
      </c>
      <c r="B37" s="28" t="s">
        <v>35</v>
      </c>
      <c r="C37" s="210" t="s">
        <v>2169</v>
      </c>
      <c r="D37" s="17"/>
      <c r="E37" s="18"/>
      <c r="F37" s="19"/>
      <c r="G37" s="20" t="s">
        <v>128</v>
      </c>
      <c r="H37" s="32" t="s">
        <v>2135</v>
      </c>
      <c r="I37" s="25"/>
      <c r="J37" s="30"/>
      <c r="K37" s="25"/>
      <c r="L37" s="25"/>
      <c r="M37" s="25"/>
      <c r="N37" s="25"/>
      <c r="O37" s="25"/>
      <c r="P37" s="25"/>
    </row>
    <row r="38" spans="1:16" ht="15.75" customHeight="1" x14ac:dyDescent="0.25">
      <c r="A38" s="14" t="s">
        <v>130</v>
      </c>
      <c r="B38" s="28" t="s">
        <v>34</v>
      </c>
      <c r="C38" s="210" t="s">
        <v>2170</v>
      </c>
      <c r="D38" s="17"/>
      <c r="E38" s="18"/>
      <c r="F38" s="19"/>
      <c r="G38" s="20" t="s">
        <v>131</v>
      </c>
      <c r="H38" s="32" t="s">
        <v>2135</v>
      </c>
      <c r="I38" s="25"/>
      <c r="J38" s="30"/>
      <c r="K38" s="25"/>
      <c r="L38" s="25"/>
      <c r="M38" s="25"/>
      <c r="N38" s="25"/>
      <c r="O38" s="25"/>
      <c r="P38" s="25"/>
    </row>
    <row r="39" spans="1:16" ht="15.75" customHeight="1" x14ac:dyDescent="0.25">
      <c r="A39" s="14" t="s">
        <v>133</v>
      </c>
      <c r="B39" s="28" t="s">
        <v>18</v>
      </c>
      <c r="C39" s="210" t="s">
        <v>2171</v>
      </c>
      <c r="D39" s="17"/>
      <c r="E39" s="18"/>
      <c r="F39" s="19"/>
      <c r="G39" s="20" t="s">
        <v>134</v>
      </c>
      <c r="H39" s="32" t="s">
        <v>2135</v>
      </c>
      <c r="I39" s="25"/>
      <c r="J39" s="30"/>
      <c r="K39" s="25"/>
      <c r="L39" s="25"/>
      <c r="M39" s="25"/>
      <c r="N39" s="25"/>
      <c r="O39" s="25"/>
      <c r="P39" s="25"/>
    </row>
    <row r="40" spans="1:16" ht="15.75" customHeight="1" x14ac:dyDescent="0.25">
      <c r="A40" s="14" t="s">
        <v>136</v>
      </c>
      <c r="B40" s="28"/>
      <c r="C40" s="210"/>
      <c r="D40" s="17"/>
      <c r="E40" s="18"/>
      <c r="F40" s="19"/>
      <c r="G40" s="20" t="s">
        <v>137</v>
      </c>
      <c r="H40" s="32" t="s">
        <v>2251</v>
      </c>
      <c r="I40" s="25"/>
      <c r="J40" s="30"/>
      <c r="K40" s="25"/>
      <c r="L40" s="25"/>
      <c r="M40" s="25"/>
      <c r="N40" s="25"/>
      <c r="O40" s="30">
        <v>9409649</v>
      </c>
      <c r="P40" s="30"/>
    </row>
    <row r="41" spans="1:16" ht="15.75" customHeight="1" x14ac:dyDescent="0.25">
      <c r="A41" s="14" t="s">
        <v>140</v>
      </c>
      <c r="B41" s="28" t="s">
        <v>2149</v>
      </c>
      <c r="C41" s="28" t="s">
        <v>2150</v>
      </c>
      <c r="D41" s="17"/>
      <c r="E41" s="18"/>
      <c r="F41" s="19"/>
      <c r="G41" s="20" t="s">
        <v>142</v>
      </c>
      <c r="H41" s="32" t="s">
        <v>310</v>
      </c>
      <c r="I41" s="25"/>
      <c r="J41" s="204"/>
      <c r="K41" s="53"/>
      <c r="L41" s="53"/>
      <c r="M41" s="25"/>
      <c r="N41" s="38"/>
      <c r="O41" s="25"/>
      <c r="P41" s="25"/>
    </row>
    <row r="42" spans="1:16" ht="15.75" customHeight="1" x14ac:dyDescent="0.25">
      <c r="A42" s="14" t="s">
        <v>144</v>
      </c>
      <c r="B42" s="28" t="s">
        <v>332</v>
      </c>
      <c r="C42" s="28" t="s">
        <v>333</v>
      </c>
      <c r="D42" s="17"/>
      <c r="E42" s="90" t="s">
        <v>334</v>
      </c>
      <c r="F42" s="19"/>
      <c r="G42" s="20" t="s">
        <v>146</v>
      </c>
      <c r="H42" s="32" t="s">
        <v>334</v>
      </c>
      <c r="I42" s="25"/>
      <c r="J42" s="30"/>
      <c r="K42" s="53"/>
      <c r="L42" s="53"/>
      <c r="M42" s="25"/>
      <c r="N42" s="25"/>
      <c r="O42" s="25"/>
      <c r="P42" s="25"/>
    </row>
    <row r="43" spans="1:16" ht="15.75" customHeight="1" x14ac:dyDescent="0.25">
      <c r="A43" s="14" t="s">
        <v>148</v>
      </c>
      <c r="B43" s="205"/>
      <c r="C43" s="205"/>
      <c r="D43" s="17"/>
      <c r="E43" s="18"/>
      <c r="F43" s="19"/>
      <c r="G43" s="20" t="s">
        <v>149</v>
      </c>
      <c r="H43" s="203" t="s">
        <v>2136</v>
      </c>
      <c r="I43" s="25"/>
      <c r="J43" s="30"/>
      <c r="K43" s="53"/>
      <c r="L43" s="53"/>
      <c r="M43" s="25"/>
      <c r="N43" s="25"/>
      <c r="O43" s="25"/>
      <c r="P43" s="25"/>
    </row>
    <row r="44" spans="1:16" ht="15.75" customHeight="1" x14ac:dyDescent="0.25">
      <c r="A44" s="14" t="s">
        <v>151</v>
      </c>
      <c r="B44" s="205"/>
      <c r="C44" s="205"/>
      <c r="D44" s="17"/>
      <c r="E44" s="18"/>
      <c r="F44" s="19"/>
      <c r="G44" s="20" t="s">
        <v>152</v>
      </c>
      <c r="H44" s="203" t="s">
        <v>2136</v>
      </c>
      <c r="I44" s="25"/>
      <c r="J44" s="25"/>
      <c r="K44" s="25"/>
      <c r="L44" s="25"/>
      <c r="M44" s="25"/>
      <c r="N44" s="25"/>
      <c r="O44" s="25"/>
      <c r="P44" s="25"/>
    </row>
    <row r="45" spans="1:16" ht="15.75" customHeight="1" x14ac:dyDescent="0.25">
      <c r="A45" s="14" t="s">
        <v>154</v>
      </c>
      <c r="B45" s="28">
        <v>27407</v>
      </c>
      <c r="C45" s="28" t="s">
        <v>2152</v>
      </c>
      <c r="D45" s="17" t="s">
        <v>2264</v>
      </c>
      <c r="E45" s="18"/>
      <c r="F45" s="19"/>
      <c r="G45" s="20" t="s">
        <v>155</v>
      </c>
      <c r="H45" s="32" t="s">
        <v>2151</v>
      </c>
      <c r="I45" s="25"/>
      <c r="J45" s="25">
        <v>383828675</v>
      </c>
      <c r="K45" s="25"/>
      <c r="L45" s="25"/>
      <c r="M45" s="25" t="s">
        <v>2268</v>
      </c>
      <c r="N45" s="25"/>
      <c r="O45" s="25"/>
      <c r="P45" s="25"/>
    </row>
    <row r="46" spans="1:16" ht="15.75" customHeight="1" x14ac:dyDescent="0.25">
      <c r="A46" s="14" t="s">
        <v>157</v>
      </c>
      <c r="B46" s="28">
        <v>28676</v>
      </c>
      <c r="C46" s="28" t="s">
        <v>2220</v>
      </c>
      <c r="D46" s="17" t="s">
        <v>2265</v>
      </c>
      <c r="E46" s="18"/>
      <c r="F46" s="19"/>
      <c r="G46" s="20" t="s">
        <v>158</v>
      </c>
      <c r="H46" s="32" t="s">
        <v>2151</v>
      </c>
      <c r="I46" s="25"/>
      <c r="J46" s="25"/>
      <c r="K46" s="25">
        <v>383828676</v>
      </c>
      <c r="L46" s="25"/>
      <c r="M46" s="25"/>
      <c r="N46" s="25"/>
      <c r="O46" s="25"/>
      <c r="P46" s="25"/>
    </row>
    <row r="47" spans="1:16" ht="15.75" customHeight="1" x14ac:dyDescent="0.25">
      <c r="A47" s="14" t="s">
        <v>160</v>
      </c>
      <c r="B47" s="28">
        <v>28675</v>
      </c>
      <c r="C47" s="28" t="s">
        <v>2221</v>
      </c>
      <c r="D47" s="17" t="s">
        <v>2266</v>
      </c>
      <c r="E47" s="18"/>
      <c r="F47" s="19"/>
      <c r="G47" s="20" t="s">
        <v>161</v>
      </c>
      <c r="H47" s="32" t="s">
        <v>2151</v>
      </c>
      <c r="I47" s="25"/>
      <c r="J47" s="25"/>
      <c r="K47" s="25"/>
      <c r="L47" s="25"/>
      <c r="M47" s="25">
        <v>383828675</v>
      </c>
      <c r="N47" s="25"/>
      <c r="O47" s="25"/>
      <c r="P47" s="25"/>
    </row>
    <row r="48" spans="1:16" ht="15.75" customHeight="1" x14ac:dyDescent="0.25">
      <c r="A48" s="14" t="s">
        <v>163</v>
      </c>
      <c r="B48" s="28">
        <v>27440</v>
      </c>
      <c r="C48" s="28" t="s">
        <v>2219</v>
      </c>
      <c r="D48" s="17" t="s">
        <v>2267</v>
      </c>
      <c r="E48" s="18"/>
      <c r="F48" s="19"/>
      <c r="G48" s="20" t="s">
        <v>164</v>
      </c>
      <c r="H48" s="32" t="s">
        <v>2151</v>
      </c>
      <c r="I48" s="25"/>
      <c r="J48" s="25"/>
      <c r="K48" s="25"/>
      <c r="L48" s="25">
        <v>383827440</v>
      </c>
      <c r="M48" s="25"/>
      <c r="N48" s="25"/>
      <c r="O48" s="25"/>
      <c r="P48" s="25"/>
    </row>
    <row r="49" spans="1:16" ht="15.75" customHeight="1" x14ac:dyDescent="0.25">
      <c r="A49" s="14" t="s">
        <v>166</v>
      </c>
      <c r="B49" s="28">
        <v>98184</v>
      </c>
      <c r="C49" s="28" t="s">
        <v>2148</v>
      </c>
      <c r="D49" s="215"/>
      <c r="E49" s="18"/>
      <c r="F49" s="19"/>
      <c r="G49" s="20" t="s">
        <v>167</v>
      </c>
      <c r="H49" s="32" t="s">
        <v>928</v>
      </c>
      <c r="I49" s="25"/>
      <c r="J49" s="25"/>
      <c r="K49" s="25"/>
      <c r="L49" s="25"/>
      <c r="M49" s="25"/>
      <c r="N49" s="25"/>
      <c r="O49" s="38"/>
      <c r="P49" s="38"/>
    </row>
    <row r="50" spans="1:16" ht="15.75" customHeight="1" x14ac:dyDescent="0.25">
      <c r="A50" s="14" t="s">
        <v>169</v>
      </c>
      <c r="B50" s="28"/>
      <c r="C50" s="28" t="s">
        <v>2288</v>
      </c>
      <c r="D50" s="17" t="s">
        <v>2289</v>
      </c>
      <c r="E50" s="18"/>
      <c r="F50" s="19"/>
      <c r="G50" s="20" t="s">
        <v>170</v>
      </c>
      <c r="H50" s="32" t="s">
        <v>2287</v>
      </c>
      <c r="I50" s="25"/>
      <c r="J50" s="34"/>
      <c r="K50" s="25"/>
      <c r="L50" s="25"/>
      <c r="M50" s="25"/>
      <c r="N50" s="25"/>
      <c r="O50" s="38"/>
      <c r="P50" s="38"/>
    </row>
    <row r="51" spans="1:16" ht="15.75" customHeight="1" x14ac:dyDescent="0.25">
      <c r="A51" s="14" t="s">
        <v>172</v>
      </c>
      <c r="B51" s="28"/>
      <c r="C51" s="28"/>
      <c r="D51" s="17" t="s">
        <v>2144</v>
      </c>
      <c r="E51" s="18"/>
      <c r="F51" s="19"/>
      <c r="G51" s="20" t="s">
        <v>173</v>
      </c>
      <c r="H51" s="32" t="s">
        <v>2145</v>
      </c>
      <c r="I51" s="25" t="s">
        <v>767</v>
      </c>
      <c r="J51" s="34" t="s">
        <v>2113</v>
      </c>
      <c r="K51" s="206" t="s">
        <v>2271</v>
      </c>
      <c r="L51" s="206" t="s">
        <v>2272</v>
      </c>
      <c r="M51" s="206" t="s">
        <v>2273</v>
      </c>
      <c r="N51" s="25"/>
      <c r="O51" s="25"/>
      <c r="P51" s="25"/>
    </row>
    <row r="52" spans="1:16" ht="15.75" customHeight="1" x14ac:dyDescent="0.25">
      <c r="A52" s="14" t="s">
        <v>175</v>
      </c>
      <c r="B52" s="28"/>
      <c r="C52" s="238" t="s">
        <v>2203</v>
      </c>
      <c r="D52" s="17" t="s">
        <v>2215</v>
      </c>
      <c r="E52" s="18"/>
      <c r="F52" s="19"/>
      <c r="G52" s="20" t="s">
        <v>176</v>
      </c>
      <c r="H52" s="32" t="s">
        <v>367</v>
      </c>
      <c r="I52" s="25" t="s">
        <v>2111</v>
      </c>
      <c r="J52" s="34" t="s">
        <v>2111</v>
      </c>
      <c r="K52" s="206"/>
      <c r="L52" s="206"/>
      <c r="M52" s="206"/>
      <c r="N52" s="25"/>
      <c r="O52" s="25"/>
      <c r="P52" s="25"/>
    </row>
    <row r="53" spans="1:16" ht="15.75" customHeight="1" x14ac:dyDescent="0.25">
      <c r="A53" s="14" t="s">
        <v>178</v>
      </c>
      <c r="B53" s="28"/>
      <c r="C53" s="28"/>
      <c r="D53" s="17" t="s">
        <v>2144</v>
      </c>
      <c r="E53" s="18"/>
      <c r="F53" s="19"/>
      <c r="G53" s="20" t="s">
        <v>179</v>
      </c>
      <c r="H53" s="32" t="s">
        <v>370</v>
      </c>
      <c r="I53" s="25" t="s">
        <v>2111</v>
      </c>
      <c r="J53" s="25" t="s">
        <v>2111</v>
      </c>
      <c r="K53" s="206"/>
      <c r="L53" s="206"/>
      <c r="M53" s="206"/>
      <c r="N53" s="25"/>
      <c r="O53" s="25"/>
      <c r="P53" s="25"/>
    </row>
    <row r="54" spans="1:16" ht="15.75" customHeight="1" x14ac:dyDescent="0.25">
      <c r="A54" s="14" t="s">
        <v>181</v>
      </c>
      <c r="B54" s="28"/>
      <c r="C54" s="28"/>
      <c r="D54" s="17" t="s">
        <v>2144</v>
      </c>
      <c r="E54" s="18"/>
      <c r="F54" s="19"/>
      <c r="G54" s="20" t="s">
        <v>182</v>
      </c>
      <c r="H54" s="32" t="s">
        <v>373</v>
      </c>
      <c r="I54" s="25" t="s">
        <v>2111</v>
      </c>
      <c r="J54" s="25" t="s">
        <v>2111</v>
      </c>
      <c r="K54" s="206"/>
      <c r="L54" s="206"/>
      <c r="M54" s="206"/>
      <c r="N54" s="25"/>
      <c r="O54" s="25"/>
      <c r="P54" s="25"/>
    </row>
    <row r="55" spans="1:16" ht="15.75" customHeight="1" x14ac:dyDescent="0.25">
      <c r="A55" s="14" t="s">
        <v>184</v>
      </c>
      <c r="B55" s="28" t="s">
        <v>2269</v>
      </c>
      <c r="C55" s="28" t="s">
        <v>2270</v>
      </c>
      <c r="D55" s="17"/>
      <c r="E55" s="18"/>
      <c r="F55" s="19"/>
      <c r="G55" s="20" t="s">
        <v>185</v>
      </c>
      <c r="H55" s="32" t="s">
        <v>2231</v>
      </c>
      <c r="I55" s="25" t="s">
        <v>2233</v>
      </c>
      <c r="J55" s="25" t="s">
        <v>2233</v>
      </c>
      <c r="K55" s="25" t="s">
        <v>2235</v>
      </c>
      <c r="L55" s="25" t="s">
        <v>2233</v>
      </c>
      <c r="M55" s="25" t="s">
        <v>2236</v>
      </c>
      <c r="N55" s="25"/>
      <c r="O55" s="25"/>
      <c r="P55" s="25"/>
    </row>
    <row r="56" spans="1:16" ht="15.75" customHeight="1" x14ac:dyDescent="0.25">
      <c r="A56" s="14" t="s">
        <v>187</v>
      </c>
      <c r="B56" s="28"/>
      <c r="C56" s="28"/>
      <c r="D56" s="17"/>
      <c r="E56" s="18"/>
      <c r="F56" s="19"/>
      <c r="G56" s="20" t="s">
        <v>188</v>
      </c>
      <c r="H56" s="32" t="s">
        <v>2232</v>
      </c>
      <c r="I56" s="25" t="s">
        <v>2234</v>
      </c>
      <c r="J56" s="25" t="s">
        <v>2234</v>
      </c>
      <c r="K56" s="25" t="s">
        <v>2237</v>
      </c>
      <c r="L56" s="25" t="s">
        <v>2234</v>
      </c>
      <c r="M56" s="25" t="s">
        <v>2238</v>
      </c>
      <c r="N56" s="25"/>
      <c r="O56" s="25"/>
      <c r="P56" s="25"/>
    </row>
    <row r="57" spans="1:16" ht="15.75" customHeight="1" x14ac:dyDescent="0.25">
      <c r="A57" s="14" t="s">
        <v>190</v>
      </c>
      <c r="B57" s="28"/>
      <c r="C57" s="28"/>
      <c r="D57" s="17"/>
      <c r="E57" s="18"/>
      <c r="F57" s="19"/>
      <c r="G57" s="20" t="s">
        <v>191</v>
      </c>
      <c r="H57" s="32" t="s">
        <v>2290</v>
      </c>
      <c r="I57" s="25"/>
      <c r="J57" s="25"/>
      <c r="K57" s="25" t="s">
        <v>2291</v>
      </c>
      <c r="L57" s="25" t="s">
        <v>2292</v>
      </c>
      <c r="M57" s="25" t="s">
        <v>2293</v>
      </c>
      <c r="N57" s="25"/>
      <c r="O57" s="25"/>
      <c r="P57" s="25"/>
    </row>
    <row r="58" spans="1:16" ht="15.75" customHeight="1" x14ac:dyDescent="0.25">
      <c r="A58" s="14" t="s">
        <v>193</v>
      </c>
      <c r="B58" s="213" t="s">
        <v>552</v>
      </c>
      <c r="C58" s="28" t="s">
        <v>2260</v>
      </c>
      <c r="D58" s="17" t="s">
        <v>2261</v>
      </c>
      <c r="E58" s="18"/>
      <c r="F58" s="19"/>
      <c r="G58" s="20" t="s">
        <v>194</v>
      </c>
      <c r="H58" s="32" t="s">
        <v>2259</v>
      </c>
      <c r="I58" s="25" t="s">
        <v>767</v>
      </c>
      <c r="J58" s="25" t="s">
        <v>2262</v>
      </c>
      <c r="K58" s="25"/>
      <c r="L58" s="25"/>
      <c r="M58" s="25"/>
      <c r="N58" s="25"/>
      <c r="O58" s="25"/>
      <c r="P58" s="25"/>
    </row>
    <row r="59" spans="1:16" ht="15.75" customHeight="1" x14ac:dyDescent="0.25">
      <c r="A59" s="14" t="s">
        <v>196</v>
      </c>
      <c r="B59" s="43" t="s">
        <v>398</v>
      </c>
      <c r="C59" s="28" t="s">
        <v>399</v>
      </c>
      <c r="D59" s="17"/>
      <c r="E59" s="90" t="s">
        <v>400</v>
      </c>
      <c r="F59" s="19"/>
      <c r="G59" s="20" t="s">
        <v>198</v>
      </c>
      <c r="H59" s="32" t="s">
        <v>402</v>
      </c>
      <c r="I59" s="33">
        <v>64936</v>
      </c>
      <c r="J59" s="33">
        <v>64936</v>
      </c>
      <c r="K59" s="25"/>
      <c r="L59" s="25"/>
      <c r="M59" s="25"/>
      <c r="N59" s="25"/>
      <c r="O59" s="25"/>
      <c r="P59" s="25"/>
    </row>
    <row r="60" spans="1:16" ht="15.75" customHeight="1" x14ac:dyDescent="0.25">
      <c r="A60" s="14" t="s">
        <v>203</v>
      </c>
      <c r="B60" s="28" t="s">
        <v>2316</v>
      </c>
      <c r="C60" s="28" t="s">
        <v>2315</v>
      </c>
      <c r="D60" s="17"/>
      <c r="E60" s="90"/>
      <c r="F60" s="19"/>
      <c r="G60" s="20" t="s">
        <v>204</v>
      </c>
      <c r="H60" s="32" t="s">
        <v>2314</v>
      </c>
      <c r="I60" s="25"/>
      <c r="J60" s="239"/>
      <c r="K60" s="37"/>
      <c r="L60" s="37"/>
      <c r="M60" s="25"/>
      <c r="N60" s="33"/>
      <c r="O60" s="33"/>
      <c r="P60" s="33"/>
    </row>
    <row r="61" spans="1:16" ht="15.75" customHeight="1" x14ac:dyDescent="0.25">
      <c r="A61" s="14" t="s">
        <v>206</v>
      </c>
      <c r="B61" s="43"/>
      <c r="C61" s="28"/>
      <c r="D61" s="17"/>
      <c r="E61" s="90"/>
      <c r="F61" s="19"/>
      <c r="G61" s="20" t="s">
        <v>207</v>
      </c>
      <c r="H61" s="32" t="s">
        <v>413</v>
      </c>
      <c r="I61" s="33">
        <v>79852709</v>
      </c>
      <c r="J61" s="33"/>
      <c r="K61" s="25"/>
      <c r="L61" s="25"/>
      <c r="M61" s="25"/>
      <c r="N61" s="34"/>
      <c r="O61" s="34"/>
      <c r="P61" s="34"/>
    </row>
    <row r="62" spans="1:16" ht="15.75" customHeight="1" x14ac:dyDescent="0.25">
      <c r="A62" s="14" t="s">
        <v>209</v>
      </c>
      <c r="B62" s="28">
        <v>7704731</v>
      </c>
      <c r="C62" s="28" t="s">
        <v>2154</v>
      </c>
      <c r="D62" s="17"/>
      <c r="E62" s="18"/>
      <c r="F62" s="19"/>
      <c r="G62" s="20" t="s">
        <v>210</v>
      </c>
      <c r="H62" s="32" t="s">
        <v>434</v>
      </c>
      <c r="I62" s="25"/>
      <c r="J62" s="33" t="s">
        <v>2153</v>
      </c>
      <c r="K62" s="33" t="s">
        <v>2222</v>
      </c>
      <c r="L62" s="33" t="s">
        <v>2223</v>
      </c>
      <c r="M62" s="33" t="s">
        <v>2224</v>
      </c>
      <c r="N62" s="34"/>
      <c r="O62" s="34"/>
      <c r="P62" s="34"/>
    </row>
    <row r="63" spans="1:16" ht="15.75" customHeight="1" x14ac:dyDescent="0.25">
      <c r="A63" s="14" t="s">
        <v>212</v>
      </c>
      <c r="B63" s="28">
        <v>123338001</v>
      </c>
      <c r="C63" s="227" t="s">
        <v>2318</v>
      </c>
      <c r="D63" s="17"/>
      <c r="E63" s="90" t="s">
        <v>452</v>
      </c>
      <c r="F63" s="19"/>
      <c r="G63" s="20" t="s">
        <v>213</v>
      </c>
      <c r="H63" s="32" t="s">
        <v>452</v>
      </c>
      <c r="I63" s="33" t="s">
        <v>2277</v>
      </c>
      <c r="J63" s="30"/>
      <c r="K63" s="25" t="s">
        <v>2187</v>
      </c>
      <c r="L63" s="25" t="s">
        <v>2189</v>
      </c>
      <c r="M63" s="25" t="s">
        <v>2188</v>
      </c>
      <c r="N63" s="25"/>
      <c r="O63" s="25"/>
      <c r="P63" s="25"/>
    </row>
    <row r="64" spans="1:16" ht="15.75" customHeight="1" x14ac:dyDescent="0.25">
      <c r="A64" s="14" t="s">
        <v>215</v>
      </c>
      <c r="B64" s="28">
        <v>27407</v>
      </c>
      <c r="C64" s="28" t="s">
        <v>2148</v>
      </c>
      <c r="D64" s="17"/>
      <c r="E64" s="18"/>
      <c r="F64" s="19"/>
      <c r="G64" s="20" t="s">
        <v>216</v>
      </c>
      <c r="H64" s="32" t="s">
        <v>12</v>
      </c>
      <c r="I64" s="25"/>
      <c r="J64" s="30" t="s">
        <v>2147</v>
      </c>
      <c r="K64" s="25">
        <v>28676</v>
      </c>
      <c r="L64" s="25">
        <v>27440</v>
      </c>
      <c r="M64" s="25">
        <v>28675</v>
      </c>
      <c r="N64" s="25"/>
      <c r="O64" s="25"/>
      <c r="P64" s="25"/>
    </row>
    <row r="65" spans="1:19" ht="15.75" customHeight="1" x14ac:dyDescent="0.25">
      <c r="A65" s="14" t="s">
        <v>218</v>
      </c>
      <c r="B65" s="28">
        <v>27407</v>
      </c>
      <c r="C65" s="28" t="s">
        <v>2152</v>
      </c>
      <c r="D65" s="17"/>
      <c r="E65" s="18"/>
      <c r="F65" s="19"/>
      <c r="G65" s="20" t="s">
        <v>219</v>
      </c>
      <c r="H65" s="32" t="s">
        <v>12</v>
      </c>
      <c r="I65" s="25"/>
      <c r="J65" s="33" t="s">
        <v>2147</v>
      </c>
      <c r="K65" s="25"/>
      <c r="L65" s="25"/>
      <c r="M65" s="25"/>
      <c r="N65" s="25"/>
      <c r="O65" s="25"/>
      <c r="P65" s="25"/>
    </row>
    <row r="66" spans="1:19" ht="15.75" customHeight="1" x14ac:dyDescent="0.25">
      <c r="A66" s="14" t="s">
        <v>221</v>
      </c>
      <c r="B66" s="28">
        <v>27440</v>
      </c>
      <c r="C66" s="28" t="s">
        <v>2219</v>
      </c>
      <c r="D66" s="17"/>
      <c r="E66" s="18"/>
      <c r="F66" s="19"/>
      <c r="G66" s="20" t="s">
        <v>222</v>
      </c>
      <c r="H66" s="32" t="s">
        <v>12</v>
      </c>
      <c r="I66" s="25"/>
      <c r="J66" s="28"/>
      <c r="K66" s="25"/>
      <c r="L66" s="25">
        <v>27440</v>
      </c>
      <c r="M66" s="25"/>
      <c r="N66" s="25"/>
      <c r="O66" s="25"/>
      <c r="P66" s="25"/>
    </row>
    <row r="67" spans="1:19" ht="15.75" customHeight="1" x14ac:dyDescent="0.25">
      <c r="A67" s="14" t="s">
        <v>224</v>
      </c>
      <c r="B67" s="28">
        <v>28676</v>
      </c>
      <c r="C67" s="28" t="s">
        <v>2220</v>
      </c>
      <c r="D67" s="17"/>
      <c r="E67" s="18"/>
      <c r="F67" s="19"/>
      <c r="G67" s="20" t="s">
        <v>225</v>
      </c>
      <c r="H67" s="32" t="s">
        <v>12</v>
      </c>
      <c r="I67" s="25"/>
      <c r="J67" s="28"/>
      <c r="K67" s="25">
        <v>28676</v>
      </c>
      <c r="L67" s="25"/>
      <c r="M67" s="25"/>
      <c r="N67" s="25"/>
      <c r="O67" s="25"/>
      <c r="P67" s="25"/>
    </row>
    <row r="68" spans="1:19" ht="15.75" customHeight="1" x14ac:dyDescent="0.25">
      <c r="A68" s="14" t="s">
        <v>227</v>
      </c>
      <c r="B68" s="28">
        <v>28675</v>
      </c>
      <c r="C68" s="28" t="s">
        <v>2221</v>
      </c>
      <c r="D68" s="17"/>
      <c r="E68" s="18"/>
      <c r="F68" s="19"/>
      <c r="G68" s="20" t="s">
        <v>228</v>
      </c>
      <c r="H68" s="32" t="s">
        <v>12</v>
      </c>
      <c r="I68" s="25"/>
      <c r="J68" s="236"/>
      <c r="K68" s="25"/>
      <c r="L68" s="25"/>
      <c r="M68" s="25">
        <v>28675</v>
      </c>
      <c r="N68" s="25"/>
      <c r="O68" s="25"/>
      <c r="P68" s="25"/>
    </row>
    <row r="69" spans="1:19" ht="15.75" customHeight="1" x14ac:dyDescent="0.25">
      <c r="A69" s="14" t="s">
        <v>230</v>
      </c>
      <c r="B69" s="28" t="s">
        <v>2146</v>
      </c>
      <c r="C69" s="28">
        <v>98544</v>
      </c>
      <c r="D69" s="17"/>
      <c r="E69" s="18"/>
      <c r="F69" s="19"/>
      <c r="G69" s="20" t="s">
        <v>231</v>
      </c>
      <c r="H69" s="32" t="s">
        <v>2139</v>
      </c>
      <c r="I69" s="25"/>
      <c r="J69" s="30" t="s">
        <v>496</v>
      </c>
      <c r="K69" s="37"/>
      <c r="L69" s="37"/>
      <c r="M69" s="25"/>
      <c r="N69" s="25"/>
      <c r="O69" s="25"/>
      <c r="P69" s="25"/>
    </row>
    <row r="70" spans="1:19" ht="15.75" customHeight="1" x14ac:dyDescent="0.25">
      <c r="A70" s="14" t="s">
        <v>234</v>
      </c>
      <c r="B70" s="28" t="s">
        <v>2123</v>
      </c>
      <c r="C70" s="28" t="s">
        <v>2124</v>
      </c>
      <c r="D70" s="17"/>
      <c r="E70" s="18"/>
      <c r="F70" s="19"/>
      <c r="G70" s="20" t="s">
        <v>235</v>
      </c>
      <c r="H70" s="32" t="s">
        <v>503</v>
      </c>
      <c r="I70" s="25"/>
      <c r="J70" s="30" t="s">
        <v>2122</v>
      </c>
      <c r="K70" s="206"/>
      <c r="L70" s="206"/>
      <c r="M70" s="206"/>
      <c r="N70" s="25"/>
      <c r="O70" s="25"/>
      <c r="P70" s="25"/>
    </row>
    <row r="71" spans="1:19" ht="15.75" customHeight="1" x14ac:dyDescent="0.25">
      <c r="A71" s="14" t="s">
        <v>246</v>
      </c>
      <c r="B71" s="73" t="s">
        <v>2184</v>
      </c>
      <c r="C71" s="28" t="s">
        <v>2185</v>
      </c>
      <c r="D71" s="17"/>
      <c r="E71" s="18"/>
      <c r="F71" s="19"/>
      <c r="G71" s="20" t="s">
        <v>247</v>
      </c>
      <c r="H71" s="32" t="s">
        <v>530</v>
      </c>
      <c r="I71" s="34"/>
      <c r="J71" s="30" t="s">
        <v>2196</v>
      </c>
      <c r="K71" s="33"/>
      <c r="L71" s="33"/>
      <c r="M71" s="25"/>
      <c r="N71" s="25"/>
      <c r="O71" s="25"/>
      <c r="P71" s="25"/>
    </row>
    <row r="72" spans="1:19" ht="15.75" customHeight="1" x14ac:dyDescent="0.25">
      <c r="A72" s="14" t="s">
        <v>249</v>
      </c>
      <c r="B72" s="73"/>
      <c r="C72" s="28"/>
      <c r="D72" s="17"/>
      <c r="E72" s="18"/>
      <c r="F72" s="19"/>
      <c r="G72" s="20" t="s">
        <v>250</v>
      </c>
      <c r="H72" s="32" t="s">
        <v>2255</v>
      </c>
      <c r="I72" s="34"/>
      <c r="J72" s="30"/>
      <c r="K72" s="33"/>
      <c r="L72" s="33"/>
      <c r="M72" s="25"/>
      <c r="N72" s="25"/>
      <c r="O72" s="25" t="s">
        <v>2249</v>
      </c>
      <c r="P72" s="25"/>
    </row>
    <row r="73" spans="1:19" ht="15.75" customHeight="1" x14ac:dyDescent="0.25">
      <c r="A73" s="14" t="s">
        <v>252</v>
      </c>
      <c r="B73" s="75" t="s">
        <v>552</v>
      </c>
      <c r="C73" s="51"/>
      <c r="D73" s="52"/>
      <c r="E73" s="18"/>
      <c r="F73" s="19"/>
      <c r="G73" s="20" t="s">
        <v>253</v>
      </c>
      <c r="H73" s="211" t="s">
        <v>554</v>
      </c>
      <c r="I73" s="25">
        <v>52623738</v>
      </c>
      <c r="J73" s="34" t="s">
        <v>2239</v>
      </c>
      <c r="K73" s="25"/>
      <c r="L73" s="25"/>
      <c r="M73" s="25"/>
      <c r="N73" s="25"/>
      <c r="O73" s="25"/>
      <c r="P73" s="25"/>
    </row>
    <row r="74" spans="1:19" ht="15.75" customHeight="1" x14ac:dyDescent="0.25">
      <c r="A74" s="14" t="s">
        <v>255</v>
      </c>
      <c r="B74" s="28"/>
      <c r="C74" s="28"/>
      <c r="D74" s="17"/>
      <c r="E74" s="18"/>
      <c r="F74" s="19"/>
      <c r="G74" s="20" t="s">
        <v>256</v>
      </c>
      <c r="H74" s="32" t="s">
        <v>2192</v>
      </c>
      <c r="I74" s="25"/>
      <c r="J74" s="228" t="s">
        <v>2193</v>
      </c>
      <c r="K74" s="34"/>
      <c r="L74" s="34"/>
      <c r="M74" s="25"/>
      <c r="N74" s="25"/>
      <c r="O74" s="25"/>
      <c r="P74" s="25"/>
    </row>
    <row r="75" spans="1:19" ht="15.75" customHeight="1" x14ac:dyDescent="0.25">
      <c r="A75" s="14" t="s">
        <v>258</v>
      </c>
      <c r="B75" s="28" t="s">
        <v>2285</v>
      </c>
      <c r="C75" s="28">
        <v>27407</v>
      </c>
      <c r="D75" s="233" t="s">
        <v>2286</v>
      </c>
      <c r="E75" s="18"/>
      <c r="F75" s="19"/>
      <c r="G75" s="20" t="s">
        <v>259</v>
      </c>
      <c r="H75" s="32" t="s">
        <v>2250</v>
      </c>
      <c r="I75" s="25"/>
      <c r="J75" s="30"/>
      <c r="K75" s="34"/>
      <c r="L75" s="34"/>
      <c r="M75" s="25"/>
      <c r="N75" s="34"/>
      <c r="O75" s="25"/>
      <c r="P75" s="25"/>
    </row>
    <row r="76" spans="1:19" ht="15.75" customHeight="1" x14ac:dyDescent="0.25">
      <c r="A76" s="14" t="s">
        <v>261</v>
      </c>
      <c r="B76" s="28" t="s">
        <v>2300</v>
      </c>
      <c r="C76" s="28" t="s">
        <v>2301</v>
      </c>
      <c r="D76" s="232" t="s">
        <v>2302</v>
      </c>
      <c r="E76" s="18"/>
      <c r="F76" s="19"/>
      <c r="G76" s="20" t="s">
        <v>262</v>
      </c>
      <c r="H76" s="32" t="s">
        <v>2299</v>
      </c>
      <c r="I76" s="25"/>
      <c r="J76" s="33">
        <v>121376</v>
      </c>
      <c r="K76" s="34"/>
      <c r="L76" s="34"/>
      <c r="M76" s="25"/>
      <c r="N76" s="33" t="s">
        <v>2298</v>
      </c>
      <c r="O76" s="25"/>
      <c r="P76" s="25"/>
    </row>
    <row r="77" spans="1:19" ht="15.75" customHeight="1" x14ac:dyDescent="0.25">
      <c r="A77" s="14" t="s">
        <v>264</v>
      </c>
      <c r="B77" s="28"/>
      <c r="C77" s="28"/>
      <c r="D77" s="17"/>
      <c r="E77" s="18"/>
      <c r="F77" s="19"/>
      <c r="G77" s="20" t="s">
        <v>265</v>
      </c>
      <c r="H77" s="32" t="s">
        <v>615</v>
      </c>
      <c r="I77" s="25" t="s">
        <v>616</v>
      </c>
      <c r="J77" s="30"/>
      <c r="K77" s="53"/>
      <c r="L77" s="53"/>
      <c r="M77" s="25"/>
      <c r="N77" s="25"/>
      <c r="O77" s="25"/>
      <c r="P77" s="25"/>
      <c r="Q77" s="74"/>
      <c r="R77" s="74"/>
      <c r="S77" s="74"/>
    </row>
    <row r="78" spans="1:19" ht="15.75" customHeight="1" x14ac:dyDescent="0.25">
      <c r="A78" s="14" t="s">
        <v>267</v>
      </c>
      <c r="B78" s="28"/>
      <c r="C78" s="28"/>
      <c r="D78" s="17" t="s">
        <v>2159</v>
      </c>
      <c r="E78" s="90" t="s">
        <v>622</v>
      </c>
      <c r="F78" s="19"/>
      <c r="G78" s="20" t="s">
        <v>268</v>
      </c>
      <c r="H78" s="32" t="s">
        <v>2128</v>
      </c>
      <c r="I78" s="33" t="s">
        <v>625</v>
      </c>
      <c r="J78" s="30" t="s">
        <v>625</v>
      </c>
      <c r="K78" s="25">
        <v>153052501</v>
      </c>
      <c r="L78" s="25" t="s">
        <v>2126</v>
      </c>
      <c r="M78" s="25" t="s">
        <v>2127</v>
      </c>
      <c r="N78" s="25"/>
      <c r="O78" s="25"/>
      <c r="P78" s="25"/>
      <c r="Q78" s="74"/>
      <c r="R78" s="74"/>
      <c r="S78" s="74"/>
    </row>
    <row r="79" spans="1:19" ht="15.75" customHeight="1" x14ac:dyDescent="0.25">
      <c r="A79" s="14" t="s">
        <v>270</v>
      </c>
      <c r="B79" s="28"/>
      <c r="C79" s="28"/>
      <c r="D79" s="17"/>
      <c r="E79" s="18"/>
      <c r="F79" s="19"/>
      <c r="G79" s="20" t="s">
        <v>271</v>
      </c>
      <c r="H79" s="32" t="s">
        <v>624</v>
      </c>
      <c r="I79" s="33"/>
      <c r="J79" s="30"/>
      <c r="K79" s="206"/>
      <c r="L79" s="206"/>
      <c r="M79" s="206"/>
      <c r="N79" s="25"/>
      <c r="O79" s="25"/>
      <c r="P79" s="25"/>
      <c r="Q79" s="74"/>
      <c r="R79" s="74"/>
      <c r="S79" s="74"/>
    </row>
    <row r="80" spans="1:19" ht="15.75" customHeight="1" x14ac:dyDescent="0.25">
      <c r="A80" s="14" t="s">
        <v>272</v>
      </c>
      <c r="B80" s="213" t="s">
        <v>552</v>
      </c>
      <c r="C80" s="28" t="s">
        <v>2319</v>
      </c>
      <c r="D80" s="17"/>
      <c r="E80" s="18"/>
      <c r="F80" s="19"/>
      <c r="G80" s="20" t="s">
        <v>273</v>
      </c>
      <c r="H80" s="32" t="s">
        <v>2324</v>
      </c>
      <c r="I80" s="25" t="s">
        <v>2323</v>
      </c>
      <c r="J80" s="30"/>
      <c r="K80" s="33"/>
      <c r="L80" s="33"/>
      <c r="M80" s="25"/>
      <c r="N80" s="25"/>
      <c r="O80" s="25"/>
      <c r="P80" s="25"/>
    </row>
    <row r="81" spans="1:16" ht="15.75" customHeight="1" x14ac:dyDescent="0.25">
      <c r="A81" s="14" t="s">
        <v>274</v>
      </c>
      <c r="B81" s="28"/>
      <c r="C81" s="28"/>
      <c r="D81" s="17"/>
      <c r="E81" s="18"/>
      <c r="F81" s="19"/>
      <c r="G81" s="20" t="s">
        <v>275</v>
      </c>
      <c r="H81" s="32" t="s">
        <v>940</v>
      </c>
      <c r="I81" s="25" t="s">
        <v>2313</v>
      </c>
      <c r="J81" s="30"/>
      <c r="K81" s="33"/>
      <c r="L81" s="33"/>
      <c r="M81" s="25"/>
      <c r="N81" s="25"/>
      <c r="O81" s="25"/>
      <c r="P81" s="25"/>
    </row>
    <row r="82" spans="1:16" ht="15.75" customHeight="1" x14ac:dyDescent="0.25">
      <c r="A82" s="14" t="s">
        <v>276</v>
      </c>
      <c r="B82" s="28"/>
      <c r="C82" s="28"/>
      <c r="D82" s="17"/>
      <c r="E82" s="18"/>
      <c r="F82" s="19"/>
      <c r="G82" s="20" t="s">
        <v>277</v>
      </c>
      <c r="H82" s="32" t="s">
        <v>648</v>
      </c>
      <c r="I82" s="25"/>
      <c r="J82" s="30" t="s">
        <v>649</v>
      </c>
      <c r="K82" s="53"/>
      <c r="L82" s="53"/>
      <c r="M82" s="25"/>
      <c r="N82" s="25"/>
      <c r="O82" s="25"/>
      <c r="P82" s="25"/>
    </row>
    <row r="83" spans="1:16" ht="15.75" customHeight="1" x14ac:dyDescent="0.25">
      <c r="A83" s="14" t="s">
        <v>278</v>
      </c>
      <c r="B83" s="28"/>
      <c r="C83" s="28"/>
      <c r="D83" s="17"/>
      <c r="E83" s="18"/>
      <c r="F83" s="19"/>
      <c r="G83" s="20" t="s">
        <v>279</v>
      </c>
      <c r="H83" s="32" t="s">
        <v>648</v>
      </c>
      <c r="I83" s="25"/>
      <c r="J83" s="30"/>
      <c r="K83" s="53"/>
      <c r="L83" s="53"/>
      <c r="M83" s="25"/>
      <c r="N83" s="25"/>
      <c r="O83" s="25"/>
      <c r="P83" s="25"/>
    </row>
    <row r="84" spans="1:16" ht="15.75" customHeight="1" x14ac:dyDescent="0.25">
      <c r="A84" s="14" t="s">
        <v>281</v>
      </c>
      <c r="B84" s="28"/>
      <c r="C84" s="28"/>
      <c r="D84" s="17"/>
      <c r="E84" s="18"/>
      <c r="F84" s="19"/>
      <c r="G84" s="20" t="s">
        <v>282</v>
      </c>
      <c r="H84" s="32" t="s">
        <v>648</v>
      </c>
      <c r="I84" s="25"/>
      <c r="J84" s="30"/>
      <c r="K84" s="53"/>
      <c r="L84" s="53"/>
      <c r="M84" s="25"/>
      <c r="N84" s="25"/>
      <c r="O84" s="25"/>
      <c r="P84" s="25"/>
    </row>
    <row r="85" spans="1:16" ht="15.75" customHeight="1" x14ac:dyDescent="0.25">
      <c r="A85" s="14" t="s">
        <v>284</v>
      </c>
      <c r="B85" s="28" t="s">
        <v>2108</v>
      </c>
      <c r="C85" s="28" t="s">
        <v>2178</v>
      </c>
      <c r="D85" s="17"/>
      <c r="E85" s="18"/>
      <c r="F85" s="19"/>
      <c r="G85" s="20" t="s">
        <v>285</v>
      </c>
      <c r="H85" s="32" t="s">
        <v>993</v>
      </c>
      <c r="I85" s="25"/>
      <c r="J85" s="30" t="s">
        <v>2186</v>
      </c>
      <c r="K85" s="33"/>
      <c r="L85" s="33"/>
      <c r="M85" s="25"/>
      <c r="N85" s="25"/>
      <c r="O85" s="25"/>
      <c r="P85" s="25"/>
    </row>
    <row r="86" spans="1:16" ht="15.75" customHeight="1" x14ac:dyDescent="0.25">
      <c r="A86" s="14" t="s">
        <v>287</v>
      </c>
      <c r="B86" s="28"/>
      <c r="C86" s="28"/>
      <c r="D86" s="17"/>
      <c r="E86" s="18"/>
      <c r="F86" s="19"/>
      <c r="G86" s="20" t="s">
        <v>288</v>
      </c>
      <c r="H86" s="32" t="s">
        <v>663</v>
      </c>
      <c r="I86" s="33"/>
      <c r="J86" s="30"/>
      <c r="K86" s="206"/>
      <c r="L86" s="206"/>
      <c r="M86" s="206"/>
      <c r="N86" s="25"/>
      <c r="O86" s="25"/>
      <c r="P86" s="25"/>
    </row>
    <row r="87" spans="1:16" ht="15.75" customHeight="1" x14ac:dyDescent="0.25">
      <c r="A87" s="14" t="s">
        <v>290</v>
      </c>
      <c r="B87" s="28" t="s">
        <v>2123</v>
      </c>
      <c r="C87" s="28" t="s">
        <v>2124</v>
      </c>
      <c r="D87" s="17"/>
      <c r="E87" s="18"/>
      <c r="F87" s="19"/>
      <c r="G87" s="20" t="s">
        <v>291</v>
      </c>
      <c r="H87" s="32" t="s">
        <v>668</v>
      </c>
      <c r="I87" s="33" t="s">
        <v>2125</v>
      </c>
      <c r="J87" s="30" t="s">
        <v>2122</v>
      </c>
      <c r="K87" s="206"/>
      <c r="L87" s="206"/>
      <c r="M87" s="206"/>
      <c r="N87" s="25"/>
      <c r="O87" s="25"/>
      <c r="P87" s="25"/>
    </row>
    <row r="88" spans="1:16" ht="15.75" customHeight="1" x14ac:dyDescent="0.25">
      <c r="A88" s="14" t="s">
        <v>293</v>
      </c>
      <c r="B88" s="28"/>
      <c r="C88" s="28"/>
      <c r="D88" s="17"/>
      <c r="E88" s="18"/>
      <c r="F88" s="19"/>
      <c r="G88" s="20" t="s">
        <v>294</v>
      </c>
      <c r="H88" s="32" t="s">
        <v>2109</v>
      </c>
      <c r="I88" s="207"/>
      <c r="J88" s="30"/>
      <c r="K88" s="206"/>
      <c r="L88" s="206"/>
      <c r="M88" s="206"/>
      <c r="N88" s="25"/>
      <c r="O88" s="25"/>
      <c r="P88" s="25"/>
    </row>
    <row r="89" spans="1:16" ht="15.75" customHeight="1" x14ac:dyDescent="0.25">
      <c r="A89" s="14" t="s">
        <v>296</v>
      </c>
      <c r="B89" s="28" t="s">
        <v>2110</v>
      </c>
      <c r="C89" s="28" t="s">
        <v>2322</v>
      </c>
      <c r="D89" s="17"/>
      <c r="E89" s="18"/>
      <c r="F89" s="19"/>
      <c r="G89" s="20" t="s">
        <v>297</v>
      </c>
      <c r="H89" s="32" t="s">
        <v>1079</v>
      </c>
      <c r="I89" s="33" t="s">
        <v>2115</v>
      </c>
      <c r="J89" s="30"/>
      <c r="K89" s="206"/>
      <c r="L89" s="206"/>
      <c r="M89" s="206"/>
      <c r="N89" s="25"/>
      <c r="O89" s="25"/>
      <c r="P89" s="25"/>
    </row>
    <row r="90" spans="1:16" ht="15.75" customHeight="1" x14ac:dyDescent="0.25">
      <c r="A90" s="14" t="s">
        <v>299</v>
      </c>
      <c r="B90" s="28"/>
      <c r="C90" s="28"/>
      <c r="D90" s="17"/>
      <c r="E90" s="18"/>
      <c r="F90" s="19"/>
      <c r="G90" s="20" t="s">
        <v>300</v>
      </c>
      <c r="H90" s="32" t="s">
        <v>2256</v>
      </c>
      <c r="I90" s="33"/>
      <c r="J90" s="30"/>
      <c r="K90" s="206"/>
      <c r="L90" s="206"/>
      <c r="M90" s="206"/>
      <c r="N90" s="25"/>
      <c r="O90" s="25"/>
      <c r="P90" s="25"/>
    </row>
    <row r="91" spans="1:16" ht="15.75" customHeight="1" x14ac:dyDescent="0.25">
      <c r="A91" s="14" t="s">
        <v>302</v>
      </c>
      <c r="B91" s="28"/>
      <c r="C91" s="28"/>
      <c r="D91" s="17"/>
      <c r="E91" s="18"/>
      <c r="F91" s="19"/>
      <c r="G91" s="20" t="s">
        <v>303</v>
      </c>
      <c r="H91" s="32" t="s">
        <v>2199</v>
      </c>
      <c r="I91" s="25"/>
      <c r="J91" s="30" t="s">
        <v>2200</v>
      </c>
      <c r="K91" s="37"/>
      <c r="L91" s="37"/>
      <c r="M91" s="25"/>
      <c r="N91" s="25"/>
      <c r="O91" s="25"/>
      <c r="P91" s="25"/>
    </row>
    <row r="92" spans="1:16" ht="15.75" customHeight="1" x14ac:dyDescent="0.25">
      <c r="A92" s="14" t="s">
        <v>305</v>
      </c>
      <c r="B92" s="28" t="s">
        <v>2210</v>
      </c>
      <c r="C92" s="28" t="s">
        <v>2211</v>
      </c>
      <c r="D92" s="17" t="s">
        <v>2205</v>
      </c>
      <c r="E92" s="18"/>
      <c r="F92" s="19"/>
      <c r="G92" s="20" t="s">
        <v>306</v>
      </c>
      <c r="H92" s="32" t="s">
        <v>723</v>
      </c>
      <c r="I92" s="25"/>
      <c r="J92" s="204"/>
      <c r="K92" s="37"/>
      <c r="L92" s="37"/>
      <c r="M92" s="25"/>
      <c r="N92" s="25"/>
      <c r="O92" s="25"/>
      <c r="P92" s="25"/>
    </row>
    <row r="93" spans="1:16" ht="15.75" customHeight="1" x14ac:dyDescent="0.25">
      <c r="A93" s="14" t="s">
        <v>308</v>
      </c>
      <c r="B93" s="28" t="s">
        <v>2206</v>
      </c>
      <c r="C93" s="28" t="s">
        <v>2207</v>
      </c>
      <c r="D93" s="17" t="s">
        <v>2205</v>
      </c>
      <c r="E93" s="18"/>
      <c r="F93" s="19"/>
      <c r="G93" s="20" t="s">
        <v>309</v>
      </c>
      <c r="H93" s="32" t="s">
        <v>723</v>
      </c>
      <c r="I93" s="25"/>
      <c r="J93" s="204"/>
      <c r="K93" s="37"/>
      <c r="L93" s="37"/>
      <c r="M93" s="25"/>
      <c r="N93" s="25"/>
      <c r="O93" s="25"/>
      <c r="P93" s="25"/>
    </row>
    <row r="94" spans="1:16" ht="15.75" customHeight="1" x14ac:dyDescent="0.25">
      <c r="A94" s="14" t="s">
        <v>311</v>
      </c>
      <c r="B94" s="28" t="s">
        <v>2208</v>
      </c>
      <c r="C94" s="28" t="s">
        <v>2209</v>
      </c>
      <c r="D94" s="17" t="s">
        <v>2205</v>
      </c>
      <c r="E94" s="18"/>
      <c r="F94" s="19"/>
      <c r="G94" s="20" t="s">
        <v>312</v>
      </c>
      <c r="H94" s="32" t="s">
        <v>723</v>
      </c>
      <c r="I94" s="25"/>
      <c r="J94" s="204"/>
      <c r="K94" s="37"/>
      <c r="L94" s="37"/>
      <c r="M94" s="25"/>
      <c r="N94" s="25"/>
      <c r="O94" s="25"/>
      <c r="P94" s="25"/>
    </row>
    <row r="95" spans="1:16" ht="15.75" customHeight="1" x14ac:dyDescent="0.25">
      <c r="A95" s="14" t="s">
        <v>314</v>
      </c>
      <c r="B95" s="28" t="s">
        <v>2163</v>
      </c>
      <c r="C95" s="28" t="s">
        <v>2164</v>
      </c>
      <c r="D95" s="17"/>
      <c r="E95" s="18"/>
      <c r="F95" s="19"/>
      <c r="G95" s="20" t="s">
        <v>315</v>
      </c>
      <c r="H95" s="32" t="s">
        <v>730</v>
      </c>
      <c r="I95" s="70" t="s">
        <v>2165</v>
      </c>
      <c r="J95" s="30" t="s">
        <v>2165</v>
      </c>
      <c r="K95" s="206"/>
      <c r="L95" s="206"/>
      <c r="M95" s="206"/>
      <c r="N95" s="33"/>
      <c r="O95" s="33"/>
      <c r="P95" s="33"/>
    </row>
    <row r="96" spans="1:16" ht="15.75" customHeight="1" x14ac:dyDescent="0.25">
      <c r="A96" s="14" t="s">
        <v>317</v>
      </c>
      <c r="B96" s="37"/>
      <c r="C96" s="28"/>
      <c r="D96" s="17"/>
      <c r="E96" s="18"/>
      <c r="F96" s="19"/>
      <c r="G96" s="20" t="s">
        <v>318</v>
      </c>
      <c r="H96" s="32" t="s">
        <v>737</v>
      </c>
      <c r="I96" s="33" t="s">
        <v>738</v>
      </c>
      <c r="J96" s="70" t="s">
        <v>2263</v>
      </c>
      <c r="K96" s="37"/>
      <c r="L96" s="37"/>
      <c r="M96" s="25"/>
      <c r="N96" s="25"/>
      <c r="O96" s="25"/>
      <c r="P96" s="25"/>
    </row>
    <row r="97" spans="1:16" ht="15.75" customHeight="1" x14ac:dyDescent="0.25">
      <c r="A97" s="14" t="s">
        <v>320</v>
      </c>
      <c r="B97" s="229"/>
      <c r="C97" s="28"/>
      <c r="D97" s="17"/>
      <c r="E97" s="18"/>
      <c r="F97" s="19"/>
      <c r="G97" s="20" t="s">
        <v>321</v>
      </c>
      <c r="H97" s="32" t="s">
        <v>747</v>
      </c>
      <c r="I97" s="25"/>
      <c r="J97" s="30" t="s">
        <v>748</v>
      </c>
      <c r="K97" s="37"/>
      <c r="L97" s="37"/>
      <c r="M97" s="25"/>
      <c r="N97" s="25"/>
      <c r="O97" s="25"/>
      <c r="P97" s="25"/>
    </row>
    <row r="98" spans="1:16" ht="15.75" customHeight="1" x14ac:dyDescent="0.25">
      <c r="A98" s="14" t="s">
        <v>323</v>
      </c>
      <c r="B98" s="28">
        <v>6643764265</v>
      </c>
      <c r="C98" s="28" t="s">
        <v>2143</v>
      </c>
      <c r="D98" s="17"/>
      <c r="E98" s="18"/>
      <c r="F98" s="19"/>
      <c r="G98" s="20" t="s">
        <v>324</v>
      </c>
      <c r="H98" s="32" t="s">
        <v>2142</v>
      </c>
      <c r="I98" s="25"/>
      <c r="J98" s="30"/>
      <c r="K98" s="53"/>
      <c r="L98" s="53"/>
      <c r="M98" s="25"/>
      <c r="N98" s="25"/>
      <c r="O98" s="25"/>
      <c r="P98" s="25"/>
    </row>
    <row r="99" spans="1:16" ht="15.75" customHeight="1" x14ac:dyDescent="0.25">
      <c r="A99" s="14" t="s">
        <v>326</v>
      </c>
      <c r="B99" s="240" t="s">
        <v>2179</v>
      </c>
      <c r="C99" s="240" t="s">
        <v>2241</v>
      </c>
      <c r="D99" s="17"/>
      <c r="E99" s="90" t="s">
        <v>8</v>
      </c>
      <c r="F99" s="19"/>
      <c r="G99" s="20" t="s">
        <v>327</v>
      </c>
      <c r="H99" s="32" t="s">
        <v>8</v>
      </c>
      <c r="I99" s="34" t="s">
        <v>767</v>
      </c>
      <c r="J99" s="30"/>
      <c r="K99" s="37"/>
      <c r="L99" s="37"/>
      <c r="M99" s="25"/>
      <c r="N99" s="25"/>
      <c r="O99" s="25"/>
      <c r="P99" s="25"/>
    </row>
    <row r="100" spans="1:16" ht="15.75" customHeight="1" x14ac:dyDescent="0.25">
      <c r="A100" s="14" t="s">
        <v>329</v>
      </c>
      <c r="B100" s="28" t="s">
        <v>2226</v>
      </c>
      <c r="C100" s="28" t="s">
        <v>2227</v>
      </c>
      <c r="D100" s="17"/>
      <c r="E100" s="90" t="s">
        <v>8</v>
      </c>
      <c r="F100" s="19"/>
      <c r="G100" s="20" t="s">
        <v>330</v>
      </c>
      <c r="H100" s="235" t="s">
        <v>8</v>
      </c>
      <c r="I100" s="34" t="s">
        <v>767</v>
      </c>
      <c r="J100" s="30"/>
      <c r="K100" s="37"/>
      <c r="L100" s="37"/>
      <c r="M100" s="25"/>
      <c r="N100" s="25"/>
      <c r="O100" s="25"/>
      <c r="P100" s="25"/>
    </row>
    <row r="101" spans="1:16" ht="15.75" customHeight="1" x14ac:dyDescent="0.25">
      <c r="A101" s="14" t="s">
        <v>335</v>
      </c>
      <c r="B101" s="28" t="s">
        <v>765</v>
      </c>
      <c r="C101" s="28" t="s">
        <v>2230</v>
      </c>
      <c r="D101" s="17"/>
      <c r="E101" s="90" t="s">
        <v>8</v>
      </c>
      <c r="F101" s="19"/>
      <c r="G101" s="20" t="s">
        <v>336</v>
      </c>
      <c r="H101" s="32" t="s">
        <v>8</v>
      </c>
      <c r="I101" s="34" t="s">
        <v>767</v>
      </c>
      <c r="J101" s="30"/>
      <c r="K101" s="37"/>
      <c r="L101" s="37"/>
      <c r="M101" s="25"/>
      <c r="N101" s="25"/>
      <c r="O101" s="25"/>
      <c r="P101" s="25"/>
    </row>
    <row r="102" spans="1:16" ht="15.75" customHeight="1" x14ac:dyDescent="0.25">
      <c r="A102" s="14" t="s">
        <v>237</v>
      </c>
      <c r="B102" s="28" t="s">
        <v>2326</v>
      </c>
      <c r="C102" s="28" t="s">
        <v>2327</v>
      </c>
      <c r="D102" s="17"/>
      <c r="E102" s="90" t="s">
        <v>8</v>
      </c>
      <c r="F102" s="19"/>
      <c r="G102" s="20" t="s">
        <v>238</v>
      </c>
      <c r="H102" s="32" t="s">
        <v>8</v>
      </c>
      <c r="I102" s="34" t="s">
        <v>767</v>
      </c>
      <c r="J102" s="30"/>
      <c r="K102" s="37"/>
      <c r="L102" s="37"/>
      <c r="M102" s="25"/>
      <c r="N102" s="25"/>
      <c r="O102" s="25"/>
      <c r="P102" s="25"/>
    </row>
    <row r="103" spans="1:16" ht="15.75" customHeight="1" x14ac:dyDescent="0.25">
      <c r="A103" s="14" t="s">
        <v>240</v>
      </c>
      <c r="B103" s="28" t="s">
        <v>768</v>
      </c>
      <c r="C103" s="28" t="s">
        <v>2229</v>
      </c>
      <c r="D103" s="17"/>
      <c r="E103" s="90" t="s">
        <v>8</v>
      </c>
      <c r="F103" s="19"/>
      <c r="G103" s="20" t="s">
        <v>241</v>
      </c>
      <c r="H103" s="32" t="s">
        <v>8</v>
      </c>
      <c r="I103" s="34" t="s">
        <v>767</v>
      </c>
      <c r="J103" s="30"/>
      <c r="K103" s="37"/>
      <c r="L103" s="37"/>
      <c r="M103" s="25"/>
      <c r="N103" s="25"/>
      <c r="O103" s="25"/>
      <c r="P103" s="25"/>
    </row>
    <row r="104" spans="1:16" ht="15.75" customHeight="1" x14ac:dyDescent="0.25">
      <c r="A104" s="14" t="s">
        <v>243</v>
      </c>
      <c r="B104" s="28" t="s">
        <v>769</v>
      </c>
      <c r="C104" s="28" t="s">
        <v>2240</v>
      </c>
      <c r="D104" s="17"/>
      <c r="E104" s="90" t="s">
        <v>8</v>
      </c>
      <c r="F104" s="19"/>
      <c r="G104" s="20" t="s">
        <v>244</v>
      </c>
      <c r="H104" s="234" t="s">
        <v>8</v>
      </c>
      <c r="I104" s="223" t="s">
        <v>767</v>
      </c>
      <c r="J104" s="30"/>
      <c r="K104" s="37"/>
      <c r="L104" s="37"/>
      <c r="M104" s="25"/>
      <c r="N104" s="25"/>
      <c r="O104" s="25"/>
      <c r="P104" s="25"/>
    </row>
    <row r="105" spans="1:16" ht="15.75" customHeight="1" x14ac:dyDescent="0.25">
      <c r="A105" s="14" t="s">
        <v>338</v>
      </c>
      <c r="B105" s="28" t="s">
        <v>770</v>
      </c>
      <c r="C105" s="28" t="s">
        <v>2129</v>
      </c>
      <c r="D105" s="17"/>
      <c r="E105" s="90" t="s">
        <v>8</v>
      </c>
      <c r="F105" s="19"/>
      <c r="G105" s="20" t="s">
        <v>339</v>
      </c>
      <c r="H105" s="32" t="s">
        <v>8</v>
      </c>
      <c r="I105" s="34" t="s">
        <v>767</v>
      </c>
      <c r="J105" s="30"/>
      <c r="K105" s="37"/>
      <c r="L105" s="37"/>
      <c r="M105" s="25"/>
      <c r="N105" s="25"/>
      <c r="O105" s="25"/>
      <c r="P105" s="25"/>
    </row>
    <row r="106" spans="1:16" ht="15.75" customHeight="1" x14ac:dyDescent="0.25">
      <c r="A106" s="14" t="s">
        <v>341</v>
      </c>
      <c r="B106" s="28">
        <v>132831000</v>
      </c>
      <c r="C106" s="28" t="s">
        <v>2160</v>
      </c>
      <c r="D106" s="17" t="s">
        <v>2161</v>
      </c>
      <c r="E106" s="90" t="s">
        <v>795</v>
      </c>
      <c r="F106" s="19"/>
      <c r="G106" s="20" t="s">
        <v>342</v>
      </c>
      <c r="H106" s="32" t="s">
        <v>795</v>
      </c>
      <c r="I106" s="34"/>
      <c r="J106" s="30" t="s">
        <v>798</v>
      </c>
      <c r="K106" s="25" t="s">
        <v>2212</v>
      </c>
      <c r="L106" s="25" t="s">
        <v>2213</v>
      </c>
      <c r="M106" s="25" t="s">
        <v>2214</v>
      </c>
      <c r="N106" s="33"/>
      <c r="O106" s="33"/>
      <c r="P106" s="33"/>
    </row>
    <row r="107" spans="1:16" ht="15.75" customHeight="1" x14ac:dyDescent="0.25">
      <c r="A107" s="14" t="s">
        <v>344</v>
      </c>
      <c r="B107" s="28"/>
      <c r="C107" s="28"/>
      <c r="D107" s="17"/>
      <c r="E107" s="90"/>
      <c r="F107" s="19"/>
      <c r="G107" s="20" t="s">
        <v>345</v>
      </c>
      <c r="H107" s="203" t="s">
        <v>2257</v>
      </c>
      <c r="I107" s="224" t="s">
        <v>2258</v>
      </c>
      <c r="J107" s="30"/>
      <c r="K107" s="25"/>
      <c r="L107" s="25"/>
      <c r="M107" s="25"/>
      <c r="N107" s="33"/>
      <c r="O107" s="33"/>
      <c r="P107" s="33"/>
    </row>
    <row r="108" spans="1:16" ht="15.75" customHeight="1" x14ac:dyDescent="0.25">
      <c r="A108" s="14" t="s">
        <v>347</v>
      </c>
      <c r="B108" s="28"/>
      <c r="C108" s="28" t="s">
        <v>2319</v>
      </c>
      <c r="D108" s="17"/>
      <c r="E108" s="90"/>
      <c r="F108" s="19"/>
      <c r="G108" s="20" t="s">
        <v>348</v>
      </c>
      <c r="H108" s="234" t="s">
        <v>2294</v>
      </c>
      <c r="I108" s="223" t="s">
        <v>797</v>
      </c>
      <c r="J108" s="33"/>
      <c r="K108" s="25" t="s">
        <v>2295</v>
      </c>
      <c r="L108" s="25" t="s">
        <v>2296</v>
      </c>
      <c r="M108" s="25" t="s">
        <v>2297</v>
      </c>
      <c r="N108" s="33"/>
      <c r="O108" s="33"/>
      <c r="P108" s="33"/>
    </row>
    <row r="109" spans="1:16" ht="15.75" customHeight="1" x14ac:dyDescent="0.25">
      <c r="A109" s="14" t="s">
        <v>350</v>
      </c>
      <c r="B109" s="28" t="s">
        <v>835</v>
      </c>
      <c r="C109" s="28" t="s">
        <v>2201</v>
      </c>
      <c r="D109" s="17"/>
      <c r="E109" s="214" t="s">
        <v>837</v>
      </c>
      <c r="F109" s="19"/>
      <c r="G109" s="20" t="s">
        <v>351</v>
      </c>
      <c r="H109" s="222" t="s">
        <v>1086</v>
      </c>
      <c r="I109" s="223"/>
      <c r="J109" s="33" t="s">
        <v>840</v>
      </c>
      <c r="K109" s="25" t="s">
        <v>2242</v>
      </c>
      <c r="L109" s="25" t="s">
        <v>2243</v>
      </c>
      <c r="M109" s="25" t="s">
        <v>2244</v>
      </c>
      <c r="N109" s="25"/>
      <c r="O109" s="25"/>
      <c r="P109" s="25"/>
    </row>
    <row r="110" spans="1:16" ht="15.75" customHeight="1" x14ac:dyDescent="0.25">
      <c r="A110" s="14" t="s">
        <v>353</v>
      </c>
      <c r="B110" s="28"/>
      <c r="C110" s="28"/>
      <c r="D110" s="17"/>
      <c r="E110" s="214"/>
      <c r="F110" s="19"/>
      <c r="G110" s="20" t="s">
        <v>354</v>
      </c>
      <c r="H110" s="222" t="s">
        <v>2248</v>
      </c>
      <c r="I110" s="223" t="s">
        <v>2177</v>
      </c>
      <c r="J110" s="33"/>
      <c r="K110" s="25" t="s">
        <v>2246</v>
      </c>
      <c r="L110" s="25" t="s">
        <v>2247</v>
      </c>
      <c r="M110" s="25" t="s">
        <v>2245</v>
      </c>
      <c r="N110" s="25"/>
      <c r="O110" s="25"/>
      <c r="P110" s="25"/>
    </row>
    <row r="111" spans="1:16" ht="15.75" customHeight="1" x14ac:dyDescent="0.25">
      <c r="A111" s="14" t="s">
        <v>356</v>
      </c>
      <c r="B111" s="28"/>
      <c r="C111" s="28"/>
      <c r="D111" s="17"/>
      <c r="E111" s="214"/>
      <c r="F111" s="19"/>
      <c r="G111" s="20" t="s">
        <v>357</v>
      </c>
      <c r="H111" s="222" t="s">
        <v>2253</v>
      </c>
      <c r="I111" s="223"/>
      <c r="J111" s="33"/>
      <c r="K111" s="25"/>
      <c r="L111" s="25"/>
      <c r="M111" s="25"/>
      <c r="N111" s="25"/>
      <c r="O111" s="25" t="s">
        <v>2254</v>
      </c>
      <c r="P111" s="25"/>
    </row>
    <row r="112" spans="1:16" ht="15.75" customHeight="1" x14ac:dyDescent="0.25">
      <c r="A112" s="14" t="s">
        <v>359</v>
      </c>
      <c r="B112" s="28" t="s">
        <v>2332</v>
      </c>
      <c r="C112" s="28" t="s">
        <v>2331</v>
      </c>
      <c r="D112" s="17"/>
      <c r="E112" s="214"/>
      <c r="F112" s="19"/>
      <c r="G112" s="20" t="s">
        <v>360</v>
      </c>
      <c r="H112" s="222" t="s">
        <v>2330</v>
      </c>
      <c r="I112" s="223" t="s">
        <v>2332</v>
      </c>
      <c r="J112" s="30"/>
      <c r="K112" s="25"/>
      <c r="L112" s="25"/>
      <c r="M112" s="25"/>
      <c r="N112" s="25"/>
      <c r="O112" s="25"/>
      <c r="P112" s="25"/>
    </row>
    <row r="113" spans="1:1025" ht="15.75" customHeight="1" x14ac:dyDescent="0.25">
      <c r="A113" s="14" t="s">
        <v>362</v>
      </c>
      <c r="B113" s="28"/>
      <c r="C113" s="28"/>
      <c r="D113" s="17"/>
      <c r="E113" s="90"/>
      <c r="F113" s="19"/>
      <c r="G113" s="20" t="s">
        <v>363</v>
      </c>
      <c r="H113" s="235" t="s">
        <v>857</v>
      </c>
      <c r="I113" s="223"/>
      <c r="J113" s="30" t="s">
        <v>859</v>
      </c>
      <c r="K113" s="37"/>
      <c r="L113" s="37"/>
      <c r="M113" s="25"/>
      <c r="N113" s="25"/>
      <c r="O113" s="25"/>
      <c r="P113" s="25"/>
    </row>
    <row r="114" spans="1:1025" ht="15.75" customHeight="1" x14ac:dyDescent="0.25">
      <c r="A114" s="14" t="s">
        <v>365</v>
      </c>
      <c r="B114" s="28" t="s">
        <v>891</v>
      </c>
      <c r="C114" s="28"/>
      <c r="D114" s="17" t="s">
        <v>892</v>
      </c>
      <c r="E114" s="90" t="s">
        <v>893</v>
      </c>
      <c r="F114" s="19"/>
      <c r="G114" s="20" t="s">
        <v>366</v>
      </c>
      <c r="H114" s="32" t="s">
        <v>893</v>
      </c>
      <c r="I114" s="38" t="s">
        <v>895</v>
      </c>
      <c r="J114" s="30"/>
      <c r="K114" s="25"/>
      <c r="L114" s="33" t="s">
        <v>2321</v>
      </c>
      <c r="M114" s="33"/>
      <c r="N114" s="25"/>
      <c r="O114" s="25"/>
      <c r="P114" s="25" t="s">
        <v>897</v>
      </c>
    </row>
    <row r="115" spans="1:1025" ht="15.75" customHeight="1" x14ac:dyDescent="0.25">
      <c r="A115" s="14" t="s">
        <v>368</v>
      </c>
      <c r="B115" s="28"/>
      <c r="C115" s="210"/>
      <c r="D115" s="17"/>
      <c r="E115" s="18"/>
      <c r="F115" s="19"/>
      <c r="G115" s="20" t="s">
        <v>369</v>
      </c>
      <c r="H115" s="32"/>
      <c r="I115" s="34"/>
      <c r="J115" s="30"/>
      <c r="K115" s="25"/>
      <c r="L115" s="25"/>
      <c r="M115" s="25"/>
      <c r="N115" s="25"/>
      <c r="O115" s="25"/>
      <c r="P115" s="25"/>
    </row>
    <row r="116" spans="1:1025" ht="15.75" customHeight="1" x14ac:dyDescent="0.25">
      <c r="A116" s="14" t="s">
        <v>371</v>
      </c>
      <c r="B116" s="28"/>
      <c r="C116" s="43"/>
      <c r="D116" s="17"/>
      <c r="E116" s="90"/>
      <c r="F116" s="19"/>
      <c r="G116" s="20" t="s">
        <v>372</v>
      </c>
      <c r="H116" s="32"/>
      <c r="I116" s="30"/>
      <c r="J116" s="30"/>
      <c r="K116" s="37"/>
      <c r="L116" s="37"/>
      <c r="M116" s="25"/>
      <c r="N116" s="33"/>
      <c r="O116" s="33"/>
      <c r="P116" s="33"/>
    </row>
    <row r="117" spans="1:1025" ht="15.75" customHeight="1" x14ac:dyDescent="0.25">
      <c r="A117" s="14" t="s">
        <v>374</v>
      </c>
      <c r="B117" s="28"/>
      <c r="C117" s="28"/>
      <c r="D117" s="17"/>
      <c r="E117" s="90"/>
      <c r="F117" s="95"/>
      <c r="G117" s="20" t="s">
        <v>2328</v>
      </c>
      <c r="H117" s="32"/>
      <c r="I117" s="33"/>
      <c r="J117" s="30"/>
      <c r="K117" s="37"/>
      <c r="L117" s="37"/>
      <c r="M117" s="25"/>
      <c r="N117" s="25"/>
      <c r="O117" s="25"/>
      <c r="P117" s="25"/>
    </row>
    <row r="118" spans="1:1025" ht="15.75" customHeight="1" x14ac:dyDescent="0.25">
      <c r="A118" s="14" t="s">
        <v>376</v>
      </c>
      <c r="B118" s="28"/>
      <c r="C118" s="28"/>
      <c r="D118" s="52"/>
      <c r="E118" s="90"/>
      <c r="F118" s="19"/>
      <c r="G118" s="20" t="s">
        <v>2328</v>
      </c>
      <c r="H118" s="32"/>
      <c r="I118" s="33"/>
      <c r="J118" s="77"/>
      <c r="K118" s="33"/>
      <c r="L118" s="33"/>
      <c r="M118" s="25"/>
      <c r="N118" s="33"/>
      <c r="O118" s="33"/>
      <c r="P118" s="33"/>
      <c r="Q118" s="25"/>
      <c r="R118" s="25"/>
      <c r="S118" s="25"/>
      <c r="T118" s="25"/>
      <c r="U118" s="25"/>
      <c r="V118" s="25"/>
      <c r="W118" s="25"/>
      <c r="X118" s="25"/>
      <c r="Y118" s="25"/>
      <c r="Z118" s="25"/>
      <c r="AA118" s="25"/>
      <c r="AB118" s="25"/>
      <c r="AC118" s="25"/>
      <c r="AD118" s="25"/>
      <c r="AE118" s="25"/>
      <c r="AF118" s="25"/>
      <c r="AG118" s="37"/>
      <c r="AH118" s="37"/>
      <c r="AI118" s="37"/>
      <c r="AJ118" s="37"/>
      <c r="ALN118" s="1"/>
      <c r="ALO118" s="1"/>
      <c r="ALP118" s="1"/>
      <c r="ALQ118" s="1"/>
      <c r="ALR118" s="1"/>
      <c r="ALS118" s="1"/>
      <c r="ALT118" s="1"/>
      <c r="ALU118" s="1"/>
      <c r="ALV118" s="1"/>
      <c r="ALW118" s="1"/>
      <c r="ALX118" s="1"/>
      <c r="ALY118" s="1"/>
      <c r="ALZ118" s="1"/>
      <c r="AMA118" s="1"/>
      <c r="AMB118" s="1"/>
      <c r="AMC118" s="1"/>
      <c r="AMD118" s="1"/>
      <c r="AME118" s="1"/>
      <c r="AMF118" s="1"/>
      <c r="AMG118" s="1"/>
      <c r="AMH118" s="1"/>
      <c r="AMI118" s="1"/>
      <c r="AMJ118" s="1"/>
      <c r="AMK118" s="1"/>
    </row>
    <row r="119" spans="1:1025" ht="15.75" customHeight="1" x14ac:dyDescent="0.25">
      <c r="F119" s="4"/>
    </row>
    <row r="120" spans="1:1025" ht="15.75" customHeight="1" x14ac:dyDescent="0.25">
      <c r="F120" s="4"/>
    </row>
  </sheetData>
  <autoFilter ref="A1:ALM118" xr:uid="{00000000-0001-0000-0000-000000000000}">
    <sortState xmlns:xlrd2="http://schemas.microsoft.com/office/spreadsheetml/2017/richdata2" ref="A2:ALM115">
      <sortCondition ref="H1"/>
    </sortState>
  </autoFilter>
  <sortState xmlns:xlrd2="http://schemas.microsoft.com/office/spreadsheetml/2017/richdata2" ref="A2:P120">
    <sortCondition ref="H1:H120"/>
  </sortState>
  <phoneticPr fontId="52" type="noConversion"/>
  <hyperlinks>
    <hyperlink ref="B73" r:id="rId1" xr:uid="{00000000-0004-0000-0000-000000000000}"/>
    <hyperlink ref="B8" r:id="rId2" xr:uid="{08CEFA49-D1C2-4832-9473-E06A32619248}"/>
    <hyperlink ref="B58" r:id="rId3" xr:uid="{DE6A1E8E-26E9-48B4-8B6F-D9902959892A}"/>
    <hyperlink ref="D76" r:id="rId4" xr:uid="{767AA173-F21D-421B-BD0F-06A706574D2C}"/>
    <hyperlink ref="B20" r:id="rId5" xr:uid="{0691ABA2-4F47-4D41-AA01-9519ED118C42}"/>
    <hyperlink ref="C19" r:id="rId6" xr:uid="{98C60D42-538B-4827-ABB6-5F5BF0CF763B}"/>
    <hyperlink ref="B80" r:id="rId7" xr:uid="{8EA2E04D-C7C3-47E5-91AA-E57DF4A2AA2F}"/>
  </hyperlinks>
  <printOptions horizontalCentered="1" verticalCentered="1"/>
  <pageMargins left="0" right="0" top="0" bottom="0" header="0" footer="0"/>
  <pageSetup paperSize="9" scale="21" fitToHeight="2" orientation="landscape" horizontalDpi="300" verticalDpi="300" r:id="rId8"/>
  <legacy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2">
    <pageSetUpPr fitToPage="1"/>
  </sheetPr>
  <dimension ref="A1:H182"/>
  <sheetViews>
    <sheetView zoomScaleNormal="100" workbookViewId="0">
      <selection activeCell="H42" sqref="H42"/>
    </sheetView>
  </sheetViews>
  <sheetFormatPr baseColWidth="10" defaultColWidth="10.7109375" defaultRowHeight="15" x14ac:dyDescent="0.25"/>
  <cols>
    <col min="1" max="1" width="51.5703125" customWidth="1"/>
    <col min="8" max="8" width="14" customWidth="1"/>
  </cols>
  <sheetData>
    <row r="1" spans="1:8" ht="21" x14ac:dyDescent="0.35">
      <c r="A1" t="s">
        <v>898</v>
      </c>
      <c r="B1" t="s">
        <v>899</v>
      </c>
      <c r="C1" t="s">
        <v>900</v>
      </c>
      <c r="D1" t="s">
        <v>901</v>
      </c>
      <c r="E1" s="55" t="s">
        <v>902</v>
      </c>
      <c r="F1" t="s">
        <v>903</v>
      </c>
      <c r="G1" s="96" t="s">
        <v>904</v>
      </c>
      <c r="H1" t="s">
        <v>905</v>
      </c>
    </row>
    <row r="2" spans="1:8" ht="21" x14ac:dyDescent="0.35">
      <c r="A2" t="s">
        <v>39</v>
      </c>
      <c r="C2" t="s">
        <v>906</v>
      </c>
      <c r="D2" s="97"/>
      <c r="E2" s="55" t="s">
        <v>906</v>
      </c>
      <c r="F2" s="97"/>
      <c r="G2" s="96"/>
    </row>
    <row r="3" spans="1:8" ht="21" x14ac:dyDescent="0.35">
      <c r="A3" t="s">
        <v>41</v>
      </c>
      <c r="D3" s="97"/>
      <c r="E3" s="55"/>
      <c r="F3" s="97"/>
      <c r="G3" s="96"/>
    </row>
    <row r="4" spans="1:8" ht="21" x14ac:dyDescent="0.35">
      <c r="A4" t="s">
        <v>43</v>
      </c>
      <c r="D4" s="97"/>
      <c r="E4" s="55"/>
      <c r="F4" s="97"/>
      <c r="G4" s="96"/>
    </row>
    <row r="5" spans="1:8" ht="21" x14ac:dyDescent="0.35">
      <c r="A5" t="s">
        <v>907</v>
      </c>
      <c r="D5" s="97"/>
      <c r="E5" s="55"/>
      <c r="F5" s="97"/>
      <c r="G5" s="96"/>
    </row>
    <row r="6" spans="1:8" ht="21" x14ac:dyDescent="0.35">
      <c r="A6" t="s">
        <v>71</v>
      </c>
      <c r="B6" t="s">
        <v>906</v>
      </c>
      <c r="C6" t="s">
        <v>906</v>
      </c>
      <c r="D6" s="97" t="s">
        <v>906</v>
      </c>
      <c r="E6" s="98" t="s">
        <v>906</v>
      </c>
      <c r="F6" s="97"/>
      <c r="G6" s="96" t="s">
        <v>906</v>
      </c>
      <c r="H6" s="99"/>
    </row>
    <row r="7" spans="1:8" ht="21" x14ac:dyDescent="0.35">
      <c r="A7" t="s">
        <v>226</v>
      </c>
      <c r="B7" t="s">
        <v>906</v>
      </c>
      <c r="D7" s="97"/>
      <c r="E7" s="98" t="s">
        <v>906</v>
      </c>
      <c r="F7" s="97"/>
      <c r="G7" s="96"/>
    </row>
    <row r="8" spans="1:8" ht="21" x14ac:dyDescent="0.35">
      <c r="A8" t="s">
        <v>62</v>
      </c>
      <c r="B8" t="s">
        <v>906</v>
      </c>
      <c r="C8" t="s">
        <v>906</v>
      </c>
      <c r="D8" s="97" t="s">
        <v>906</v>
      </c>
      <c r="E8" s="98" t="s">
        <v>906</v>
      </c>
      <c r="F8" t="s">
        <v>908</v>
      </c>
      <c r="G8" s="96"/>
    </row>
    <row r="9" spans="1:8" ht="21" x14ac:dyDescent="0.35">
      <c r="A9" t="s">
        <v>67</v>
      </c>
      <c r="B9" t="s">
        <v>906</v>
      </c>
      <c r="D9" s="97"/>
      <c r="E9" s="55"/>
      <c r="F9" s="97"/>
      <c r="G9" s="96"/>
    </row>
    <row r="10" spans="1:8" ht="21" x14ac:dyDescent="0.35">
      <c r="A10" t="s">
        <v>909</v>
      </c>
      <c r="B10" t="s">
        <v>906</v>
      </c>
      <c r="C10" t="s">
        <v>906</v>
      </c>
      <c r="D10" s="97"/>
      <c r="E10" s="98" t="s">
        <v>906</v>
      </c>
      <c r="F10" s="97"/>
      <c r="G10" s="96" t="s">
        <v>906</v>
      </c>
      <c r="H10" s="99"/>
    </row>
    <row r="11" spans="1:8" ht="21" x14ac:dyDescent="0.35">
      <c r="A11" t="s">
        <v>77</v>
      </c>
      <c r="C11" t="s">
        <v>906</v>
      </c>
      <c r="D11" s="97"/>
      <c r="E11" s="98" t="s">
        <v>906</v>
      </c>
      <c r="F11" s="97"/>
      <c r="G11" s="96" t="s">
        <v>906</v>
      </c>
    </row>
    <row r="12" spans="1:8" ht="21" x14ac:dyDescent="0.35">
      <c r="A12" t="s">
        <v>86</v>
      </c>
      <c r="B12" t="s">
        <v>906</v>
      </c>
      <c r="D12" s="97"/>
      <c r="E12" s="98" t="s">
        <v>906</v>
      </c>
      <c r="F12" s="97"/>
      <c r="G12" s="96" t="s">
        <v>906</v>
      </c>
    </row>
    <row r="13" spans="1:8" ht="21" x14ac:dyDescent="0.35">
      <c r="A13" t="s">
        <v>83</v>
      </c>
      <c r="D13" s="97"/>
      <c r="E13" s="55" t="s">
        <v>910</v>
      </c>
      <c r="F13" s="97"/>
      <c r="G13" s="96"/>
    </row>
    <row r="14" spans="1:8" ht="21" x14ac:dyDescent="0.35">
      <c r="A14" t="s">
        <v>91</v>
      </c>
      <c r="B14" t="s">
        <v>906</v>
      </c>
      <c r="C14" t="s">
        <v>906</v>
      </c>
      <c r="D14" s="97"/>
      <c r="E14" s="55"/>
      <c r="F14" s="97"/>
      <c r="G14" s="96" t="s">
        <v>906</v>
      </c>
    </row>
    <row r="15" spans="1:8" ht="21" x14ac:dyDescent="0.35">
      <c r="A15" t="s">
        <v>105</v>
      </c>
      <c r="C15" t="s">
        <v>906</v>
      </c>
      <c r="D15" s="97"/>
      <c r="E15" s="55"/>
      <c r="F15" s="97"/>
      <c r="G15" s="96" t="s">
        <v>906</v>
      </c>
    </row>
    <row r="16" spans="1:8" ht="21" x14ac:dyDescent="0.35">
      <c r="A16" t="s">
        <v>99</v>
      </c>
      <c r="D16" s="97"/>
      <c r="E16" s="55"/>
      <c r="F16" s="97"/>
      <c r="G16" s="96"/>
    </row>
    <row r="17" spans="1:8" ht="21" x14ac:dyDescent="0.35">
      <c r="A17" t="s">
        <v>911</v>
      </c>
      <c r="B17" t="s">
        <v>906</v>
      </c>
      <c r="C17" t="s">
        <v>906</v>
      </c>
      <c r="D17" s="97" t="s">
        <v>906</v>
      </c>
      <c r="E17" s="55"/>
      <c r="F17" s="97"/>
      <c r="G17" s="96"/>
    </row>
    <row r="18" spans="1:8" ht="21" x14ac:dyDescent="0.35">
      <c r="A18" t="s">
        <v>10</v>
      </c>
      <c r="D18" s="97"/>
      <c r="E18" s="55"/>
      <c r="F18" s="97"/>
      <c r="G18" s="96"/>
      <c r="H18" s="99"/>
    </row>
    <row r="19" spans="1:8" ht="21" x14ac:dyDescent="0.35">
      <c r="A19" t="s">
        <v>94</v>
      </c>
      <c r="D19" s="97"/>
      <c r="E19" s="55" t="s">
        <v>912</v>
      </c>
      <c r="F19" s="97"/>
      <c r="G19" s="96"/>
    </row>
    <row r="20" spans="1:8" ht="21" x14ac:dyDescent="0.35">
      <c r="A20" t="s">
        <v>913</v>
      </c>
      <c r="D20" s="97"/>
      <c r="E20" s="55"/>
      <c r="F20" s="97"/>
      <c r="G20" s="96"/>
    </row>
    <row r="21" spans="1:8" ht="21" x14ac:dyDescent="0.35">
      <c r="A21" t="s">
        <v>113</v>
      </c>
      <c r="B21" t="s">
        <v>906</v>
      </c>
      <c r="C21" t="s">
        <v>906</v>
      </c>
      <c r="D21" s="97"/>
      <c r="E21" s="98" t="s">
        <v>906</v>
      </c>
      <c r="F21" s="97"/>
      <c r="G21" s="96" t="s">
        <v>906</v>
      </c>
    </row>
    <row r="22" spans="1:8" ht="21" x14ac:dyDescent="0.35">
      <c r="A22" t="s">
        <v>37</v>
      </c>
      <c r="D22" s="97"/>
      <c r="E22" s="55"/>
      <c r="F22" s="97"/>
      <c r="G22" s="96"/>
    </row>
    <row r="23" spans="1:8" ht="21" x14ac:dyDescent="0.35">
      <c r="A23" t="s">
        <v>126</v>
      </c>
      <c r="B23" t="s">
        <v>906</v>
      </c>
      <c r="C23" t="s">
        <v>906</v>
      </c>
      <c r="D23" s="97" t="s">
        <v>906</v>
      </c>
      <c r="E23" s="98" t="s">
        <v>914</v>
      </c>
      <c r="F23" s="97"/>
      <c r="G23" s="96"/>
      <c r="H23" s="99"/>
    </row>
    <row r="24" spans="1:8" ht="21" x14ac:dyDescent="0.35">
      <c r="A24" t="s">
        <v>915</v>
      </c>
      <c r="C24" t="s">
        <v>906</v>
      </c>
      <c r="D24" s="97"/>
      <c r="E24" s="55"/>
      <c r="F24" s="97"/>
      <c r="G24" s="96" t="s">
        <v>906</v>
      </c>
      <c r="H24" s="99" t="s">
        <v>916</v>
      </c>
    </row>
    <row r="25" spans="1:8" ht="21" x14ac:dyDescent="0.35">
      <c r="A25" t="s">
        <v>132</v>
      </c>
      <c r="B25" t="s">
        <v>906</v>
      </c>
      <c r="C25" t="s">
        <v>906</v>
      </c>
      <c r="D25" s="97" t="s">
        <v>906</v>
      </c>
      <c r="E25" s="55"/>
      <c r="F25" s="97"/>
      <c r="G25" s="96"/>
    </row>
    <row r="26" spans="1:8" ht="21" x14ac:dyDescent="0.35">
      <c r="A26" t="s">
        <v>45</v>
      </c>
      <c r="B26" t="s">
        <v>906</v>
      </c>
      <c r="C26" t="s">
        <v>906</v>
      </c>
      <c r="D26" s="97"/>
      <c r="E26" s="55"/>
      <c r="F26" s="97"/>
      <c r="G26" s="96" t="s">
        <v>906</v>
      </c>
    </row>
    <row r="27" spans="1:8" ht="21" x14ac:dyDescent="0.35">
      <c r="A27" t="s">
        <v>917</v>
      </c>
      <c r="B27" t="s">
        <v>906</v>
      </c>
      <c r="C27" t="s">
        <v>906</v>
      </c>
      <c r="D27" s="97" t="s">
        <v>906</v>
      </c>
      <c r="E27" s="55"/>
      <c r="F27" s="97"/>
      <c r="G27" s="96" t="s">
        <v>906</v>
      </c>
    </row>
    <row r="28" spans="1:8" ht="21" x14ac:dyDescent="0.35">
      <c r="A28" t="s">
        <v>918</v>
      </c>
      <c r="B28" t="s">
        <v>906</v>
      </c>
      <c r="D28" s="97"/>
      <c r="E28" s="55"/>
      <c r="F28" s="97"/>
      <c r="G28" s="96"/>
    </row>
    <row r="29" spans="1:8" ht="21" x14ac:dyDescent="0.35">
      <c r="A29" t="s">
        <v>145</v>
      </c>
      <c r="B29" t="s">
        <v>906</v>
      </c>
      <c r="C29" t="s">
        <v>906</v>
      </c>
      <c r="D29" s="97" t="s">
        <v>906</v>
      </c>
      <c r="E29" s="98" t="s">
        <v>906</v>
      </c>
      <c r="F29" s="97"/>
      <c r="G29" s="96"/>
    </row>
    <row r="30" spans="1:8" ht="21" x14ac:dyDescent="0.35">
      <c r="A30" t="s">
        <v>162</v>
      </c>
      <c r="C30" t="s">
        <v>906</v>
      </c>
      <c r="D30" s="97"/>
      <c r="E30" s="55"/>
      <c r="F30" s="97"/>
      <c r="G30" s="96" t="s">
        <v>906</v>
      </c>
    </row>
    <row r="31" spans="1:8" ht="21" x14ac:dyDescent="0.35">
      <c r="A31" t="s">
        <v>156</v>
      </c>
      <c r="D31" s="97"/>
      <c r="E31" s="55"/>
      <c r="F31" s="97"/>
      <c r="G31" s="96"/>
    </row>
    <row r="32" spans="1:8" ht="21" x14ac:dyDescent="0.35">
      <c r="A32" t="s">
        <v>919</v>
      </c>
      <c r="B32" t="s">
        <v>906</v>
      </c>
      <c r="C32" t="s">
        <v>906</v>
      </c>
      <c r="D32" s="97"/>
      <c r="E32" s="98" t="s">
        <v>906</v>
      </c>
      <c r="F32" s="97"/>
      <c r="G32" s="96" t="s">
        <v>906</v>
      </c>
    </row>
    <row r="33" spans="1:8" ht="21" x14ac:dyDescent="0.35">
      <c r="A33" t="s">
        <v>159</v>
      </c>
      <c r="C33" t="s">
        <v>906</v>
      </c>
      <c r="D33" s="97"/>
      <c r="E33" s="55"/>
      <c r="F33" s="97"/>
      <c r="G33" s="96"/>
    </row>
    <row r="34" spans="1:8" ht="21" x14ac:dyDescent="0.35">
      <c r="A34" t="s">
        <v>165</v>
      </c>
      <c r="B34" t="s">
        <v>906</v>
      </c>
      <c r="D34" s="97" t="s">
        <v>906</v>
      </c>
      <c r="E34" s="55"/>
      <c r="F34" s="97"/>
      <c r="G34" s="96"/>
      <c r="H34" s="99"/>
    </row>
    <row r="35" spans="1:8" ht="21" x14ac:dyDescent="0.35">
      <c r="A35" t="s">
        <v>168</v>
      </c>
      <c r="B35" t="s">
        <v>906</v>
      </c>
      <c r="C35" t="s">
        <v>906</v>
      </c>
      <c r="D35" s="97" t="s">
        <v>906</v>
      </c>
      <c r="E35" s="55"/>
      <c r="F35" s="97"/>
      <c r="G35" s="96" t="s">
        <v>906</v>
      </c>
      <c r="H35" s="99"/>
    </row>
    <row r="36" spans="1:8" ht="21" x14ac:dyDescent="0.35">
      <c r="A36" t="s">
        <v>174</v>
      </c>
      <c r="B36" t="s">
        <v>906</v>
      </c>
      <c r="C36" t="s">
        <v>906</v>
      </c>
      <c r="D36" s="97"/>
      <c r="E36" s="55"/>
      <c r="F36" s="97"/>
      <c r="G36" s="96" t="s">
        <v>906</v>
      </c>
    </row>
    <row r="37" spans="1:8" ht="21" x14ac:dyDescent="0.35">
      <c r="A37" t="s">
        <v>171</v>
      </c>
      <c r="C37" t="s">
        <v>906</v>
      </c>
      <c r="D37" s="97" t="s">
        <v>906</v>
      </c>
      <c r="E37" s="55" t="s">
        <v>906</v>
      </c>
      <c r="F37" s="97"/>
      <c r="G37" s="96"/>
    </row>
    <row r="38" spans="1:8" ht="21" x14ac:dyDescent="0.35">
      <c r="A38" t="s">
        <v>183</v>
      </c>
      <c r="B38" t="s">
        <v>906</v>
      </c>
      <c r="C38" t="s">
        <v>906</v>
      </c>
      <c r="D38" s="97" t="s">
        <v>906</v>
      </c>
      <c r="E38" s="55"/>
      <c r="F38" s="97"/>
      <c r="G38" s="96" t="s">
        <v>906</v>
      </c>
      <c r="H38" s="99"/>
    </row>
    <row r="39" spans="1:8" ht="21" x14ac:dyDescent="0.35">
      <c r="A39" t="s">
        <v>186</v>
      </c>
      <c r="D39" s="97"/>
      <c r="E39" s="55"/>
      <c r="F39" s="97"/>
      <c r="G39" s="96"/>
    </row>
    <row r="40" spans="1:8" ht="21" x14ac:dyDescent="0.35">
      <c r="A40" t="s">
        <v>189</v>
      </c>
      <c r="D40" s="97" t="s">
        <v>906</v>
      </c>
      <c r="E40" s="55" t="s">
        <v>906</v>
      </c>
      <c r="F40" t="s">
        <v>908</v>
      </c>
      <c r="G40" s="96"/>
    </row>
    <row r="41" spans="1:8" ht="21" x14ac:dyDescent="0.35">
      <c r="A41" t="s">
        <v>192</v>
      </c>
      <c r="D41" s="97"/>
      <c r="E41" s="55" t="s">
        <v>906</v>
      </c>
      <c r="F41" s="97"/>
      <c r="G41" s="96" t="s">
        <v>906</v>
      </c>
    </row>
    <row r="42" spans="1:8" ht="21" x14ac:dyDescent="0.35">
      <c r="A42" t="s">
        <v>195</v>
      </c>
      <c r="D42" s="97"/>
      <c r="E42" s="55"/>
      <c r="F42" s="97"/>
      <c r="G42" s="96"/>
    </row>
    <row r="43" spans="1:8" ht="21" x14ac:dyDescent="0.35">
      <c r="A43" t="s">
        <v>920</v>
      </c>
      <c r="C43" t="s">
        <v>906</v>
      </c>
      <c r="D43" s="97"/>
      <c r="E43" s="55"/>
      <c r="F43" s="97"/>
      <c r="G43" s="96" t="s">
        <v>906</v>
      </c>
    </row>
    <row r="44" spans="1:8" ht="21" x14ac:dyDescent="0.35">
      <c r="A44" t="s">
        <v>921</v>
      </c>
      <c r="D44" s="97"/>
      <c r="E44" s="55"/>
      <c r="F44" s="97"/>
      <c r="G44" s="96"/>
    </row>
    <row r="45" spans="1:8" ht="21" x14ac:dyDescent="0.35">
      <c r="A45" t="s">
        <v>208</v>
      </c>
      <c r="B45" t="s">
        <v>906</v>
      </c>
      <c r="D45" s="97"/>
      <c r="E45" s="55"/>
      <c r="F45" s="97"/>
      <c r="G45" s="96" t="s">
        <v>906</v>
      </c>
    </row>
    <row r="46" spans="1:8" ht="21" x14ac:dyDescent="0.35">
      <c r="A46" t="s">
        <v>214</v>
      </c>
      <c r="B46" t="s">
        <v>906</v>
      </c>
      <c r="C46" t="s">
        <v>906</v>
      </c>
      <c r="D46" s="97"/>
      <c r="E46" s="55"/>
      <c r="F46" s="97"/>
      <c r="G46" s="96"/>
    </row>
    <row r="47" spans="1:8" ht="21" x14ac:dyDescent="0.35">
      <c r="A47" t="s">
        <v>922</v>
      </c>
      <c r="D47" s="97"/>
      <c r="E47" s="55"/>
      <c r="F47" s="97"/>
      <c r="G47" s="96"/>
    </row>
    <row r="48" spans="1:8" ht="21" x14ac:dyDescent="0.35">
      <c r="A48" t="s">
        <v>220</v>
      </c>
      <c r="D48" s="97"/>
      <c r="E48" s="55"/>
      <c r="F48" s="97"/>
      <c r="G48" s="96"/>
    </row>
    <row r="49" spans="1:8" ht="21" x14ac:dyDescent="0.35">
      <c r="A49" t="s">
        <v>217</v>
      </c>
      <c r="D49" s="97"/>
      <c r="E49" s="55"/>
      <c r="F49" s="97"/>
      <c r="G49" s="96"/>
    </row>
    <row r="50" spans="1:8" ht="21" x14ac:dyDescent="0.35">
      <c r="A50" t="s">
        <v>223</v>
      </c>
      <c r="C50" t="s">
        <v>906</v>
      </c>
      <c r="D50" s="97"/>
      <c r="E50" s="55"/>
      <c r="F50" s="97"/>
      <c r="G50" s="96" t="s">
        <v>906</v>
      </c>
      <c r="H50" s="99"/>
    </row>
    <row r="51" spans="1:8" ht="21" x14ac:dyDescent="0.35">
      <c r="A51" t="s">
        <v>923</v>
      </c>
      <c r="D51" s="97"/>
      <c r="E51" s="55"/>
      <c r="F51" s="97"/>
      <c r="G51" s="96"/>
    </row>
    <row r="52" spans="1:8" ht="21" x14ac:dyDescent="0.35">
      <c r="A52" t="s">
        <v>232</v>
      </c>
      <c r="B52" t="s">
        <v>906</v>
      </c>
      <c r="D52" s="97" t="s">
        <v>906</v>
      </c>
      <c r="E52" s="55"/>
      <c r="F52" s="97"/>
      <c r="G52" s="96" t="s">
        <v>906</v>
      </c>
    </row>
    <row r="53" spans="1:8" ht="21" x14ac:dyDescent="0.35">
      <c r="A53" t="s">
        <v>924</v>
      </c>
      <c r="C53" t="s">
        <v>906</v>
      </c>
      <c r="D53" s="97"/>
      <c r="E53" s="55" t="s">
        <v>906</v>
      </c>
      <c r="F53" s="97"/>
      <c r="G53" s="96" t="s">
        <v>906</v>
      </c>
    </row>
    <row r="54" spans="1:8" ht="21" x14ac:dyDescent="0.35">
      <c r="A54" t="s">
        <v>925</v>
      </c>
      <c r="B54" t="s">
        <v>906</v>
      </c>
      <c r="D54" s="97"/>
      <c r="E54" s="98" t="s">
        <v>906</v>
      </c>
      <c r="F54" s="97"/>
      <c r="G54" s="96"/>
    </row>
    <row r="55" spans="1:8" ht="21" x14ac:dyDescent="0.35">
      <c r="A55" t="s">
        <v>254</v>
      </c>
      <c r="B55" t="s">
        <v>906</v>
      </c>
      <c r="C55" t="s">
        <v>906</v>
      </c>
      <c r="D55" s="97" t="s">
        <v>906</v>
      </c>
      <c r="E55" s="55"/>
      <c r="F55" s="97"/>
      <c r="G55" s="96" t="s">
        <v>906</v>
      </c>
    </row>
    <row r="56" spans="1:8" ht="21" x14ac:dyDescent="0.35">
      <c r="A56" t="s">
        <v>791</v>
      </c>
      <c r="B56" t="s">
        <v>906</v>
      </c>
      <c r="D56" s="97"/>
      <c r="E56" s="55"/>
      <c r="F56" s="97"/>
      <c r="G56" s="96" t="s">
        <v>906</v>
      </c>
    </row>
    <row r="57" spans="1:8" ht="21" x14ac:dyDescent="0.35">
      <c r="A57" t="s">
        <v>257</v>
      </c>
      <c r="B57" t="s">
        <v>906</v>
      </c>
      <c r="D57" s="97"/>
      <c r="E57" s="55"/>
      <c r="F57" t="s">
        <v>908</v>
      </c>
      <c r="G57" s="96" t="s">
        <v>906</v>
      </c>
    </row>
    <row r="58" spans="1:8" ht="21" x14ac:dyDescent="0.35">
      <c r="A58" t="s">
        <v>260</v>
      </c>
      <c r="B58" t="s">
        <v>906</v>
      </c>
      <c r="D58" s="97" t="s">
        <v>906</v>
      </c>
      <c r="E58" s="55"/>
      <c r="F58" s="97"/>
      <c r="G58" s="96" t="s">
        <v>906</v>
      </c>
    </row>
    <row r="59" spans="1:8" ht="21" x14ac:dyDescent="0.35">
      <c r="A59" t="s">
        <v>263</v>
      </c>
      <c r="D59" s="97"/>
      <c r="E59" s="98" t="s">
        <v>906</v>
      </c>
      <c r="F59" s="97"/>
      <c r="G59" s="96" t="s">
        <v>906</v>
      </c>
    </row>
    <row r="60" spans="1:8" ht="21" x14ac:dyDescent="0.35">
      <c r="A60" t="s">
        <v>926</v>
      </c>
      <c r="D60" s="97"/>
      <c r="E60" s="98" t="s">
        <v>906</v>
      </c>
      <c r="F60" t="s">
        <v>908</v>
      </c>
      <c r="G60" s="96"/>
    </row>
    <row r="61" spans="1:8" ht="21" x14ac:dyDescent="0.35">
      <c r="A61" t="s">
        <v>283</v>
      </c>
      <c r="D61" s="97"/>
      <c r="E61" s="55"/>
      <c r="F61" s="97"/>
      <c r="G61" s="96"/>
      <c r="H61" s="99"/>
    </row>
    <row r="62" spans="1:8" ht="21" x14ac:dyDescent="0.35">
      <c r="A62" t="s">
        <v>927</v>
      </c>
      <c r="B62" t="s">
        <v>906</v>
      </c>
      <c r="D62" s="97"/>
      <c r="E62" s="55"/>
      <c r="F62" s="97"/>
      <c r="G62" s="96" t="s">
        <v>906</v>
      </c>
    </row>
    <row r="63" spans="1:8" ht="21" x14ac:dyDescent="0.35">
      <c r="A63" t="s">
        <v>295</v>
      </c>
      <c r="D63" s="97"/>
      <c r="E63" s="55"/>
      <c r="F63" s="97"/>
      <c r="G63" s="96"/>
    </row>
    <row r="64" spans="1:8" ht="21" x14ac:dyDescent="0.35">
      <c r="A64" t="s">
        <v>298</v>
      </c>
      <c r="D64" s="97"/>
      <c r="E64" s="55"/>
      <c r="F64" s="97"/>
      <c r="G64" s="96"/>
    </row>
    <row r="65" spans="1:8" ht="21" x14ac:dyDescent="0.35">
      <c r="A65" t="s">
        <v>301</v>
      </c>
      <c r="B65" t="s">
        <v>906</v>
      </c>
      <c r="D65" s="97"/>
      <c r="E65" s="55"/>
      <c r="F65" s="97"/>
      <c r="G65" s="96"/>
    </row>
    <row r="66" spans="1:8" ht="21" x14ac:dyDescent="0.35">
      <c r="A66" t="s">
        <v>304</v>
      </c>
      <c r="D66" s="97"/>
      <c r="E66" s="55"/>
      <c r="F66" s="97"/>
      <c r="G66" s="96"/>
    </row>
    <row r="67" spans="1:8" ht="21" x14ac:dyDescent="0.35">
      <c r="A67" t="s">
        <v>928</v>
      </c>
      <c r="C67" t="s">
        <v>906</v>
      </c>
      <c r="D67" s="97"/>
      <c r="E67" s="55"/>
      <c r="F67" t="s">
        <v>908</v>
      </c>
      <c r="G67" s="96"/>
    </row>
    <row r="68" spans="1:8" ht="21" x14ac:dyDescent="0.35">
      <c r="A68" t="s">
        <v>322</v>
      </c>
      <c r="D68" s="97"/>
      <c r="E68" s="55"/>
      <c r="F68" s="97"/>
      <c r="G68" s="96"/>
    </row>
    <row r="69" spans="1:8" ht="21" x14ac:dyDescent="0.35">
      <c r="A69" t="s">
        <v>307</v>
      </c>
      <c r="D69" s="97"/>
      <c r="E69" s="55"/>
      <c r="F69" s="97"/>
      <c r="G69" s="96"/>
    </row>
    <row r="70" spans="1:8" ht="21" x14ac:dyDescent="0.35">
      <c r="A70" t="s">
        <v>325</v>
      </c>
      <c r="B70" t="s">
        <v>906</v>
      </c>
      <c r="C70" t="s">
        <v>906</v>
      </c>
      <c r="D70" s="97" t="s">
        <v>906</v>
      </c>
      <c r="E70" s="55"/>
      <c r="F70" s="97"/>
      <c r="G70" s="96"/>
    </row>
    <row r="71" spans="1:8" ht="21" x14ac:dyDescent="0.35">
      <c r="A71" t="s">
        <v>310</v>
      </c>
      <c r="D71" s="97"/>
      <c r="E71" s="98" t="s">
        <v>906</v>
      </c>
      <c r="F71" t="s">
        <v>908</v>
      </c>
      <c r="G71" s="96"/>
    </row>
    <row r="72" spans="1:8" ht="21" x14ac:dyDescent="0.35">
      <c r="A72" t="s">
        <v>929</v>
      </c>
      <c r="D72" s="97"/>
      <c r="E72" s="55"/>
      <c r="F72" s="97"/>
      <c r="G72" s="96"/>
    </row>
    <row r="73" spans="1:8" ht="21" x14ac:dyDescent="0.35">
      <c r="A73" t="s">
        <v>930</v>
      </c>
      <c r="D73" s="97"/>
      <c r="E73" s="55"/>
      <c r="F73" s="97"/>
      <c r="G73" s="96"/>
    </row>
    <row r="74" spans="1:8" ht="21" x14ac:dyDescent="0.35">
      <c r="A74" t="s">
        <v>931</v>
      </c>
      <c r="B74" t="s">
        <v>906</v>
      </c>
      <c r="C74" t="s">
        <v>906</v>
      </c>
      <c r="D74" s="97" t="s">
        <v>906</v>
      </c>
      <c r="E74" s="55"/>
      <c r="F74" s="97"/>
      <c r="G74" s="96" t="s">
        <v>906</v>
      </c>
    </row>
    <row r="75" spans="1:8" ht="21" x14ac:dyDescent="0.35">
      <c r="A75" t="s">
        <v>932</v>
      </c>
      <c r="D75" s="97"/>
      <c r="E75" s="55"/>
      <c r="F75" s="97"/>
      <c r="G75" s="96"/>
    </row>
    <row r="76" spans="1:8" ht="21" x14ac:dyDescent="0.35">
      <c r="A76" t="s">
        <v>933</v>
      </c>
      <c r="D76" s="97"/>
      <c r="E76" s="55"/>
      <c r="F76" s="97"/>
      <c r="G76" s="96"/>
    </row>
    <row r="77" spans="1:8" ht="21" x14ac:dyDescent="0.35">
      <c r="A77" t="s">
        <v>346</v>
      </c>
      <c r="D77" s="97"/>
      <c r="E77" s="55"/>
      <c r="F77" s="97"/>
      <c r="G77" s="96"/>
      <c r="H77" s="99"/>
    </row>
    <row r="78" spans="1:8" ht="21" x14ac:dyDescent="0.35">
      <c r="A78" t="s">
        <v>349</v>
      </c>
      <c r="B78" t="s">
        <v>906</v>
      </c>
      <c r="D78" s="97"/>
      <c r="E78" s="98" t="s">
        <v>906</v>
      </c>
      <c r="F78" s="97"/>
      <c r="G78" s="96"/>
      <c r="H78" s="99"/>
    </row>
    <row r="79" spans="1:8" ht="21" x14ac:dyDescent="0.35">
      <c r="A79" t="s">
        <v>343</v>
      </c>
      <c r="B79" t="s">
        <v>906</v>
      </c>
      <c r="D79" s="97"/>
      <c r="E79" s="55" t="s">
        <v>906</v>
      </c>
      <c r="F79" s="97"/>
      <c r="G79" s="96"/>
    </row>
    <row r="80" spans="1:8" ht="21" x14ac:dyDescent="0.35">
      <c r="A80" t="s">
        <v>352</v>
      </c>
      <c r="B80" t="s">
        <v>906</v>
      </c>
      <c r="D80" s="97" t="s">
        <v>906</v>
      </c>
      <c r="E80" s="55"/>
      <c r="F80" s="97"/>
      <c r="G80" s="96"/>
    </row>
    <row r="81" spans="1:7" ht="21" x14ac:dyDescent="0.35">
      <c r="A81" t="s">
        <v>934</v>
      </c>
      <c r="B81" t="s">
        <v>906</v>
      </c>
      <c r="C81" t="s">
        <v>906</v>
      </c>
      <c r="D81" s="97" t="s">
        <v>906</v>
      </c>
      <c r="E81" s="98" t="s">
        <v>906</v>
      </c>
      <c r="F81" s="97"/>
      <c r="G81" s="96" t="s">
        <v>906</v>
      </c>
    </row>
    <row r="82" spans="1:7" ht="21" x14ac:dyDescent="0.35">
      <c r="A82" t="s">
        <v>358</v>
      </c>
      <c r="B82" t="s">
        <v>906</v>
      </c>
      <c r="D82" s="97"/>
      <c r="E82" s="55"/>
      <c r="F82" s="97"/>
      <c r="G82" s="96" t="s">
        <v>906</v>
      </c>
    </row>
    <row r="83" spans="1:7" ht="21" x14ac:dyDescent="0.35">
      <c r="A83" t="s">
        <v>935</v>
      </c>
      <c r="D83" s="97"/>
      <c r="E83" s="55" t="s">
        <v>906</v>
      </c>
      <c r="F83" s="97"/>
      <c r="G83" s="96"/>
    </row>
    <row r="84" spans="1:7" ht="21" x14ac:dyDescent="0.35">
      <c r="A84" t="s">
        <v>361</v>
      </c>
      <c r="B84" t="s">
        <v>906</v>
      </c>
      <c r="D84" s="97"/>
      <c r="E84" s="55" t="s">
        <v>906</v>
      </c>
      <c r="F84" s="97"/>
      <c r="G84" s="96"/>
    </row>
    <row r="85" spans="1:7" ht="21" x14ac:dyDescent="0.35">
      <c r="A85" t="s">
        <v>367</v>
      </c>
      <c r="B85" t="s">
        <v>906</v>
      </c>
      <c r="C85" t="s">
        <v>906</v>
      </c>
      <c r="D85" s="97" t="s">
        <v>906</v>
      </c>
      <c r="E85" s="98" t="s">
        <v>906</v>
      </c>
      <c r="F85" s="97"/>
      <c r="G85" s="96" t="s">
        <v>906</v>
      </c>
    </row>
    <row r="86" spans="1:7" ht="21" x14ac:dyDescent="0.35">
      <c r="A86" t="s">
        <v>370</v>
      </c>
      <c r="B86" t="s">
        <v>906</v>
      </c>
      <c r="C86" t="s">
        <v>906</v>
      </c>
      <c r="D86" s="97" t="s">
        <v>906</v>
      </c>
      <c r="E86" s="98" t="s">
        <v>906</v>
      </c>
      <c r="F86" s="97"/>
      <c r="G86" s="96"/>
    </row>
    <row r="87" spans="1:7" ht="21" x14ac:dyDescent="0.35">
      <c r="A87" t="s">
        <v>373</v>
      </c>
      <c r="B87" t="s">
        <v>906</v>
      </c>
      <c r="D87" s="97" t="s">
        <v>906</v>
      </c>
      <c r="E87" s="98" t="s">
        <v>906</v>
      </c>
      <c r="F87" s="97"/>
      <c r="G87" s="96"/>
    </row>
    <row r="88" spans="1:7" ht="21" x14ac:dyDescent="0.35">
      <c r="A88" t="s">
        <v>153</v>
      </c>
      <c r="D88" s="97"/>
      <c r="E88" s="55"/>
      <c r="F88" s="97"/>
      <c r="G88" s="96"/>
    </row>
    <row r="89" spans="1:7" ht="21" x14ac:dyDescent="0.35">
      <c r="A89" t="s">
        <v>936</v>
      </c>
      <c r="B89" t="s">
        <v>906</v>
      </c>
      <c r="D89" s="97"/>
      <c r="E89" s="55"/>
      <c r="F89" s="97"/>
      <c r="G89" s="96"/>
    </row>
    <row r="90" spans="1:7" ht="21" x14ac:dyDescent="0.35">
      <c r="A90" t="s">
        <v>380</v>
      </c>
      <c r="B90" t="s">
        <v>906</v>
      </c>
      <c r="C90" t="s">
        <v>906</v>
      </c>
      <c r="D90" s="97" t="s">
        <v>906</v>
      </c>
      <c r="E90" s="55"/>
      <c r="F90" s="97"/>
      <c r="G90" s="96" t="s">
        <v>906</v>
      </c>
    </row>
    <row r="91" spans="1:7" ht="21" x14ac:dyDescent="0.35">
      <c r="A91" t="s">
        <v>383</v>
      </c>
      <c r="B91" t="s">
        <v>906</v>
      </c>
      <c r="D91" s="97"/>
      <c r="E91" s="55"/>
      <c r="F91" s="97"/>
      <c r="G91" s="96"/>
    </row>
    <row r="92" spans="1:7" ht="21" x14ac:dyDescent="0.35">
      <c r="A92" t="s">
        <v>937</v>
      </c>
      <c r="B92" t="s">
        <v>906</v>
      </c>
      <c r="C92" t="s">
        <v>906</v>
      </c>
      <c r="D92" s="97"/>
      <c r="E92" s="55"/>
      <c r="F92" s="97"/>
      <c r="G92" s="96"/>
    </row>
    <row r="93" spans="1:7" ht="21" x14ac:dyDescent="0.35">
      <c r="A93" t="s">
        <v>387</v>
      </c>
      <c r="B93" t="s">
        <v>906</v>
      </c>
      <c r="D93" s="97"/>
      <c r="E93" s="55"/>
      <c r="F93" s="97"/>
      <c r="G93" s="96" t="s">
        <v>906</v>
      </c>
    </row>
    <row r="94" spans="1:7" ht="21" x14ac:dyDescent="0.35">
      <c r="A94" t="s">
        <v>390</v>
      </c>
      <c r="B94" t="s">
        <v>906</v>
      </c>
      <c r="C94" t="s">
        <v>906</v>
      </c>
      <c r="D94" s="97"/>
      <c r="E94" s="55" t="s">
        <v>906</v>
      </c>
      <c r="F94" t="s">
        <v>908</v>
      </c>
      <c r="G94" s="96" t="s">
        <v>906</v>
      </c>
    </row>
    <row r="95" spans="1:7" ht="21" x14ac:dyDescent="0.35">
      <c r="A95" t="s">
        <v>396</v>
      </c>
      <c r="B95" t="s">
        <v>906</v>
      </c>
      <c r="D95" s="97"/>
      <c r="E95" s="55" t="s">
        <v>906</v>
      </c>
      <c r="F95" s="97"/>
      <c r="G95" s="96"/>
    </row>
    <row r="96" spans="1:7" ht="21" x14ac:dyDescent="0.35">
      <c r="A96" t="s">
        <v>402</v>
      </c>
      <c r="B96" t="s">
        <v>906</v>
      </c>
      <c r="D96" s="97" t="s">
        <v>906</v>
      </c>
      <c r="E96" s="98" t="s">
        <v>906</v>
      </c>
      <c r="F96" s="97"/>
      <c r="G96" s="96" t="s">
        <v>906</v>
      </c>
    </row>
    <row r="97" spans="1:8" ht="21" x14ac:dyDescent="0.35">
      <c r="A97" t="s">
        <v>406</v>
      </c>
      <c r="D97" s="97"/>
      <c r="E97" s="98" t="s">
        <v>906</v>
      </c>
      <c r="F97" s="97"/>
      <c r="G97" s="96"/>
    </row>
    <row r="98" spans="1:8" ht="21" x14ac:dyDescent="0.35">
      <c r="A98" t="s">
        <v>409</v>
      </c>
      <c r="D98" s="97"/>
      <c r="E98" s="55"/>
      <c r="F98" s="97"/>
      <c r="G98" s="96"/>
    </row>
    <row r="99" spans="1:8" ht="21" x14ac:dyDescent="0.35">
      <c r="A99" t="s">
        <v>413</v>
      </c>
      <c r="B99" t="s">
        <v>906</v>
      </c>
      <c r="C99" t="s">
        <v>906</v>
      </c>
      <c r="D99" s="97"/>
      <c r="E99" s="55"/>
      <c r="F99" s="97"/>
      <c r="G99" s="96" t="s">
        <v>906</v>
      </c>
    </row>
    <row r="100" spans="1:8" ht="21" x14ac:dyDescent="0.35">
      <c r="A100" t="s">
        <v>418</v>
      </c>
      <c r="D100" s="97"/>
      <c r="E100" s="55"/>
      <c r="F100" s="97"/>
      <c r="G100" s="96" t="s">
        <v>906</v>
      </c>
    </row>
    <row r="101" spans="1:8" ht="21" x14ac:dyDescent="0.35">
      <c r="A101" t="s">
        <v>422</v>
      </c>
      <c r="B101" t="s">
        <v>906</v>
      </c>
      <c r="C101" t="s">
        <v>906</v>
      </c>
      <c r="D101" s="97"/>
      <c r="E101" s="98" t="s">
        <v>906</v>
      </c>
      <c r="F101" s="97"/>
      <c r="G101" s="96"/>
    </row>
    <row r="102" spans="1:8" ht="21" x14ac:dyDescent="0.35">
      <c r="A102" t="s">
        <v>434</v>
      </c>
      <c r="D102" s="97"/>
      <c r="E102" s="98" t="s">
        <v>906</v>
      </c>
      <c r="F102" s="97"/>
      <c r="G102" s="96"/>
      <c r="H102" s="99"/>
    </row>
    <row r="103" spans="1:8" ht="21" x14ac:dyDescent="0.35">
      <c r="A103" t="s">
        <v>446</v>
      </c>
      <c r="D103" s="97"/>
      <c r="E103" s="55"/>
      <c r="F103" s="97"/>
      <c r="G103" s="96"/>
      <c r="H103" s="99"/>
    </row>
    <row r="104" spans="1:8" ht="21" x14ac:dyDescent="0.35">
      <c r="A104" t="s">
        <v>449</v>
      </c>
      <c r="D104" s="97"/>
      <c r="E104" s="55"/>
      <c r="F104" s="97"/>
      <c r="G104" s="96"/>
      <c r="H104" s="99"/>
    </row>
    <row r="105" spans="1:8" ht="21" x14ac:dyDescent="0.35">
      <c r="A105" t="s">
        <v>452</v>
      </c>
      <c r="B105" t="s">
        <v>906</v>
      </c>
      <c r="C105" t="s">
        <v>906</v>
      </c>
      <c r="D105" s="97" t="s">
        <v>906</v>
      </c>
      <c r="E105" s="55"/>
      <c r="F105" s="97"/>
      <c r="G105" s="96" t="s">
        <v>906</v>
      </c>
      <c r="H105" s="99"/>
    </row>
    <row r="106" spans="1:8" ht="21" x14ac:dyDescent="0.35">
      <c r="A106" t="s">
        <v>457</v>
      </c>
      <c r="D106" s="97"/>
      <c r="E106" s="98" t="s">
        <v>906</v>
      </c>
      <c r="F106" s="97"/>
      <c r="G106" s="96"/>
    </row>
    <row r="107" spans="1:8" ht="21" x14ac:dyDescent="0.35">
      <c r="A107" t="s">
        <v>466</v>
      </c>
      <c r="D107" s="97"/>
      <c r="E107" s="55"/>
      <c r="F107" s="97"/>
      <c r="G107" s="96" t="s">
        <v>906</v>
      </c>
    </row>
    <row r="108" spans="1:8" ht="21" x14ac:dyDescent="0.35">
      <c r="A108" t="s">
        <v>12</v>
      </c>
      <c r="B108" t="s">
        <v>906</v>
      </c>
      <c r="D108" s="97"/>
      <c r="E108" s="55"/>
      <c r="F108" t="s">
        <v>908</v>
      </c>
      <c r="G108" s="96"/>
    </row>
    <row r="109" spans="1:8" ht="21" x14ac:dyDescent="0.35">
      <c r="A109" t="s">
        <v>495</v>
      </c>
      <c r="C109" t="s">
        <v>906</v>
      </c>
      <c r="D109" s="97"/>
      <c r="E109" s="55"/>
      <c r="F109" s="97"/>
      <c r="G109" s="96"/>
    </row>
    <row r="110" spans="1:8" ht="21" x14ac:dyDescent="0.35">
      <c r="A110" t="s">
        <v>938</v>
      </c>
      <c r="D110" s="97"/>
      <c r="E110" s="55"/>
      <c r="F110" s="97"/>
      <c r="G110" s="96" t="s">
        <v>906</v>
      </c>
    </row>
    <row r="111" spans="1:8" ht="21" x14ac:dyDescent="0.35">
      <c r="A111" t="s">
        <v>503</v>
      </c>
      <c r="B111" t="s">
        <v>906</v>
      </c>
      <c r="D111" s="97" t="s">
        <v>906</v>
      </c>
      <c r="E111" s="55"/>
      <c r="F111" s="97"/>
      <c r="G111" s="96" t="s">
        <v>906</v>
      </c>
      <c r="H111" s="99"/>
    </row>
    <row r="112" spans="1:8" ht="21" x14ac:dyDescent="0.35">
      <c r="A112" t="s">
        <v>939</v>
      </c>
      <c r="D112" s="97"/>
      <c r="E112" s="98" t="s">
        <v>906</v>
      </c>
      <c r="F112" s="97"/>
      <c r="G112" s="96"/>
    </row>
    <row r="113" spans="1:7" ht="21" x14ac:dyDescent="0.35">
      <c r="A113" t="s">
        <v>514</v>
      </c>
      <c r="D113" s="97"/>
      <c r="E113" s="55"/>
      <c r="F113" s="97"/>
      <c r="G113" s="96"/>
    </row>
    <row r="114" spans="1:7" ht="21" x14ac:dyDescent="0.35">
      <c r="A114" t="s">
        <v>518</v>
      </c>
      <c r="D114" s="97" t="s">
        <v>906</v>
      </c>
      <c r="E114" s="55"/>
      <c r="F114" s="97"/>
      <c r="G114" s="96"/>
    </row>
    <row r="115" spans="1:7" ht="21" x14ac:dyDescent="0.35">
      <c r="A115" t="s">
        <v>522</v>
      </c>
      <c r="B115" t="s">
        <v>906</v>
      </c>
      <c r="D115" s="97"/>
      <c r="E115" s="55"/>
      <c r="F115" s="97"/>
      <c r="G115" s="96"/>
    </row>
    <row r="116" spans="1:7" ht="21" x14ac:dyDescent="0.35">
      <c r="A116" t="s">
        <v>530</v>
      </c>
      <c r="C116" t="s">
        <v>906</v>
      </c>
      <c r="D116" s="97" t="s">
        <v>906</v>
      </c>
      <c r="E116" s="55"/>
      <c r="F116" s="97"/>
      <c r="G116" s="96"/>
    </row>
    <row r="117" spans="1:7" ht="21" x14ac:dyDescent="0.35">
      <c r="A117" t="s">
        <v>534</v>
      </c>
      <c r="D117" s="97"/>
      <c r="E117" s="55" t="s">
        <v>906</v>
      </c>
      <c r="F117" s="97"/>
      <c r="G117" s="96"/>
    </row>
    <row r="118" spans="1:7" ht="21" x14ac:dyDescent="0.35">
      <c r="A118" t="s">
        <v>541</v>
      </c>
      <c r="D118" s="97"/>
      <c r="E118" s="55"/>
      <c r="F118" s="97"/>
      <c r="G118" s="96"/>
    </row>
    <row r="119" spans="1:7" ht="21" x14ac:dyDescent="0.35">
      <c r="A119" t="s">
        <v>546</v>
      </c>
      <c r="B119" t="s">
        <v>906</v>
      </c>
      <c r="D119" s="97" t="s">
        <v>906</v>
      </c>
      <c r="E119" s="55"/>
      <c r="F119" s="97"/>
      <c r="G119" s="96" t="s">
        <v>906</v>
      </c>
    </row>
    <row r="120" spans="1:7" ht="21" x14ac:dyDescent="0.35">
      <c r="A120" t="s">
        <v>558</v>
      </c>
      <c r="D120" s="97"/>
      <c r="E120" s="55"/>
      <c r="F120" s="97"/>
      <c r="G120" s="96"/>
    </row>
    <row r="121" spans="1:7" ht="21" x14ac:dyDescent="0.35">
      <c r="A121" t="s">
        <v>562</v>
      </c>
      <c r="D121" s="97"/>
      <c r="E121" s="55"/>
      <c r="F121" s="97"/>
      <c r="G121" s="96"/>
    </row>
    <row r="122" spans="1:7" ht="21" x14ac:dyDescent="0.35">
      <c r="A122" t="s">
        <v>566</v>
      </c>
      <c r="B122" t="s">
        <v>906</v>
      </c>
      <c r="C122" t="s">
        <v>906</v>
      </c>
      <c r="D122" s="97"/>
      <c r="E122" s="55"/>
      <c r="F122" s="97"/>
      <c r="G122" s="96"/>
    </row>
    <row r="123" spans="1:7" ht="21" x14ac:dyDescent="0.35">
      <c r="A123" t="s">
        <v>571</v>
      </c>
      <c r="D123" s="97"/>
      <c r="E123" s="55"/>
      <c r="F123" s="97"/>
      <c r="G123" s="96"/>
    </row>
    <row r="124" spans="1:7" ht="21" x14ac:dyDescent="0.35">
      <c r="A124" t="s">
        <v>575</v>
      </c>
      <c r="D124" s="97"/>
      <c r="E124" s="55"/>
      <c r="F124" s="97"/>
      <c r="G124" s="96"/>
    </row>
    <row r="125" spans="1:7" ht="21" x14ac:dyDescent="0.35">
      <c r="A125" t="s">
        <v>583</v>
      </c>
      <c r="D125" s="97"/>
      <c r="E125" s="55"/>
      <c r="F125" s="97"/>
      <c r="G125" s="96"/>
    </row>
    <row r="126" spans="1:7" ht="21" x14ac:dyDescent="0.35">
      <c r="A126" t="s">
        <v>587</v>
      </c>
      <c r="D126" s="97"/>
      <c r="E126" s="55"/>
      <c r="F126" s="97"/>
      <c r="G126" s="96"/>
    </row>
    <row r="127" spans="1:7" ht="21" x14ac:dyDescent="0.35">
      <c r="A127" t="s">
        <v>595</v>
      </c>
      <c r="B127" t="s">
        <v>906</v>
      </c>
      <c r="D127" s="97"/>
      <c r="E127" s="55"/>
      <c r="F127" s="97"/>
      <c r="G127" s="96"/>
    </row>
    <row r="128" spans="1:7" ht="21" x14ac:dyDescent="0.35">
      <c r="A128" t="s">
        <v>605</v>
      </c>
      <c r="D128" s="97"/>
      <c r="E128" s="55"/>
      <c r="F128" s="97"/>
      <c r="G128" s="96" t="s">
        <v>906</v>
      </c>
    </row>
    <row r="129" spans="1:8" ht="21" x14ac:dyDescent="0.35">
      <c r="A129" t="s">
        <v>591</v>
      </c>
      <c r="D129" s="97"/>
      <c r="E129" s="98" t="s">
        <v>906</v>
      </c>
      <c r="F129" s="97"/>
      <c r="G129" s="96"/>
    </row>
    <row r="130" spans="1:8" ht="21" x14ac:dyDescent="0.35">
      <c r="A130" t="s">
        <v>601</v>
      </c>
      <c r="D130" s="97"/>
      <c r="E130" s="55"/>
      <c r="F130" s="97"/>
      <c r="G130" s="96"/>
    </row>
    <row r="131" spans="1:8" ht="21" x14ac:dyDescent="0.35">
      <c r="A131" t="s">
        <v>610</v>
      </c>
      <c r="D131" s="97"/>
      <c r="E131" s="55"/>
      <c r="F131" s="97"/>
      <c r="G131" s="96"/>
    </row>
    <row r="132" spans="1:8" ht="21" x14ac:dyDescent="0.35">
      <c r="A132" t="s">
        <v>614</v>
      </c>
      <c r="D132" s="97"/>
      <c r="E132" s="55"/>
      <c r="F132" s="97"/>
      <c r="G132" s="96"/>
    </row>
    <row r="133" spans="1:8" ht="21" x14ac:dyDescent="0.35">
      <c r="A133" t="s">
        <v>624</v>
      </c>
      <c r="B133" t="s">
        <v>906</v>
      </c>
      <c r="D133" s="97" t="s">
        <v>906</v>
      </c>
      <c r="E133" s="98" t="s">
        <v>906</v>
      </c>
      <c r="F133" s="97"/>
      <c r="G133" s="96" t="s">
        <v>906</v>
      </c>
    </row>
    <row r="134" spans="1:8" ht="21" x14ac:dyDescent="0.35">
      <c r="A134" t="s">
        <v>619</v>
      </c>
      <c r="B134" t="s">
        <v>906</v>
      </c>
      <c r="C134" t="s">
        <v>906</v>
      </c>
      <c r="D134" s="97"/>
      <c r="E134" s="55"/>
      <c r="F134" s="97"/>
      <c r="G134" s="96"/>
    </row>
    <row r="135" spans="1:8" ht="21" x14ac:dyDescent="0.35">
      <c r="A135" t="s">
        <v>630</v>
      </c>
      <c r="D135" s="97" t="s">
        <v>906</v>
      </c>
      <c r="E135" s="55" t="s">
        <v>906</v>
      </c>
      <c r="F135" s="97"/>
      <c r="G135" s="96"/>
    </row>
    <row r="136" spans="1:8" ht="21" x14ac:dyDescent="0.35">
      <c r="A136" t="s">
        <v>638</v>
      </c>
      <c r="D136" s="97"/>
      <c r="E136" s="55"/>
      <c r="F136" s="97"/>
      <c r="G136" s="96"/>
    </row>
    <row r="137" spans="1:8" ht="21" x14ac:dyDescent="0.35">
      <c r="A137" t="s">
        <v>940</v>
      </c>
      <c r="B137" t="s">
        <v>906</v>
      </c>
      <c r="D137" s="97"/>
      <c r="E137" s="55"/>
      <c r="F137" s="97"/>
      <c r="G137" s="96"/>
    </row>
    <row r="138" spans="1:8" ht="21" x14ac:dyDescent="0.35">
      <c r="A138" t="s">
        <v>648</v>
      </c>
      <c r="D138" s="97"/>
      <c r="E138" s="55"/>
      <c r="F138" s="97"/>
      <c r="G138" s="96"/>
    </row>
    <row r="139" spans="1:8" ht="21" x14ac:dyDescent="0.35">
      <c r="A139" t="s">
        <v>656</v>
      </c>
      <c r="C139" t="s">
        <v>906</v>
      </c>
      <c r="D139" s="97"/>
      <c r="E139" s="55"/>
      <c r="F139" t="s">
        <v>908</v>
      </c>
      <c r="G139" s="96" t="s">
        <v>906</v>
      </c>
    </row>
    <row r="140" spans="1:8" ht="21" x14ac:dyDescent="0.35">
      <c r="A140" t="s">
        <v>663</v>
      </c>
      <c r="D140" s="97"/>
      <c r="E140" s="55"/>
      <c r="F140" s="97"/>
      <c r="G140" s="96" t="s">
        <v>906</v>
      </c>
    </row>
    <row r="141" spans="1:8" ht="21" x14ac:dyDescent="0.35">
      <c r="A141" t="s">
        <v>668</v>
      </c>
      <c r="B141" t="s">
        <v>906</v>
      </c>
      <c r="D141" s="97" t="s">
        <v>906</v>
      </c>
      <c r="E141" s="55"/>
      <c r="F141" s="97"/>
      <c r="G141" s="96"/>
      <c r="H141" s="99"/>
    </row>
    <row r="142" spans="1:8" ht="21" x14ac:dyDescent="0.35">
      <c r="A142" t="s">
        <v>672</v>
      </c>
      <c r="B142" t="s">
        <v>906</v>
      </c>
      <c r="D142" s="97"/>
      <c r="E142" s="98" t="s">
        <v>906</v>
      </c>
      <c r="F142" s="97"/>
      <c r="G142" s="96"/>
    </row>
    <row r="143" spans="1:8" ht="21" x14ac:dyDescent="0.35">
      <c r="A143" t="s">
        <v>676</v>
      </c>
      <c r="D143" s="97"/>
      <c r="E143" s="98" t="s">
        <v>906</v>
      </c>
      <c r="F143" s="97"/>
      <c r="G143" s="96"/>
    </row>
    <row r="144" spans="1:8" ht="21" x14ac:dyDescent="0.35">
      <c r="A144" t="s">
        <v>941</v>
      </c>
      <c r="B144" t="s">
        <v>906</v>
      </c>
      <c r="D144" s="97" t="s">
        <v>906</v>
      </c>
      <c r="E144" s="55"/>
      <c r="F144" s="97"/>
      <c r="G144" s="96"/>
      <c r="H144" s="99"/>
    </row>
    <row r="145" spans="1:7" ht="21" x14ac:dyDescent="0.35">
      <c r="A145" t="s">
        <v>684</v>
      </c>
      <c r="B145" t="s">
        <v>906</v>
      </c>
      <c r="D145" s="97"/>
      <c r="E145" s="98" t="s">
        <v>906</v>
      </c>
      <c r="F145" s="97"/>
      <c r="G145" s="96"/>
    </row>
    <row r="146" spans="1:7" ht="21" x14ac:dyDescent="0.35">
      <c r="A146" t="s">
        <v>688</v>
      </c>
      <c r="D146" s="97"/>
      <c r="E146" s="55"/>
      <c r="F146" s="97"/>
      <c r="G146" s="96"/>
    </row>
    <row r="147" spans="1:7" ht="21" x14ac:dyDescent="0.35">
      <c r="A147" t="s">
        <v>693</v>
      </c>
      <c r="D147" s="97"/>
      <c r="E147" s="55"/>
      <c r="F147" s="97"/>
      <c r="G147" s="96"/>
    </row>
    <row r="148" spans="1:7" ht="21" x14ac:dyDescent="0.35">
      <c r="A148" t="s">
        <v>697</v>
      </c>
      <c r="D148" s="97"/>
      <c r="E148" s="55"/>
      <c r="F148" s="97"/>
      <c r="G148" s="96"/>
    </row>
    <row r="149" spans="1:7" ht="21" x14ac:dyDescent="0.35">
      <c r="A149" t="s">
        <v>701</v>
      </c>
      <c r="B149" t="s">
        <v>906</v>
      </c>
      <c r="C149" t="s">
        <v>906</v>
      </c>
      <c r="D149" s="97"/>
      <c r="E149" s="55"/>
      <c r="F149" s="97"/>
      <c r="G149" s="96" t="s">
        <v>906</v>
      </c>
    </row>
    <row r="150" spans="1:7" ht="21" x14ac:dyDescent="0.35">
      <c r="A150" t="s">
        <v>707</v>
      </c>
      <c r="D150" s="97"/>
      <c r="E150" s="98" t="s">
        <v>906</v>
      </c>
      <c r="F150" s="97"/>
      <c r="G150" s="96"/>
    </row>
    <row r="151" spans="1:7" ht="21" x14ac:dyDescent="0.35">
      <c r="A151" t="s">
        <v>711</v>
      </c>
      <c r="D151" s="97"/>
      <c r="E151" s="55"/>
      <c r="F151" s="97"/>
      <c r="G151" s="96"/>
    </row>
    <row r="152" spans="1:7" ht="21" x14ac:dyDescent="0.35">
      <c r="A152" t="s">
        <v>942</v>
      </c>
      <c r="D152" s="97"/>
      <c r="E152" s="55"/>
      <c r="F152" s="97"/>
      <c r="G152" s="96"/>
    </row>
    <row r="153" spans="1:7" ht="21" x14ac:dyDescent="0.35">
      <c r="A153" t="s">
        <v>719</v>
      </c>
      <c r="D153" s="97"/>
      <c r="E153" s="55" t="s">
        <v>906</v>
      </c>
      <c r="F153" s="97"/>
      <c r="G153" s="96"/>
    </row>
    <row r="154" spans="1:7" ht="21" x14ac:dyDescent="0.35">
      <c r="A154" t="s">
        <v>726</v>
      </c>
      <c r="D154" s="97"/>
      <c r="E154" s="55"/>
      <c r="F154" s="97"/>
      <c r="G154" s="96"/>
    </row>
    <row r="155" spans="1:7" ht="21" x14ac:dyDescent="0.35">
      <c r="A155" t="s">
        <v>730</v>
      </c>
      <c r="B155" t="s">
        <v>906</v>
      </c>
      <c r="C155" t="s">
        <v>906</v>
      </c>
      <c r="D155" s="97" t="s">
        <v>906</v>
      </c>
      <c r="E155" s="98" t="s">
        <v>906</v>
      </c>
      <c r="F155" t="s">
        <v>908</v>
      </c>
      <c r="G155" s="96"/>
    </row>
    <row r="156" spans="1:7" ht="21" x14ac:dyDescent="0.35">
      <c r="A156" t="s">
        <v>743</v>
      </c>
      <c r="B156" t="s">
        <v>906</v>
      </c>
      <c r="C156" t="s">
        <v>906</v>
      </c>
      <c r="D156" s="97"/>
      <c r="E156" s="98" t="s">
        <v>906</v>
      </c>
      <c r="F156" t="s">
        <v>908</v>
      </c>
      <c r="G156" s="96"/>
    </row>
    <row r="157" spans="1:7" ht="21" x14ac:dyDescent="0.35">
      <c r="A157" t="s">
        <v>747</v>
      </c>
      <c r="B157" t="s">
        <v>906</v>
      </c>
      <c r="D157" s="97"/>
      <c r="E157" s="55"/>
      <c r="F157" s="97"/>
      <c r="G157" s="96"/>
    </row>
    <row r="158" spans="1:7" ht="21" x14ac:dyDescent="0.35">
      <c r="A158" t="s">
        <v>751</v>
      </c>
      <c r="D158" s="97"/>
      <c r="E158" s="55"/>
      <c r="F158" s="97"/>
      <c r="G158" s="96"/>
    </row>
    <row r="159" spans="1:7" ht="21" x14ac:dyDescent="0.35">
      <c r="A159" t="s">
        <v>754</v>
      </c>
      <c r="C159" t="s">
        <v>906</v>
      </c>
      <c r="D159" s="97" t="s">
        <v>906</v>
      </c>
      <c r="E159" s="55"/>
      <c r="F159" s="97"/>
      <c r="G159" s="96"/>
    </row>
    <row r="160" spans="1:7" ht="21" x14ac:dyDescent="0.35">
      <c r="A160" t="s">
        <v>757</v>
      </c>
      <c r="D160" s="97"/>
      <c r="E160" s="55"/>
      <c r="F160" s="97"/>
      <c r="G160" s="96" t="s">
        <v>906</v>
      </c>
    </row>
    <row r="161" spans="1:8" ht="21" x14ac:dyDescent="0.35">
      <c r="A161" t="s">
        <v>761</v>
      </c>
      <c r="C161" t="s">
        <v>906</v>
      </c>
      <c r="D161" s="97"/>
      <c r="E161" s="98" t="s">
        <v>906</v>
      </c>
      <c r="F161" s="97"/>
      <c r="G161" s="96"/>
    </row>
    <row r="162" spans="1:8" ht="21" x14ac:dyDescent="0.35">
      <c r="A162" t="s">
        <v>8</v>
      </c>
      <c r="B162" t="s">
        <v>906</v>
      </c>
      <c r="C162" t="s">
        <v>906</v>
      </c>
      <c r="D162" s="97" t="s">
        <v>906</v>
      </c>
      <c r="E162" s="55"/>
      <c r="F162" s="97"/>
      <c r="G162" s="96" t="s">
        <v>906</v>
      </c>
    </row>
    <row r="163" spans="1:8" ht="21" x14ac:dyDescent="0.35">
      <c r="A163" t="s">
        <v>795</v>
      </c>
      <c r="B163" t="s">
        <v>906</v>
      </c>
      <c r="D163" s="97"/>
      <c r="E163" s="55" t="s">
        <v>906</v>
      </c>
      <c r="F163" s="97"/>
      <c r="G163" s="96" t="s">
        <v>906</v>
      </c>
      <c r="H163" s="99"/>
    </row>
    <row r="164" spans="1:8" ht="21" x14ac:dyDescent="0.35">
      <c r="A164" t="s">
        <v>805</v>
      </c>
      <c r="D164" s="97"/>
      <c r="E164" s="98" t="s">
        <v>914</v>
      </c>
      <c r="F164" s="97"/>
      <c r="G164" s="96"/>
    </row>
    <row r="165" spans="1:8" ht="21" x14ac:dyDescent="0.35">
      <c r="A165" t="s">
        <v>812</v>
      </c>
      <c r="B165" t="s">
        <v>906</v>
      </c>
      <c r="D165" s="97" t="s">
        <v>906</v>
      </c>
      <c r="E165" s="55"/>
      <c r="F165" s="97"/>
      <c r="G165" s="96"/>
    </row>
    <row r="166" spans="1:8" ht="21" x14ac:dyDescent="0.35">
      <c r="A166" t="s">
        <v>820</v>
      </c>
      <c r="B166" t="s">
        <v>906</v>
      </c>
      <c r="D166" s="97"/>
      <c r="E166" s="55" t="s">
        <v>906</v>
      </c>
      <c r="F166" s="97"/>
      <c r="G166" s="96"/>
    </row>
    <row r="167" spans="1:8" ht="21" x14ac:dyDescent="0.35">
      <c r="A167" t="s">
        <v>824</v>
      </c>
      <c r="D167" s="97"/>
      <c r="E167" s="55"/>
      <c r="F167" s="97"/>
      <c r="G167" s="96"/>
    </row>
    <row r="168" spans="1:8" ht="21" x14ac:dyDescent="0.35">
      <c r="A168" t="s">
        <v>55</v>
      </c>
      <c r="D168" s="97" t="s">
        <v>906</v>
      </c>
      <c r="E168" s="55"/>
      <c r="F168" s="97"/>
      <c r="G168" s="96"/>
      <c r="H168" s="99"/>
    </row>
    <row r="169" spans="1:8" ht="21" x14ac:dyDescent="0.35">
      <c r="A169" t="s">
        <v>831</v>
      </c>
      <c r="D169" s="97"/>
      <c r="E169" s="55"/>
      <c r="F169" s="97"/>
      <c r="G169" s="96" t="s">
        <v>906</v>
      </c>
    </row>
    <row r="170" spans="1:8" ht="21" x14ac:dyDescent="0.35">
      <c r="A170" t="s">
        <v>943</v>
      </c>
      <c r="D170" s="97"/>
      <c r="E170" s="55"/>
      <c r="F170" s="97"/>
      <c r="G170" s="96"/>
    </row>
    <row r="171" spans="1:8" ht="21" x14ac:dyDescent="0.35">
      <c r="A171" t="s">
        <v>839</v>
      </c>
      <c r="B171" t="s">
        <v>906</v>
      </c>
      <c r="D171" s="97" t="s">
        <v>906</v>
      </c>
      <c r="E171" s="98" t="s">
        <v>906</v>
      </c>
      <c r="F171" s="97"/>
      <c r="G171" s="96"/>
    </row>
    <row r="172" spans="1:8" ht="21" x14ac:dyDescent="0.35">
      <c r="A172" t="s">
        <v>852</v>
      </c>
      <c r="D172" s="97"/>
      <c r="E172" s="98" t="s">
        <v>906</v>
      </c>
      <c r="F172" s="97"/>
      <c r="G172" s="96"/>
    </row>
    <row r="173" spans="1:8" ht="21" x14ac:dyDescent="0.35">
      <c r="A173" t="s">
        <v>846</v>
      </c>
      <c r="D173" s="97"/>
      <c r="E173" s="55"/>
      <c r="F173" s="97"/>
      <c r="G173" s="96"/>
    </row>
    <row r="174" spans="1:8" ht="21" x14ac:dyDescent="0.35">
      <c r="A174" t="s">
        <v>842</v>
      </c>
      <c r="D174" s="97"/>
      <c r="E174" s="55"/>
      <c r="F174" s="97"/>
      <c r="G174" s="96" t="s">
        <v>906</v>
      </c>
    </row>
    <row r="175" spans="1:8" ht="21" x14ac:dyDescent="0.35">
      <c r="A175" t="s">
        <v>857</v>
      </c>
      <c r="C175" t="s">
        <v>906</v>
      </c>
      <c r="D175" s="97"/>
      <c r="E175" s="55"/>
      <c r="F175" s="97"/>
      <c r="G175" s="96"/>
    </row>
    <row r="176" spans="1:8" ht="21" x14ac:dyDescent="0.35">
      <c r="A176" t="s">
        <v>864</v>
      </c>
      <c r="D176" s="97"/>
      <c r="E176" s="55"/>
      <c r="F176" s="97"/>
      <c r="G176" s="96"/>
    </row>
    <row r="177" spans="1:7" ht="21" x14ac:dyDescent="0.35">
      <c r="A177" t="s">
        <v>886</v>
      </c>
      <c r="D177" s="97"/>
      <c r="E177" s="55"/>
      <c r="F177" s="97"/>
      <c r="G177" s="96"/>
    </row>
    <row r="178" spans="1:7" ht="21" x14ac:dyDescent="0.35">
      <c r="A178" t="s">
        <v>893</v>
      </c>
      <c r="D178" s="97"/>
      <c r="E178" s="55"/>
      <c r="F178" s="97"/>
      <c r="G178" s="96"/>
    </row>
    <row r="179" spans="1:7" ht="21" x14ac:dyDescent="0.35">
      <c r="A179" t="s">
        <v>870</v>
      </c>
      <c r="D179" s="97"/>
      <c r="E179" s="55"/>
      <c r="F179" s="97"/>
      <c r="G179" s="96"/>
    </row>
    <row r="180" spans="1:7" ht="21" x14ac:dyDescent="0.35">
      <c r="A180" t="s">
        <v>877</v>
      </c>
      <c r="D180" s="97"/>
      <c r="E180" s="55"/>
      <c r="F180" s="97"/>
      <c r="G180" s="96"/>
    </row>
    <row r="181" spans="1:7" ht="21" x14ac:dyDescent="0.35">
      <c r="A181" t="s">
        <v>886</v>
      </c>
      <c r="D181" s="97"/>
      <c r="E181" s="55"/>
      <c r="F181" s="97"/>
      <c r="G181" s="96"/>
    </row>
    <row r="182" spans="1:7" ht="18" customHeight="1" x14ac:dyDescent="0.25">
      <c r="A182" t="s">
        <v>266</v>
      </c>
      <c r="C182" t="s">
        <v>906</v>
      </c>
    </row>
  </sheetData>
  <pageMargins left="0.70833333333333304" right="0.196527777777778" top="0.78749999999999998" bottom="0.78749999999999998" header="0.511811023622047" footer="0.511811023622047"/>
  <pageSetup paperSize="9" fitToHeight="4" orientation="portrait" horizontalDpi="300"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3"/>
  <dimension ref="A1:H55"/>
  <sheetViews>
    <sheetView zoomScaleNormal="100"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8.5703125" defaultRowHeight="15" x14ac:dyDescent="0.25"/>
  <cols>
    <col min="1" max="1" width="17.42578125" customWidth="1"/>
    <col min="2" max="2" width="31.42578125" customWidth="1"/>
    <col min="3" max="3" width="22.42578125" customWidth="1"/>
    <col min="4" max="4" width="29.42578125" customWidth="1"/>
    <col min="5" max="5" width="9.42578125" customWidth="1"/>
    <col min="6" max="6" width="10.42578125" customWidth="1"/>
    <col min="7" max="7" width="29.42578125" customWidth="1"/>
    <col min="8" max="8" width="61.42578125" customWidth="1"/>
    <col min="9" max="1025" width="10.42578125" customWidth="1"/>
  </cols>
  <sheetData>
    <row r="1" spans="1:8" ht="15.75" x14ac:dyDescent="0.25">
      <c r="A1" s="100" t="s">
        <v>944</v>
      </c>
      <c r="B1" s="100" t="s">
        <v>945</v>
      </c>
      <c r="C1" s="100" t="s">
        <v>946</v>
      </c>
      <c r="D1" s="100" t="s">
        <v>947</v>
      </c>
      <c r="E1" s="100" t="s">
        <v>948</v>
      </c>
      <c r="F1" s="100" t="s">
        <v>3</v>
      </c>
      <c r="G1" s="100" t="s">
        <v>949</v>
      </c>
      <c r="H1" s="100" t="s">
        <v>950</v>
      </c>
    </row>
    <row r="2" spans="1:8" x14ac:dyDescent="0.25">
      <c r="A2" t="s">
        <v>916</v>
      </c>
      <c r="B2" t="s">
        <v>951</v>
      </c>
      <c r="C2" t="s">
        <v>952</v>
      </c>
      <c r="D2" t="s">
        <v>953</v>
      </c>
      <c r="E2" t="s">
        <v>954</v>
      </c>
      <c r="G2" t="s">
        <v>955</v>
      </c>
      <c r="H2" t="s">
        <v>956</v>
      </c>
    </row>
    <row r="3" spans="1:8" x14ac:dyDescent="0.25">
      <c r="A3" t="s">
        <v>162</v>
      </c>
      <c r="B3" t="s">
        <v>957</v>
      </c>
      <c r="D3" s="101">
        <v>9900056806314</v>
      </c>
      <c r="E3" t="s">
        <v>958</v>
      </c>
      <c r="F3" t="s">
        <v>959</v>
      </c>
      <c r="G3" t="s">
        <v>960</v>
      </c>
      <c r="H3" t="s">
        <v>961</v>
      </c>
    </row>
    <row r="4" spans="1:8" x14ac:dyDescent="0.25">
      <c r="A4" t="s">
        <v>795</v>
      </c>
      <c r="B4" t="s">
        <v>962</v>
      </c>
    </row>
    <row r="5" spans="1:8" x14ac:dyDescent="0.25">
      <c r="A5" t="s">
        <v>795</v>
      </c>
      <c r="B5" t="s">
        <v>963</v>
      </c>
    </row>
    <row r="6" spans="1:8" x14ac:dyDescent="0.25">
      <c r="A6" t="s">
        <v>183</v>
      </c>
      <c r="B6" t="s">
        <v>964</v>
      </c>
    </row>
    <row r="7" spans="1:8" x14ac:dyDescent="0.25">
      <c r="A7" t="s">
        <v>965</v>
      </c>
      <c r="B7" t="s">
        <v>966</v>
      </c>
      <c r="D7" t="s">
        <v>967</v>
      </c>
      <c r="E7" t="s">
        <v>818</v>
      </c>
      <c r="F7" t="s">
        <v>968</v>
      </c>
      <c r="G7" t="s">
        <v>969</v>
      </c>
    </row>
    <row r="8" spans="1:8" x14ac:dyDescent="0.25">
      <c r="A8" t="s">
        <v>970</v>
      </c>
      <c r="B8" t="s">
        <v>971</v>
      </c>
      <c r="D8" t="s">
        <v>967</v>
      </c>
      <c r="E8" t="s">
        <v>818</v>
      </c>
      <c r="F8" t="s">
        <v>968</v>
      </c>
    </row>
    <row r="9" spans="1:8" x14ac:dyDescent="0.25">
      <c r="A9" t="s">
        <v>972</v>
      </c>
      <c r="B9" t="s">
        <v>973</v>
      </c>
      <c r="D9">
        <v>205703</v>
      </c>
      <c r="E9" t="s">
        <v>974</v>
      </c>
      <c r="G9" t="s">
        <v>975</v>
      </c>
    </row>
    <row r="10" spans="1:8" x14ac:dyDescent="0.25">
      <c r="A10" t="s">
        <v>325</v>
      </c>
      <c r="B10" t="s">
        <v>976</v>
      </c>
      <c r="D10" t="s">
        <v>977</v>
      </c>
      <c r="E10" t="s">
        <v>978</v>
      </c>
    </row>
    <row r="11" spans="1:8" x14ac:dyDescent="0.25">
      <c r="A11" t="s">
        <v>979</v>
      </c>
      <c r="B11" t="s">
        <v>980</v>
      </c>
      <c r="G11" t="s">
        <v>981</v>
      </c>
    </row>
    <row r="12" spans="1:8" x14ac:dyDescent="0.25">
      <c r="A12" s="99" t="s">
        <v>406</v>
      </c>
    </row>
    <row r="13" spans="1:8" x14ac:dyDescent="0.25">
      <c r="A13" t="s">
        <v>982</v>
      </c>
    </row>
    <row r="14" spans="1:8" x14ac:dyDescent="0.25">
      <c r="A14" t="s">
        <v>495</v>
      </c>
      <c r="B14" t="s">
        <v>983</v>
      </c>
      <c r="D14" t="s">
        <v>984</v>
      </c>
      <c r="E14">
        <v>98527</v>
      </c>
      <c r="F14">
        <v>2356</v>
      </c>
      <c r="G14" t="s">
        <v>985</v>
      </c>
    </row>
    <row r="15" spans="1:8" x14ac:dyDescent="0.25">
      <c r="A15" t="s">
        <v>986</v>
      </c>
      <c r="B15" t="s">
        <v>987</v>
      </c>
      <c r="D15" t="s">
        <v>988</v>
      </c>
      <c r="E15" t="s">
        <v>851</v>
      </c>
    </row>
    <row r="16" spans="1:8" x14ac:dyDescent="0.25">
      <c r="A16" t="s">
        <v>989</v>
      </c>
    </row>
    <row r="17" spans="1:7" x14ac:dyDescent="0.25">
      <c r="A17" t="s">
        <v>990</v>
      </c>
      <c r="B17" t="s">
        <v>991</v>
      </c>
    </row>
    <row r="18" spans="1:7" x14ac:dyDescent="0.25">
      <c r="A18" t="s">
        <v>156</v>
      </c>
      <c r="B18" t="s">
        <v>992</v>
      </c>
    </row>
    <row r="19" spans="1:7" x14ac:dyDescent="0.25">
      <c r="A19" t="s">
        <v>993</v>
      </c>
      <c r="D19" t="s">
        <v>977</v>
      </c>
      <c r="E19" t="s">
        <v>994</v>
      </c>
    </row>
    <row r="20" spans="1:7" x14ac:dyDescent="0.25">
      <c r="A20" t="s">
        <v>995</v>
      </c>
    </row>
    <row r="21" spans="1:7" x14ac:dyDescent="0.25">
      <c r="A21" t="s">
        <v>11</v>
      </c>
      <c r="B21" t="s">
        <v>996</v>
      </c>
    </row>
    <row r="22" spans="1:7" x14ac:dyDescent="0.25">
      <c r="A22" t="s">
        <v>997</v>
      </c>
      <c r="B22" t="s">
        <v>998</v>
      </c>
    </row>
    <row r="23" spans="1:7" x14ac:dyDescent="0.25">
      <c r="A23" t="s">
        <v>10</v>
      </c>
      <c r="B23" t="s">
        <v>999</v>
      </c>
    </row>
    <row r="24" spans="1:7" x14ac:dyDescent="0.25">
      <c r="A24" t="s">
        <v>1000</v>
      </c>
      <c r="B24" t="s">
        <v>1001</v>
      </c>
    </row>
    <row r="25" spans="1:7" x14ac:dyDescent="0.25">
      <c r="A25" t="s">
        <v>1002</v>
      </c>
      <c r="B25" t="s">
        <v>1003</v>
      </c>
      <c r="D25" t="s">
        <v>1004</v>
      </c>
      <c r="E25" t="s">
        <v>1005</v>
      </c>
    </row>
    <row r="26" spans="1:7" x14ac:dyDescent="0.25">
      <c r="A26" t="s">
        <v>997</v>
      </c>
      <c r="B26" t="s">
        <v>996</v>
      </c>
      <c r="D26" t="s">
        <v>1006</v>
      </c>
      <c r="E26" t="s">
        <v>818</v>
      </c>
    </row>
    <row r="27" spans="1:7" x14ac:dyDescent="0.25">
      <c r="A27" t="s">
        <v>1007</v>
      </c>
      <c r="B27" t="s">
        <v>1008</v>
      </c>
      <c r="D27" t="s">
        <v>1009</v>
      </c>
      <c r="E27" t="s">
        <v>1010</v>
      </c>
      <c r="G27" t="s">
        <v>1011</v>
      </c>
    </row>
    <row r="28" spans="1:7" x14ac:dyDescent="0.25">
      <c r="A28" t="s">
        <v>150</v>
      </c>
      <c r="B28" t="s">
        <v>1012</v>
      </c>
      <c r="D28" t="s">
        <v>1013</v>
      </c>
      <c r="E28" t="s">
        <v>1014</v>
      </c>
      <c r="G28" t="s">
        <v>1015</v>
      </c>
    </row>
    <row r="29" spans="1:7" x14ac:dyDescent="0.25">
      <c r="A29" t="s">
        <v>723</v>
      </c>
      <c r="B29" t="s">
        <v>1012</v>
      </c>
      <c r="D29" t="s">
        <v>1016</v>
      </c>
      <c r="E29" t="s">
        <v>1017</v>
      </c>
      <c r="G29" t="s">
        <v>1018</v>
      </c>
    </row>
    <row r="30" spans="1:7" x14ac:dyDescent="0.25">
      <c r="A30" t="s">
        <v>266</v>
      </c>
      <c r="B30" t="s">
        <v>1012</v>
      </c>
      <c r="E30" s="99" t="s">
        <v>1019</v>
      </c>
      <c r="G30" t="s">
        <v>1020</v>
      </c>
    </row>
    <row r="31" spans="1:7" x14ac:dyDescent="0.25">
      <c r="A31" t="s">
        <v>1021</v>
      </c>
      <c r="B31" t="s">
        <v>1022</v>
      </c>
    </row>
    <row r="32" spans="1:7" x14ac:dyDescent="0.25">
      <c r="A32" t="s">
        <v>1023</v>
      </c>
      <c r="B32" t="s">
        <v>1024</v>
      </c>
      <c r="D32" s="102" t="s">
        <v>1025</v>
      </c>
      <c r="E32" t="s">
        <v>1026</v>
      </c>
      <c r="G32" t="s">
        <v>1027</v>
      </c>
    </row>
    <row r="34" spans="1:5" x14ac:dyDescent="0.25">
      <c r="A34" s="103" t="s">
        <v>1028</v>
      </c>
    </row>
    <row r="35" spans="1:5" x14ac:dyDescent="0.25">
      <c r="A35" t="s">
        <v>8</v>
      </c>
      <c r="B35" t="s">
        <v>1029</v>
      </c>
    </row>
    <row r="36" spans="1:5" x14ac:dyDescent="0.25">
      <c r="A36" t="s">
        <v>1030</v>
      </c>
      <c r="B36" t="s">
        <v>1031</v>
      </c>
      <c r="D36" t="s">
        <v>900</v>
      </c>
      <c r="E36" t="s">
        <v>1032</v>
      </c>
    </row>
    <row r="37" spans="1:5" x14ac:dyDescent="0.25">
      <c r="D37" t="s">
        <v>1033</v>
      </c>
      <c r="E37" t="s">
        <v>1032</v>
      </c>
    </row>
    <row r="38" spans="1:5" x14ac:dyDescent="0.25">
      <c r="A38" t="s">
        <v>1034</v>
      </c>
      <c r="B38" t="s">
        <v>1035</v>
      </c>
      <c r="D38" s="212" t="s">
        <v>2182</v>
      </c>
      <c r="E38" t="s">
        <v>1032</v>
      </c>
    </row>
    <row r="39" spans="1:5" x14ac:dyDescent="0.25">
      <c r="A39" t="s">
        <v>1036</v>
      </c>
      <c r="B39" t="s">
        <v>1037</v>
      </c>
      <c r="E39" t="s">
        <v>1038</v>
      </c>
    </row>
    <row r="40" spans="1:5" x14ac:dyDescent="0.25">
      <c r="B40" t="s">
        <v>1039</v>
      </c>
      <c r="E40" t="s">
        <v>1038</v>
      </c>
    </row>
    <row r="41" spans="1:5" x14ac:dyDescent="0.25">
      <c r="B41" t="s">
        <v>1040</v>
      </c>
      <c r="E41" t="s">
        <v>1038</v>
      </c>
    </row>
    <row r="42" spans="1:5" x14ac:dyDescent="0.25">
      <c r="B42" t="s">
        <v>1042</v>
      </c>
      <c r="D42" s="212" t="s">
        <v>2180</v>
      </c>
      <c r="E42" t="s">
        <v>1032</v>
      </c>
    </row>
    <row r="43" spans="1:5" x14ac:dyDescent="0.25">
      <c r="B43" t="s">
        <v>1043</v>
      </c>
      <c r="D43" s="212" t="s">
        <v>2181</v>
      </c>
      <c r="E43" t="s">
        <v>1032</v>
      </c>
    </row>
    <row r="44" spans="1:5" x14ac:dyDescent="0.25">
      <c r="B44" t="s">
        <v>1044</v>
      </c>
      <c r="D44" s="212" t="s">
        <v>2183</v>
      </c>
      <c r="E44" t="s">
        <v>1032</v>
      </c>
    </row>
    <row r="54" spans="1:7" x14ac:dyDescent="0.25">
      <c r="A54" t="s">
        <v>1045</v>
      </c>
      <c r="G54" t="s">
        <v>1046</v>
      </c>
    </row>
    <row r="55" spans="1:7" x14ac:dyDescent="0.25">
      <c r="B55" t="s">
        <v>1041</v>
      </c>
      <c r="D55" t="s">
        <v>953</v>
      </c>
      <c r="E55" t="s">
        <v>1047</v>
      </c>
    </row>
  </sheetData>
  <hyperlinks>
    <hyperlink ref="D32" r:id="rId1" xr:uid="{00000000-0004-0000-0200-000000000000}"/>
  </hyperlinks>
  <pageMargins left="0.7" right="0.7" top="0.78749999999999998" bottom="0.78749999999999998" header="0.511811023622047" footer="0.511811023622047"/>
  <pageSetup paperSize="9" orientation="portrait" horizontalDpi="300" verticalDpi="300"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5"/>
  <dimension ref="A1:AMK274"/>
  <sheetViews>
    <sheetView topLeftCell="A213" zoomScale="84" zoomScaleNormal="84" workbookViewId="0">
      <selection activeCell="I228" sqref="I228"/>
    </sheetView>
  </sheetViews>
  <sheetFormatPr baseColWidth="10" defaultColWidth="19.85546875" defaultRowHeight="15" x14ac:dyDescent="0.25"/>
  <cols>
    <col min="1" max="1" width="8.7109375" style="1" customWidth="1"/>
    <col min="2" max="2" width="18" style="1" customWidth="1"/>
    <col min="3" max="3" width="24.85546875" style="1" customWidth="1"/>
    <col min="4" max="4" width="21.28515625" style="2" customWidth="1"/>
    <col min="5" max="5" width="22.140625" style="1" customWidth="1"/>
    <col min="6" max="6" width="23.42578125" style="1" customWidth="1"/>
    <col min="7" max="7" width="10.42578125" style="1" customWidth="1"/>
    <col min="8" max="8" width="31.85546875" style="3" customWidth="1"/>
    <col min="9" max="9" width="17.5703125" style="1" customWidth="1"/>
    <col min="10" max="10" width="18.140625" style="4" customWidth="1"/>
    <col min="11" max="11" width="11.28515625" style="1" customWidth="1"/>
    <col min="12" max="12" width="19.140625" style="1" customWidth="1"/>
    <col min="13" max="13" width="15" style="1" customWidth="1"/>
    <col min="14" max="14" width="12.7109375" style="1" customWidth="1"/>
    <col min="15" max="15" width="14.140625" style="1" customWidth="1"/>
    <col min="16" max="16" width="16.5703125" style="1" customWidth="1"/>
    <col min="17" max="17" width="14.7109375" style="1" customWidth="1"/>
    <col min="18" max="18" width="14.140625" style="1" customWidth="1"/>
    <col min="19" max="19" width="17.28515625" style="1" customWidth="1"/>
    <col min="20" max="20" width="27.5703125" style="1" customWidth="1"/>
    <col min="21" max="21" width="13.140625" style="1" customWidth="1"/>
    <col min="22" max="22" width="16.7109375" style="1" customWidth="1"/>
    <col min="23" max="23" width="14.140625" style="1" customWidth="1"/>
    <col min="24" max="24" width="7.42578125" style="1" customWidth="1"/>
    <col min="25" max="25" width="14.140625" style="1" customWidth="1"/>
    <col min="26" max="26" width="15.7109375" style="1" customWidth="1"/>
    <col min="27" max="28" width="14.140625" style="1" customWidth="1"/>
    <col min="29" max="29" width="8" style="1" customWidth="1"/>
    <col min="30" max="30" width="14.7109375" style="1" customWidth="1"/>
    <col min="31" max="31" width="13.5703125" style="1" customWidth="1"/>
    <col min="32" max="32" width="18.28515625" style="1" customWidth="1"/>
    <col min="33" max="33" width="23.85546875" style="1" customWidth="1"/>
    <col min="34" max="34" width="23.5703125" style="1" customWidth="1"/>
    <col min="35" max="35" width="23.140625" style="1" customWidth="1"/>
    <col min="36" max="36" width="12.42578125" style="1" customWidth="1"/>
    <col min="37" max="1025" width="19.85546875" style="1"/>
  </cols>
  <sheetData>
    <row r="1" spans="1:1025" s="13" customFormat="1" ht="15.75" customHeight="1" x14ac:dyDescent="0.3">
      <c r="A1" s="5" t="s">
        <v>0</v>
      </c>
      <c r="B1" s="6" t="s">
        <v>1</v>
      </c>
      <c r="C1" s="7" t="s">
        <v>2</v>
      </c>
      <c r="D1" s="8" t="s">
        <v>3</v>
      </c>
      <c r="E1" s="7" t="s">
        <v>4</v>
      </c>
      <c r="F1" s="7" t="s">
        <v>5</v>
      </c>
      <c r="G1" s="9" t="s">
        <v>6</v>
      </c>
      <c r="H1" s="10" t="s">
        <v>7</v>
      </c>
      <c r="I1" s="11" t="s">
        <v>8</v>
      </c>
      <c r="J1" s="12" t="s">
        <v>1004</v>
      </c>
      <c r="K1" s="11" t="s">
        <v>10</v>
      </c>
      <c r="L1" s="11" t="s">
        <v>11</v>
      </c>
      <c r="M1" s="11" t="s">
        <v>12</v>
      </c>
      <c r="N1" s="1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11" t="s">
        <v>30</v>
      </c>
      <c r="AF1" s="11" t="s">
        <v>31</v>
      </c>
      <c r="AG1" s="11" t="s">
        <v>32</v>
      </c>
      <c r="AH1" s="11" t="s">
        <v>33</v>
      </c>
      <c r="AI1" s="11" t="s">
        <v>34</v>
      </c>
      <c r="AJ1" s="11" t="s">
        <v>35</v>
      </c>
    </row>
    <row r="2" spans="1:1025" ht="15.75" customHeight="1" x14ac:dyDescent="0.25">
      <c r="A2" s="14" t="s">
        <v>1090</v>
      </c>
      <c r="B2" s="15" t="s">
        <v>1091</v>
      </c>
      <c r="C2" s="16" t="s">
        <v>818</v>
      </c>
      <c r="D2" s="17"/>
      <c r="E2" s="90" t="s">
        <v>1092</v>
      </c>
      <c r="F2" s="19"/>
      <c r="G2" s="20" t="s">
        <v>36</v>
      </c>
      <c r="H2" s="21" t="s">
        <v>37</v>
      </c>
      <c r="I2" s="22"/>
      <c r="J2" s="23"/>
      <c r="K2" s="22"/>
      <c r="L2" s="24"/>
      <c r="M2" s="22"/>
      <c r="N2" s="22"/>
      <c r="O2" s="22"/>
      <c r="P2" s="22"/>
      <c r="Q2" s="22"/>
      <c r="R2" s="22"/>
      <c r="S2" s="22"/>
      <c r="T2" s="22"/>
      <c r="U2" s="22"/>
      <c r="V2" s="22"/>
      <c r="W2" s="22"/>
      <c r="X2" s="22"/>
      <c r="Y2" s="22"/>
      <c r="Z2" s="22"/>
      <c r="AA2" s="22"/>
      <c r="AB2" s="22"/>
      <c r="AC2" s="22"/>
      <c r="AD2" s="22"/>
      <c r="AE2" s="22"/>
      <c r="AF2" s="22"/>
      <c r="AG2" s="22"/>
      <c r="AH2" s="22"/>
      <c r="AI2" s="25"/>
      <c r="AJ2" s="25"/>
    </row>
    <row r="3" spans="1:1025" ht="15.75" customHeight="1" x14ac:dyDescent="0.25">
      <c r="A3" s="14" t="s">
        <v>1093</v>
      </c>
      <c r="B3" s="26"/>
      <c r="C3" s="16"/>
      <c r="D3" s="17"/>
      <c r="E3" s="90" t="s">
        <v>39</v>
      </c>
      <c r="F3" s="19"/>
      <c r="G3" s="20" t="s">
        <v>38</v>
      </c>
      <c r="H3" s="27" t="s">
        <v>39</v>
      </c>
      <c r="I3" s="22"/>
      <c r="J3" s="23">
        <v>100015718</v>
      </c>
      <c r="K3" s="22"/>
      <c r="L3" s="22"/>
      <c r="M3" s="22"/>
      <c r="N3" s="22"/>
      <c r="O3" s="22"/>
      <c r="P3" s="22"/>
      <c r="Q3" s="22"/>
      <c r="R3" s="22"/>
      <c r="S3" s="22"/>
      <c r="T3" s="22"/>
      <c r="U3" s="22"/>
      <c r="V3" s="22"/>
      <c r="W3" s="22"/>
      <c r="X3" s="22"/>
      <c r="Y3" s="22"/>
      <c r="Z3" s="22"/>
      <c r="AA3" s="22"/>
      <c r="AB3" s="22"/>
      <c r="AC3" s="22"/>
      <c r="AD3" s="22"/>
      <c r="AE3" s="22"/>
      <c r="AF3" s="22"/>
      <c r="AG3" s="22"/>
      <c r="AH3" s="22"/>
      <c r="AI3" s="41" t="s">
        <v>1094</v>
      </c>
      <c r="AJ3" s="25"/>
    </row>
    <row r="4" spans="1:1025" ht="15.75" customHeight="1" x14ac:dyDescent="0.25">
      <c r="A4" s="14" t="s">
        <v>1095</v>
      </c>
      <c r="B4" s="28"/>
      <c r="C4" s="28"/>
      <c r="D4" s="17"/>
      <c r="E4" s="90" t="s">
        <v>41</v>
      </c>
      <c r="F4" s="19"/>
      <c r="G4" s="20" t="s">
        <v>40</v>
      </c>
      <c r="H4" s="29" t="s">
        <v>41</v>
      </c>
      <c r="I4" s="25"/>
      <c r="J4" s="30"/>
      <c r="K4" s="25"/>
      <c r="L4" s="25"/>
      <c r="M4" s="25"/>
      <c r="N4" s="25"/>
      <c r="O4" s="25"/>
      <c r="P4" s="25"/>
      <c r="Q4" s="25"/>
      <c r="R4" s="25"/>
      <c r="S4" s="25"/>
      <c r="T4" s="25"/>
      <c r="U4" s="25"/>
      <c r="V4" s="25"/>
      <c r="W4" s="25"/>
      <c r="X4" s="25"/>
      <c r="Y4" s="25"/>
      <c r="Z4" s="25"/>
      <c r="AA4" s="25"/>
      <c r="AB4" s="25"/>
      <c r="AC4" s="25"/>
      <c r="AD4" s="25"/>
      <c r="AE4" s="25"/>
      <c r="AF4" s="25"/>
      <c r="AG4" s="25"/>
      <c r="AH4" s="25"/>
      <c r="AI4" s="41" t="s">
        <v>1096</v>
      </c>
      <c r="AJ4" s="25"/>
    </row>
    <row r="5" spans="1:1025" ht="15.75" customHeight="1" x14ac:dyDescent="0.25">
      <c r="A5" s="14" t="s">
        <v>1097</v>
      </c>
      <c r="B5" s="28"/>
      <c r="C5" s="28"/>
      <c r="D5" s="17"/>
      <c r="E5" s="90" t="s">
        <v>43</v>
      </c>
      <c r="F5" s="19"/>
      <c r="G5" s="20" t="s">
        <v>42</v>
      </c>
      <c r="H5" s="29" t="s">
        <v>43</v>
      </c>
      <c r="I5" s="31" t="s">
        <v>1098</v>
      </c>
      <c r="J5" s="30" t="s">
        <v>739</v>
      </c>
      <c r="K5" s="25"/>
      <c r="L5" s="25"/>
      <c r="M5" s="25"/>
      <c r="N5" s="25"/>
      <c r="O5" s="25"/>
      <c r="P5" s="25"/>
      <c r="Q5" s="25"/>
      <c r="R5" s="25"/>
      <c r="S5" s="25"/>
      <c r="T5" s="25"/>
      <c r="U5" s="25"/>
      <c r="V5" s="25"/>
      <c r="W5" s="25"/>
      <c r="X5" s="25"/>
      <c r="Y5" s="25"/>
      <c r="Z5" s="25"/>
      <c r="AA5" s="25"/>
      <c r="AB5" s="25"/>
      <c r="AC5" s="25"/>
      <c r="AD5" s="25"/>
      <c r="AE5" s="25"/>
      <c r="AF5" s="25"/>
      <c r="AG5" s="25"/>
      <c r="AH5" s="25"/>
      <c r="AI5" s="41" t="s">
        <v>1099</v>
      </c>
      <c r="AJ5" s="25"/>
    </row>
    <row r="6" spans="1:1025" ht="15.75" customHeight="1" x14ac:dyDescent="0.25">
      <c r="A6" s="14" t="s">
        <v>1100</v>
      </c>
      <c r="B6" s="28">
        <v>950086739</v>
      </c>
      <c r="C6" s="28" t="s">
        <v>818</v>
      </c>
      <c r="D6" s="17"/>
      <c r="E6" s="90" t="s">
        <v>45</v>
      </c>
      <c r="F6" s="19"/>
      <c r="G6" s="20" t="s">
        <v>44</v>
      </c>
      <c r="H6" s="32" t="s">
        <v>45</v>
      </c>
      <c r="I6" s="25" t="s">
        <v>1101</v>
      </c>
      <c r="J6" s="30" t="s">
        <v>1102</v>
      </c>
      <c r="K6" s="25"/>
      <c r="L6" s="25"/>
      <c r="M6" s="25"/>
      <c r="N6" s="25"/>
      <c r="O6" s="25"/>
      <c r="P6" s="25"/>
      <c r="Q6" s="25"/>
      <c r="R6" s="25"/>
      <c r="S6" s="25"/>
      <c r="T6" s="25"/>
      <c r="U6" s="25"/>
      <c r="V6" s="25"/>
      <c r="W6" s="25"/>
      <c r="X6" s="25"/>
      <c r="Y6" s="25"/>
      <c r="Z6" s="25"/>
      <c r="AA6" s="25"/>
      <c r="AB6" s="25"/>
      <c r="AC6" s="25"/>
      <c r="AD6" s="25"/>
      <c r="AE6" s="25"/>
      <c r="AF6" s="25"/>
      <c r="AG6" s="25"/>
      <c r="AH6" s="25"/>
      <c r="AI6" s="25"/>
      <c r="AJ6" s="25"/>
    </row>
    <row r="7" spans="1:1025" ht="15.75" customHeight="1" x14ac:dyDescent="0.25">
      <c r="A7" s="14" t="s">
        <v>1103</v>
      </c>
      <c r="B7" s="28">
        <v>950094925</v>
      </c>
      <c r="C7" s="28" t="s">
        <v>1104</v>
      </c>
      <c r="D7" s="17"/>
      <c r="E7" s="90" t="s">
        <v>45</v>
      </c>
      <c r="F7" s="19"/>
      <c r="G7" s="20" t="s">
        <v>46</v>
      </c>
      <c r="H7" s="32" t="s">
        <v>47</v>
      </c>
      <c r="I7" s="25"/>
      <c r="J7" s="30"/>
      <c r="K7" s="25"/>
      <c r="L7" s="25" t="s">
        <v>1105</v>
      </c>
      <c r="M7" s="25"/>
      <c r="N7" s="25"/>
      <c r="O7" s="25"/>
      <c r="P7" s="25"/>
      <c r="Q7" s="25"/>
      <c r="R7" s="25"/>
      <c r="S7" s="25"/>
      <c r="T7" s="25"/>
      <c r="U7" s="25"/>
      <c r="V7" s="25"/>
      <c r="W7" s="25"/>
      <c r="X7" s="25"/>
      <c r="Y7" s="25"/>
      <c r="Z7" s="25"/>
      <c r="AA7" s="25"/>
      <c r="AB7" s="25"/>
      <c r="AC7" s="25"/>
      <c r="AD7" s="25"/>
      <c r="AE7" s="25"/>
      <c r="AF7" s="25"/>
      <c r="AG7" s="25"/>
      <c r="AH7" s="25"/>
      <c r="AI7" s="25"/>
      <c r="AJ7" s="25"/>
    </row>
    <row r="8" spans="1:1025" ht="15.75" customHeight="1" x14ac:dyDescent="0.25">
      <c r="A8" s="14" t="s">
        <v>1106</v>
      </c>
      <c r="B8" s="28">
        <v>950212022</v>
      </c>
      <c r="C8" s="28" t="s">
        <v>1107</v>
      </c>
      <c r="D8" s="17"/>
      <c r="E8" s="90" t="s">
        <v>45</v>
      </c>
      <c r="F8" s="19"/>
      <c r="G8" s="20" t="s">
        <v>48</v>
      </c>
      <c r="H8" s="32" t="s">
        <v>49</v>
      </c>
      <c r="I8" s="33" t="s">
        <v>1101</v>
      </c>
      <c r="J8" s="34" t="s">
        <v>1108</v>
      </c>
      <c r="K8" s="25"/>
      <c r="L8" s="25"/>
      <c r="M8" s="25"/>
      <c r="N8" s="25"/>
      <c r="O8" s="25"/>
      <c r="P8" s="25"/>
      <c r="Q8" s="25"/>
      <c r="R8" s="25"/>
      <c r="S8" s="25"/>
      <c r="T8" s="25"/>
      <c r="U8" s="25"/>
      <c r="V8" s="25"/>
      <c r="W8" s="25"/>
      <c r="X8" s="25"/>
      <c r="Y8" s="25"/>
      <c r="Z8" s="25"/>
      <c r="AA8" s="25"/>
      <c r="AB8" s="25"/>
      <c r="AC8" s="25"/>
      <c r="AD8" s="25"/>
      <c r="AE8" s="25"/>
      <c r="AF8" s="25"/>
      <c r="AG8" s="25"/>
      <c r="AH8" s="25"/>
      <c r="AI8" s="25"/>
      <c r="AJ8" s="25"/>
    </row>
    <row r="9" spans="1:1025" s="40" customFormat="1" ht="15.75" customHeight="1" x14ac:dyDescent="0.2">
      <c r="A9" s="14" t="s">
        <v>1109</v>
      </c>
      <c r="B9" s="28" t="s">
        <v>1110</v>
      </c>
      <c r="C9" s="28" t="s">
        <v>818</v>
      </c>
      <c r="D9" s="17"/>
      <c r="E9" s="90" t="s">
        <v>921</v>
      </c>
      <c r="F9" s="19"/>
      <c r="G9" s="20" t="s">
        <v>50</v>
      </c>
      <c r="H9" s="32" t="s">
        <v>51</v>
      </c>
      <c r="I9" s="25" t="s">
        <v>1111</v>
      </c>
      <c r="J9" s="30" t="s">
        <v>1111</v>
      </c>
      <c r="K9" s="25"/>
      <c r="L9" s="25"/>
      <c r="M9" s="25"/>
      <c r="N9" s="25"/>
      <c r="O9" s="25"/>
      <c r="P9" s="25"/>
      <c r="Q9" s="25"/>
      <c r="R9" s="25"/>
      <c r="S9" s="25"/>
      <c r="T9" s="25"/>
      <c r="U9" s="25"/>
      <c r="V9" s="25"/>
      <c r="W9" s="25"/>
      <c r="X9" s="25"/>
      <c r="Y9" s="25"/>
      <c r="Z9" s="25"/>
      <c r="AA9" s="25"/>
      <c r="AB9" s="25"/>
      <c r="AC9" s="25"/>
      <c r="AD9" s="25"/>
      <c r="AE9" s="25"/>
      <c r="AF9" s="25"/>
      <c r="AG9" s="25"/>
      <c r="AH9" s="25"/>
      <c r="AI9" s="25"/>
      <c r="AJ9" s="25"/>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c r="IX9" s="1"/>
      <c r="IY9" s="1"/>
      <c r="IZ9" s="1"/>
      <c r="JA9" s="1"/>
      <c r="JB9" s="1"/>
      <c r="JC9" s="1"/>
      <c r="JD9" s="1"/>
      <c r="JE9" s="1"/>
      <c r="JF9" s="1"/>
      <c r="JG9" s="1"/>
      <c r="JH9" s="1"/>
      <c r="JI9" s="1"/>
      <c r="JJ9" s="1"/>
      <c r="JK9" s="1"/>
      <c r="JL9" s="1"/>
      <c r="JM9" s="1"/>
      <c r="JN9" s="1"/>
      <c r="JO9" s="1"/>
      <c r="JP9" s="1"/>
      <c r="JQ9" s="1"/>
      <c r="JR9" s="1"/>
      <c r="JS9" s="1"/>
      <c r="JT9" s="1"/>
      <c r="JU9" s="1"/>
      <c r="JV9" s="1"/>
      <c r="JW9" s="1"/>
      <c r="JX9" s="1"/>
      <c r="JY9" s="1"/>
      <c r="JZ9" s="1"/>
      <c r="KA9" s="1"/>
      <c r="KB9" s="1"/>
      <c r="KC9" s="1"/>
      <c r="KD9" s="1"/>
      <c r="KE9" s="1"/>
      <c r="KF9" s="1"/>
      <c r="KG9" s="1"/>
      <c r="KH9" s="1"/>
      <c r="KI9" s="1"/>
      <c r="KJ9" s="1"/>
      <c r="KK9" s="1"/>
      <c r="KL9" s="1"/>
      <c r="KM9" s="1"/>
      <c r="KN9" s="1"/>
      <c r="KO9" s="1"/>
      <c r="KP9" s="1"/>
      <c r="KQ9" s="1"/>
      <c r="KR9" s="1"/>
      <c r="KS9" s="1"/>
      <c r="KT9" s="1"/>
      <c r="KU9" s="1"/>
      <c r="KV9" s="1"/>
      <c r="KW9" s="1"/>
      <c r="KX9" s="1"/>
      <c r="KY9" s="1"/>
      <c r="KZ9" s="1"/>
      <c r="LA9" s="1"/>
      <c r="LB9" s="1"/>
      <c r="LC9" s="1"/>
      <c r="LD9" s="1"/>
      <c r="LE9" s="1"/>
      <c r="LF9" s="1"/>
      <c r="LG9" s="1"/>
      <c r="LH9" s="1"/>
      <c r="LI9" s="1"/>
      <c r="LJ9" s="1"/>
      <c r="LK9" s="1"/>
      <c r="LL9" s="1"/>
      <c r="LM9" s="1"/>
      <c r="LN9" s="1"/>
      <c r="LO9" s="1"/>
      <c r="LP9" s="1"/>
      <c r="LQ9" s="1"/>
      <c r="LR9" s="1"/>
      <c r="LS9" s="1"/>
      <c r="LT9" s="1"/>
      <c r="LU9" s="1"/>
      <c r="LV9" s="1"/>
      <c r="LW9" s="1"/>
      <c r="LX9" s="1"/>
      <c r="LY9" s="1"/>
      <c r="LZ9" s="1"/>
      <c r="MA9" s="1"/>
      <c r="MB9" s="1"/>
      <c r="MC9" s="1"/>
      <c r="MD9" s="1"/>
      <c r="ME9" s="1"/>
      <c r="MF9" s="1"/>
      <c r="MG9" s="1"/>
      <c r="MH9" s="1"/>
      <c r="MI9" s="1"/>
      <c r="MJ9" s="1"/>
      <c r="MK9" s="1"/>
      <c r="ML9" s="1"/>
      <c r="MM9" s="1"/>
      <c r="MN9" s="1"/>
      <c r="MO9" s="1"/>
      <c r="MP9" s="1"/>
      <c r="MQ9" s="1"/>
      <c r="MR9" s="1"/>
      <c r="MS9" s="1"/>
      <c r="MT9" s="1"/>
      <c r="MU9" s="1"/>
      <c r="MV9" s="1"/>
      <c r="MW9" s="1"/>
      <c r="MX9" s="1"/>
      <c r="MY9" s="1"/>
      <c r="MZ9" s="1"/>
      <c r="NA9" s="1"/>
      <c r="NB9" s="1"/>
      <c r="NC9" s="1"/>
      <c r="ND9" s="1"/>
      <c r="NE9" s="1"/>
      <c r="NF9" s="1"/>
      <c r="NG9" s="1"/>
      <c r="NH9" s="1"/>
      <c r="NI9" s="1"/>
      <c r="NJ9" s="1"/>
      <c r="NK9" s="1"/>
      <c r="NL9" s="1"/>
      <c r="NM9" s="1"/>
      <c r="NN9" s="1"/>
      <c r="NO9" s="1"/>
      <c r="NP9" s="1"/>
      <c r="NQ9" s="1"/>
      <c r="NR9" s="1"/>
      <c r="NS9" s="1"/>
      <c r="NT9" s="1"/>
      <c r="NU9" s="1"/>
      <c r="NV9" s="1"/>
      <c r="NW9" s="1"/>
      <c r="NX9" s="1"/>
      <c r="NY9" s="1"/>
      <c r="NZ9" s="1"/>
      <c r="OA9" s="1"/>
      <c r="OB9" s="1"/>
      <c r="OC9" s="1"/>
      <c r="OD9" s="1"/>
      <c r="OE9" s="1"/>
      <c r="OF9" s="1"/>
      <c r="OG9" s="1"/>
      <c r="OH9" s="1"/>
      <c r="OI9" s="1"/>
      <c r="OJ9" s="1"/>
      <c r="OK9" s="1"/>
      <c r="OL9" s="1"/>
      <c r="OM9" s="1"/>
      <c r="ON9" s="1"/>
      <c r="OO9" s="1"/>
      <c r="OP9" s="1"/>
      <c r="OQ9" s="1"/>
      <c r="OR9" s="1"/>
      <c r="OS9" s="1"/>
      <c r="OT9" s="1"/>
      <c r="OU9" s="1"/>
      <c r="OV9" s="1"/>
      <c r="OW9" s="1"/>
      <c r="OX9" s="1"/>
      <c r="OY9" s="1"/>
      <c r="OZ9" s="1"/>
      <c r="PA9" s="1"/>
      <c r="PB9" s="1"/>
      <c r="PC9" s="1"/>
      <c r="PD9" s="1"/>
      <c r="PE9" s="1"/>
      <c r="PF9" s="1"/>
      <c r="PG9" s="1"/>
      <c r="PH9" s="1"/>
      <c r="PI9" s="1"/>
      <c r="PJ9" s="1"/>
      <c r="PK9" s="1"/>
      <c r="PL9" s="1"/>
      <c r="PM9" s="1"/>
      <c r="PN9" s="1"/>
      <c r="PO9" s="1"/>
      <c r="PP9" s="1"/>
      <c r="PQ9" s="1"/>
      <c r="PR9" s="1"/>
      <c r="PS9" s="1"/>
      <c r="PT9" s="1"/>
      <c r="PU9" s="1"/>
      <c r="PV9" s="1"/>
      <c r="PW9" s="1"/>
      <c r="PX9" s="1"/>
      <c r="PY9" s="1"/>
      <c r="PZ9" s="1"/>
      <c r="QA9" s="1"/>
      <c r="QB9" s="1"/>
      <c r="QC9" s="1"/>
      <c r="QD9" s="1"/>
      <c r="QE9" s="1"/>
      <c r="QF9" s="1"/>
      <c r="QG9" s="1"/>
      <c r="QH9" s="1"/>
      <c r="QI9" s="1"/>
      <c r="QJ9" s="1"/>
      <c r="QK9" s="1"/>
      <c r="QL9" s="1"/>
      <c r="QM9" s="1"/>
      <c r="QN9" s="1"/>
      <c r="QO9" s="1"/>
      <c r="QP9" s="1"/>
      <c r="QQ9" s="1"/>
      <c r="QR9" s="1"/>
      <c r="QS9" s="1"/>
      <c r="QT9" s="1"/>
      <c r="QU9" s="1"/>
      <c r="QV9" s="1"/>
      <c r="QW9" s="1"/>
      <c r="QX9" s="1"/>
      <c r="QY9" s="1"/>
      <c r="QZ9" s="1"/>
      <c r="RA9" s="1"/>
      <c r="RB9" s="1"/>
      <c r="RC9" s="1"/>
      <c r="RD9" s="1"/>
      <c r="RE9" s="1"/>
      <c r="RF9" s="1"/>
      <c r="RG9" s="1"/>
      <c r="RH9" s="1"/>
      <c r="RI9" s="1"/>
      <c r="RJ9" s="1"/>
      <c r="RK9" s="1"/>
      <c r="RL9" s="1"/>
      <c r="RM9" s="1"/>
      <c r="RN9" s="1"/>
      <c r="RO9" s="1"/>
      <c r="RP9" s="1"/>
      <c r="RQ9" s="1"/>
      <c r="RR9" s="1"/>
      <c r="RS9" s="1"/>
      <c r="RT9" s="1"/>
      <c r="RU9" s="1"/>
      <c r="RV9" s="1"/>
      <c r="RW9" s="1"/>
      <c r="RX9" s="1"/>
      <c r="RY9" s="1"/>
      <c r="RZ9" s="1"/>
      <c r="SA9" s="1"/>
      <c r="SB9" s="1"/>
      <c r="SC9" s="1"/>
      <c r="SD9" s="1"/>
      <c r="SE9" s="1"/>
      <c r="SF9" s="1"/>
      <c r="SG9" s="1"/>
      <c r="SH9" s="1"/>
      <c r="SI9" s="1"/>
      <c r="SJ9" s="1"/>
      <c r="SK9" s="1"/>
      <c r="SL9" s="1"/>
      <c r="SM9" s="1"/>
      <c r="SN9" s="1"/>
      <c r="SO9" s="1"/>
      <c r="SP9" s="1"/>
      <c r="SQ9" s="1"/>
      <c r="SR9" s="1"/>
      <c r="SS9" s="1"/>
      <c r="ST9" s="1"/>
      <c r="SU9" s="1"/>
      <c r="SV9" s="1"/>
      <c r="SW9" s="1"/>
      <c r="SX9" s="1"/>
      <c r="SY9" s="1"/>
      <c r="SZ9" s="1"/>
      <c r="TA9" s="1"/>
      <c r="TB9" s="1"/>
      <c r="TC9" s="1"/>
      <c r="TD9" s="1"/>
      <c r="TE9" s="1"/>
      <c r="TF9" s="1"/>
      <c r="TG9" s="1"/>
      <c r="TH9" s="1"/>
      <c r="TI9" s="1"/>
      <c r="TJ9" s="1"/>
      <c r="TK9" s="1"/>
      <c r="TL9" s="1"/>
      <c r="TM9" s="1"/>
      <c r="TN9" s="1"/>
      <c r="TO9" s="1"/>
      <c r="TP9" s="1"/>
      <c r="TQ9" s="1"/>
      <c r="TR9" s="1"/>
      <c r="TS9" s="1"/>
      <c r="TT9" s="1"/>
      <c r="TU9" s="1"/>
      <c r="TV9" s="1"/>
      <c r="TW9" s="1"/>
      <c r="TX9" s="1"/>
      <c r="TY9" s="1"/>
      <c r="TZ9" s="1"/>
      <c r="UA9" s="1"/>
      <c r="UB9" s="1"/>
      <c r="UC9" s="1"/>
      <c r="UD9" s="1"/>
      <c r="UE9" s="1"/>
      <c r="UF9" s="1"/>
      <c r="UG9" s="1"/>
      <c r="UH9" s="1"/>
      <c r="UI9" s="1"/>
      <c r="UJ9" s="1"/>
      <c r="UK9" s="1"/>
      <c r="UL9" s="1"/>
      <c r="UM9" s="1"/>
      <c r="UN9" s="1"/>
      <c r="UO9" s="1"/>
      <c r="UP9" s="1"/>
      <c r="UQ9" s="1"/>
      <c r="UR9" s="1"/>
      <c r="US9" s="1"/>
      <c r="UT9" s="1"/>
      <c r="UU9" s="1"/>
      <c r="UV9" s="1"/>
      <c r="UW9" s="1"/>
      <c r="UX9" s="1"/>
      <c r="UY9" s="1"/>
      <c r="UZ9" s="1"/>
      <c r="VA9" s="1"/>
      <c r="VB9" s="1"/>
      <c r="VC9" s="1"/>
      <c r="VD9" s="1"/>
      <c r="VE9" s="1"/>
      <c r="VF9" s="1"/>
      <c r="VG9" s="1"/>
      <c r="VH9" s="1"/>
      <c r="VI9" s="1"/>
      <c r="VJ9" s="1"/>
      <c r="VK9" s="1"/>
      <c r="VL9" s="1"/>
      <c r="VM9" s="1"/>
      <c r="VN9" s="1"/>
      <c r="VO9" s="1"/>
      <c r="VP9" s="1"/>
      <c r="VQ9" s="1"/>
      <c r="VR9" s="1"/>
      <c r="VS9" s="1"/>
      <c r="VT9" s="1"/>
      <c r="VU9" s="1"/>
      <c r="VV9" s="1"/>
      <c r="VW9" s="1"/>
      <c r="VX9" s="1"/>
      <c r="VY9" s="1"/>
      <c r="VZ9" s="1"/>
      <c r="WA9" s="1"/>
      <c r="WB9" s="1"/>
      <c r="WC9" s="1"/>
      <c r="WD9" s="1"/>
      <c r="WE9" s="1"/>
      <c r="WF9" s="1"/>
      <c r="WG9" s="1"/>
      <c r="WH9" s="1"/>
      <c r="WI9" s="1"/>
      <c r="WJ9" s="1"/>
      <c r="WK9" s="1"/>
      <c r="WL9" s="1"/>
      <c r="WM9" s="1"/>
      <c r="WN9" s="1"/>
      <c r="WO9" s="1"/>
      <c r="WP9" s="1"/>
      <c r="WQ9" s="1"/>
      <c r="WR9" s="1"/>
      <c r="WS9" s="1"/>
      <c r="WT9" s="1"/>
      <c r="WU9" s="1"/>
      <c r="WV9" s="1"/>
      <c r="WW9" s="1"/>
      <c r="WX9" s="1"/>
      <c r="WY9" s="1"/>
      <c r="WZ9" s="1"/>
      <c r="XA9" s="1"/>
      <c r="XB9" s="1"/>
      <c r="XC9" s="1"/>
      <c r="XD9" s="1"/>
      <c r="XE9" s="1"/>
      <c r="XF9" s="1"/>
      <c r="XG9" s="1"/>
      <c r="XH9" s="1"/>
      <c r="XI9" s="1"/>
      <c r="XJ9" s="1"/>
      <c r="XK9" s="1"/>
      <c r="XL9" s="1"/>
      <c r="XM9" s="1"/>
      <c r="XN9" s="1"/>
      <c r="XO9" s="1"/>
      <c r="XP9" s="1"/>
      <c r="XQ9" s="1"/>
      <c r="XR9" s="1"/>
      <c r="XS9" s="1"/>
      <c r="XT9" s="1"/>
      <c r="XU9" s="1"/>
      <c r="XV9" s="1"/>
      <c r="XW9" s="1"/>
      <c r="XX9" s="1"/>
      <c r="XY9" s="1"/>
      <c r="XZ9" s="1"/>
      <c r="YA9" s="1"/>
      <c r="YB9" s="1"/>
      <c r="YC9" s="1"/>
      <c r="YD9" s="1"/>
      <c r="YE9" s="1"/>
      <c r="YF9" s="1"/>
      <c r="YG9" s="1"/>
      <c r="YH9" s="1"/>
      <c r="YI9" s="1"/>
      <c r="YJ9" s="1"/>
      <c r="YK9" s="1"/>
      <c r="YL9" s="1"/>
      <c r="YM9" s="1"/>
      <c r="YN9" s="1"/>
      <c r="YO9" s="1"/>
      <c r="YP9" s="1"/>
      <c r="YQ9" s="1"/>
      <c r="YR9" s="1"/>
      <c r="YS9" s="1"/>
      <c r="YT9" s="1"/>
      <c r="YU9" s="1"/>
      <c r="YV9" s="1"/>
      <c r="YW9" s="1"/>
      <c r="YX9" s="1"/>
      <c r="YY9" s="1"/>
      <c r="YZ9" s="1"/>
      <c r="ZA9" s="1"/>
      <c r="ZB9" s="1"/>
      <c r="ZC9" s="1"/>
      <c r="ZD9" s="1"/>
      <c r="ZE9" s="1"/>
      <c r="ZF9" s="1"/>
      <c r="ZG9" s="1"/>
      <c r="ZH9" s="1"/>
      <c r="ZI9" s="1"/>
      <c r="ZJ9" s="1"/>
      <c r="ZK9" s="1"/>
      <c r="ZL9" s="1"/>
      <c r="ZM9" s="1"/>
      <c r="ZN9" s="1"/>
      <c r="ZO9" s="1"/>
      <c r="ZP9" s="1"/>
      <c r="ZQ9" s="1"/>
      <c r="ZR9" s="1"/>
      <c r="ZS9" s="1"/>
      <c r="ZT9" s="1"/>
      <c r="ZU9" s="1"/>
      <c r="ZV9" s="1"/>
      <c r="ZW9" s="1"/>
      <c r="ZX9" s="1"/>
      <c r="ZY9" s="1"/>
      <c r="ZZ9" s="1"/>
      <c r="AAA9" s="1"/>
      <c r="AAB9" s="1"/>
      <c r="AAC9" s="1"/>
      <c r="AAD9" s="1"/>
      <c r="AAE9" s="1"/>
      <c r="AAF9" s="1"/>
      <c r="AAG9" s="1"/>
      <c r="AAH9" s="1"/>
      <c r="AAI9" s="1"/>
      <c r="AAJ9" s="1"/>
      <c r="AAK9" s="1"/>
      <c r="AAL9" s="1"/>
      <c r="AAM9" s="1"/>
      <c r="AAN9" s="1"/>
      <c r="AAO9" s="1"/>
      <c r="AAP9" s="1"/>
      <c r="AAQ9" s="1"/>
      <c r="AAR9" s="1"/>
      <c r="AAS9" s="1"/>
      <c r="AAT9" s="1"/>
      <c r="AAU9" s="1"/>
      <c r="AAV9" s="1"/>
      <c r="AAW9" s="1"/>
      <c r="AAX9" s="1"/>
      <c r="AAY9" s="1"/>
      <c r="AAZ9" s="1"/>
      <c r="ABA9" s="1"/>
      <c r="ABB9" s="1"/>
      <c r="ABC9" s="1"/>
      <c r="ABD9" s="1"/>
      <c r="ABE9" s="1"/>
      <c r="ABF9" s="1"/>
      <c r="ABG9" s="1"/>
      <c r="ABH9" s="1"/>
      <c r="ABI9" s="1"/>
      <c r="ABJ9" s="1"/>
      <c r="ABK9" s="1"/>
      <c r="ABL9" s="1"/>
      <c r="ABM9" s="1"/>
      <c r="ABN9" s="1"/>
      <c r="ABO9" s="1"/>
      <c r="ABP9" s="1"/>
      <c r="ABQ9" s="1"/>
      <c r="ABR9" s="1"/>
      <c r="ABS9" s="1"/>
      <c r="ABT9" s="1"/>
      <c r="ABU9" s="1"/>
      <c r="ABV9" s="1"/>
      <c r="ABW9" s="1"/>
      <c r="ABX9" s="1"/>
      <c r="ABY9" s="1"/>
      <c r="ABZ9" s="1"/>
      <c r="ACA9" s="1"/>
      <c r="ACB9" s="1"/>
      <c r="ACC9" s="1"/>
      <c r="ACD9" s="1"/>
      <c r="ACE9" s="1"/>
      <c r="ACF9" s="1"/>
      <c r="ACG9" s="1"/>
      <c r="ACH9" s="1"/>
      <c r="ACI9" s="1"/>
      <c r="ACJ9" s="1"/>
      <c r="ACK9" s="1"/>
      <c r="ACL9" s="1"/>
      <c r="ACM9" s="1"/>
      <c r="ACN9" s="1"/>
      <c r="ACO9" s="1"/>
      <c r="ACP9" s="1"/>
      <c r="ACQ9" s="1"/>
      <c r="ACR9" s="1"/>
      <c r="ACS9" s="1"/>
      <c r="ACT9" s="1"/>
      <c r="ACU9" s="1"/>
      <c r="ACV9" s="1"/>
      <c r="ACW9" s="1"/>
      <c r="ACX9" s="1"/>
      <c r="ACY9" s="1"/>
      <c r="ACZ9" s="1"/>
      <c r="ADA9" s="1"/>
      <c r="ADB9" s="1"/>
      <c r="ADC9" s="1"/>
      <c r="ADD9" s="1"/>
      <c r="ADE9" s="1"/>
      <c r="ADF9" s="1"/>
      <c r="ADG9" s="1"/>
      <c r="ADH9" s="1"/>
      <c r="ADI9" s="1"/>
      <c r="ADJ9" s="1"/>
      <c r="ADK9" s="1"/>
      <c r="ADL9" s="1"/>
      <c r="ADM9" s="1"/>
      <c r="ADN9" s="1"/>
      <c r="ADO9" s="1"/>
      <c r="ADP9" s="1"/>
      <c r="ADQ9" s="1"/>
      <c r="ADR9" s="1"/>
      <c r="ADS9" s="1"/>
      <c r="ADT9" s="1"/>
      <c r="ADU9" s="1"/>
      <c r="ADV9" s="1"/>
      <c r="ADW9" s="1"/>
      <c r="ADX9" s="1"/>
      <c r="ADY9" s="1"/>
      <c r="ADZ9" s="1"/>
      <c r="AEA9" s="1"/>
      <c r="AEB9" s="1"/>
      <c r="AEC9" s="1"/>
      <c r="AED9" s="1"/>
      <c r="AEE9" s="1"/>
      <c r="AEF9" s="1"/>
      <c r="AEG9" s="1"/>
      <c r="AEH9" s="1"/>
      <c r="AEI9" s="1"/>
      <c r="AEJ9" s="1"/>
      <c r="AEK9" s="1"/>
      <c r="AEL9" s="1"/>
      <c r="AEM9" s="1"/>
      <c r="AEN9" s="1"/>
      <c r="AEO9" s="1"/>
      <c r="AEP9" s="1"/>
      <c r="AEQ9" s="1"/>
      <c r="AER9" s="1"/>
      <c r="AES9" s="1"/>
      <c r="AET9" s="1"/>
      <c r="AEU9" s="1"/>
      <c r="AEV9" s="1"/>
      <c r="AEW9" s="1"/>
      <c r="AEX9" s="1"/>
      <c r="AEY9" s="1"/>
      <c r="AEZ9" s="1"/>
      <c r="AFA9" s="1"/>
      <c r="AFB9" s="1"/>
      <c r="AFC9" s="1"/>
      <c r="AFD9" s="1"/>
      <c r="AFE9" s="1"/>
      <c r="AFF9" s="1"/>
      <c r="AFG9" s="1"/>
      <c r="AFH9" s="1"/>
      <c r="AFI9" s="1"/>
      <c r="AFJ9" s="1"/>
      <c r="AFK9" s="1"/>
      <c r="AFL9" s="1"/>
      <c r="AFM9" s="1"/>
      <c r="AFN9" s="1"/>
      <c r="AFO9" s="1"/>
      <c r="AFP9" s="1"/>
      <c r="AFQ9" s="1"/>
      <c r="AFR9" s="1"/>
      <c r="AFS9" s="1"/>
      <c r="AFT9" s="1"/>
      <c r="AFU9" s="1"/>
      <c r="AFV9" s="1"/>
      <c r="AFW9" s="1"/>
      <c r="AFX9" s="1"/>
      <c r="AFY9" s="1"/>
      <c r="AFZ9" s="1"/>
      <c r="AGA9" s="1"/>
      <c r="AGB9" s="1"/>
      <c r="AGC9" s="1"/>
      <c r="AGD9" s="1"/>
      <c r="AGE9" s="1"/>
      <c r="AGF9" s="1"/>
      <c r="AGG9" s="1"/>
      <c r="AGH9" s="1"/>
      <c r="AGI9" s="1"/>
      <c r="AGJ9" s="1"/>
      <c r="AGK9" s="1"/>
      <c r="AGL9" s="1"/>
      <c r="AGM9" s="1"/>
      <c r="AGN9" s="1"/>
      <c r="AGO9" s="1"/>
      <c r="AGP9" s="1"/>
      <c r="AGQ9" s="1"/>
      <c r="AGR9" s="1"/>
      <c r="AGS9" s="1"/>
      <c r="AGT9" s="1"/>
      <c r="AGU9" s="1"/>
      <c r="AGV9" s="1"/>
      <c r="AGW9" s="1"/>
      <c r="AGX9" s="1"/>
      <c r="AGY9" s="1"/>
      <c r="AGZ9" s="1"/>
      <c r="AHA9" s="1"/>
      <c r="AHB9" s="1"/>
      <c r="AHC9" s="1"/>
      <c r="AHD9" s="1"/>
      <c r="AHE9" s="1"/>
      <c r="AHF9" s="1"/>
      <c r="AHG9" s="1"/>
      <c r="AHH9" s="1"/>
      <c r="AHI9" s="1"/>
      <c r="AHJ9" s="1"/>
      <c r="AHK9" s="1"/>
      <c r="AHL9" s="1"/>
      <c r="AHM9" s="1"/>
      <c r="AHN9" s="1"/>
      <c r="AHO9" s="1"/>
      <c r="AHP9" s="1"/>
      <c r="AHQ9" s="1"/>
      <c r="AHR9" s="1"/>
      <c r="AHS9" s="1"/>
      <c r="AHT9" s="1"/>
      <c r="AHU9" s="1"/>
      <c r="AHV9" s="1"/>
      <c r="AHW9" s="1"/>
      <c r="AHX9" s="1"/>
      <c r="AHY9" s="1"/>
      <c r="AHZ9" s="1"/>
      <c r="AIA9" s="1"/>
      <c r="AIB9" s="1"/>
      <c r="AIC9" s="1"/>
      <c r="AID9" s="1"/>
      <c r="AIE9" s="1"/>
      <c r="AIF9" s="1"/>
      <c r="AIG9" s="1"/>
      <c r="AIH9" s="1"/>
      <c r="AII9" s="1"/>
      <c r="AIJ9" s="1"/>
      <c r="AIK9" s="1"/>
      <c r="AIL9" s="1"/>
      <c r="AIM9" s="1"/>
      <c r="AIN9" s="1"/>
      <c r="AIO9" s="1"/>
      <c r="AIP9" s="1"/>
      <c r="AIQ9" s="1"/>
      <c r="AIR9" s="1"/>
      <c r="AIS9" s="1"/>
      <c r="AIT9" s="1"/>
      <c r="AIU9" s="1"/>
      <c r="AIV9" s="1"/>
      <c r="AIW9" s="1"/>
      <c r="AIX9" s="1"/>
      <c r="AIY9" s="1"/>
      <c r="AIZ9" s="1"/>
      <c r="AJA9" s="1"/>
      <c r="AJB9" s="1"/>
      <c r="AJC9" s="1"/>
      <c r="AJD9" s="1"/>
      <c r="AJE9" s="1"/>
      <c r="AJF9" s="1"/>
      <c r="AJG9" s="1"/>
      <c r="AJH9" s="1"/>
      <c r="AJI9" s="1"/>
      <c r="AJJ9" s="1"/>
      <c r="AJK9" s="1"/>
      <c r="AJL9" s="1"/>
      <c r="AJM9" s="1"/>
      <c r="AJN9" s="1"/>
      <c r="AJO9" s="1"/>
      <c r="AJP9" s="1"/>
      <c r="AJQ9" s="1"/>
      <c r="AJR9" s="1"/>
      <c r="AJS9" s="1"/>
      <c r="AJT9" s="1"/>
      <c r="AJU9" s="1"/>
      <c r="AJV9" s="1"/>
      <c r="AJW9" s="1"/>
      <c r="AJX9" s="1"/>
      <c r="AJY9" s="1"/>
      <c r="AJZ9" s="1"/>
      <c r="AKA9" s="1"/>
      <c r="AKB9" s="1"/>
      <c r="AKC9" s="1"/>
      <c r="AKD9" s="1"/>
      <c r="AKE9" s="1"/>
      <c r="AKF9" s="1"/>
      <c r="AKG9" s="1"/>
      <c r="AKH9" s="1"/>
      <c r="AKI9" s="1"/>
      <c r="AKJ9" s="1"/>
      <c r="AKK9" s="1"/>
      <c r="AKL9" s="1"/>
      <c r="AKM9" s="1"/>
      <c r="AKN9" s="1"/>
      <c r="AKO9" s="1"/>
      <c r="AKP9" s="1"/>
      <c r="AKQ9" s="1"/>
      <c r="AKR9" s="1"/>
      <c r="AKS9" s="1"/>
      <c r="AKT9" s="1"/>
      <c r="AKU9" s="1"/>
      <c r="AKV9" s="1"/>
      <c r="AKW9" s="1"/>
      <c r="AKX9" s="1"/>
      <c r="AKY9" s="1"/>
      <c r="AKZ9" s="1"/>
      <c r="ALA9" s="1"/>
      <c r="ALB9" s="1"/>
      <c r="ALC9" s="1"/>
      <c r="ALD9" s="1"/>
      <c r="ALE9" s="1"/>
      <c r="ALF9" s="1"/>
      <c r="ALG9" s="1"/>
      <c r="ALH9" s="1"/>
      <c r="ALI9" s="1"/>
      <c r="ALJ9" s="1"/>
      <c r="ALK9" s="1"/>
      <c r="ALL9" s="1"/>
      <c r="ALM9" s="1"/>
      <c r="ALN9" s="1"/>
      <c r="ALO9" s="1"/>
      <c r="ALP9" s="1"/>
      <c r="ALQ9" s="1"/>
      <c r="ALR9" s="1"/>
      <c r="ALS9" s="1"/>
      <c r="ALT9" s="1"/>
      <c r="ALU9" s="1"/>
      <c r="ALV9" s="1"/>
      <c r="ALW9" s="1"/>
      <c r="ALX9" s="1"/>
      <c r="ALY9" s="1"/>
      <c r="ALZ9" s="1"/>
      <c r="AMA9" s="1"/>
      <c r="AMB9" s="1"/>
      <c r="AMC9" s="1"/>
      <c r="AMD9" s="1"/>
      <c r="AME9" s="1"/>
      <c r="AMF9" s="1"/>
      <c r="AMG9" s="1"/>
      <c r="AMH9" s="1"/>
      <c r="AMI9" s="1"/>
      <c r="AMJ9" s="1"/>
      <c r="AMK9" s="1"/>
    </row>
    <row r="10" spans="1:1025" ht="15.75" customHeight="1" x14ac:dyDescent="0.25">
      <c r="A10" s="14" t="s">
        <v>1112</v>
      </c>
      <c r="B10" s="35"/>
      <c r="C10" s="35"/>
      <c r="D10" s="17"/>
      <c r="E10" s="90" t="s">
        <v>907</v>
      </c>
      <c r="F10" s="19"/>
      <c r="G10" s="20" t="s">
        <v>52</v>
      </c>
      <c r="H10" s="29" t="s">
        <v>53</v>
      </c>
      <c r="I10" s="25" t="s">
        <v>1113</v>
      </c>
      <c r="J10" s="36" t="s">
        <v>1114</v>
      </c>
      <c r="K10" s="25"/>
      <c r="L10" s="25"/>
      <c r="M10" s="25"/>
      <c r="N10" s="25"/>
      <c r="O10" s="25"/>
      <c r="P10" s="25" t="s">
        <v>1115</v>
      </c>
      <c r="Q10" s="25"/>
      <c r="R10" s="25"/>
      <c r="S10" s="25"/>
      <c r="T10" s="25"/>
      <c r="U10" s="25"/>
      <c r="V10" s="25"/>
      <c r="W10" s="25"/>
      <c r="X10" s="25"/>
      <c r="Y10" s="25"/>
      <c r="Z10" s="25"/>
      <c r="AA10" s="25"/>
      <c r="AB10" s="25"/>
      <c r="AC10" s="25"/>
      <c r="AD10" s="25"/>
      <c r="AE10" s="25"/>
      <c r="AF10" s="25"/>
      <c r="AG10" s="25"/>
      <c r="AH10" s="25"/>
      <c r="AI10" s="25"/>
      <c r="AJ10" s="25"/>
    </row>
    <row r="11" spans="1:1025" ht="15.75" customHeight="1" x14ac:dyDescent="0.25">
      <c r="A11" s="14" t="s">
        <v>1116</v>
      </c>
      <c r="B11" s="28" t="s">
        <v>1049</v>
      </c>
      <c r="C11" s="28" t="s">
        <v>1117</v>
      </c>
      <c r="D11" s="104" t="s">
        <v>1118</v>
      </c>
      <c r="E11" s="90" t="s">
        <v>1119</v>
      </c>
      <c r="F11" s="19">
        <v>90017016989</v>
      </c>
      <c r="G11" s="20" t="s">
        <v>54</v>
      </c>
      <c r="H11" s="32" t="s">
        <v>55</v>
      </c>
      <c r="I11" s="25" t="s">
        <v>1120</v>
      </c>
      <c r="J11" s="30" t="s">
        <v>1120</v>
      </c>
      <c r="K11" s="25"/>
      <c r="L11" s="25"/>
      <c r="M11" s="25"/>
      <c r="N11" s="25"/>
      <c r="O11" s="25"/>
      <c r="P11" s="25"/>
      <c r="Q11" s="25"/>
      <c r="R11" s="25"/>
      <c r="S11" s="25"/>
      <c r="T11" s="25"/>
      <c r="U11" s="25"/>
      <c r="V11" s="25"/>
      <c r="W11" s="25"/>
      <c r="X11" s="25"/>
      <c r="Y11" s="25"/>
      <c r="Z11" s="25"/>
      <c r="AA11" s="25"/>
      <c r="AB11" s="25"/>
      <c r="AC11" s="25"/>
      <c r="AD11" s="25"/>
      <c r="AE11" s="25"/>
      <c r="AF11" s="25"/>
      <c r="AG11" s="37"/>
      <c r="AH11" s="37"/>
      <c r="AI11" s="25"/>
      <c r="AJ11" s="25"/>
    </row>
    <row r="12" spans="1:1025" ht="15.75" customHeight="1" x14ac:dyDescent="0.25">
      <c r="A12" s="14" t="s">
        <v>1121</v>
      </c>
      <c r="B12" s="28" t="s">
        <v>1122</v>
      </c>
      <c r="C12" s="28" t="s">
        <v>1047</v>
      </c>
      <c r="D12" s="104" t="s">
        <v>1123</v>
      </c>
      <c r="E12" s="90" t="s">
        <v>1124</v>
      </c>
      <c r="F12" s="19">
        <v>90017016989</v>
      </c>
      <c r="G12" s="20" t="s">
        <v>56</v>
      </c>
      <c r="H12" s="32" t="s">
        <v>55</v>
      </c>
      <c r="I12" s="25" t="s">
        <v>1120</v>
      </c>
      <c r="J12" s="30" t="s">
        <v>1120</v>
      </c>
      <c r="K12" s="25"/>
      <c r="L12" s="25"/>
      <c r="M12" s="25"/>
      <c r="N12" s="25"/>
      <c r="O12" s="25"/>
      <c r="P12" s="25"/>
      <c r="Q12" s="25"/>
      <c r="R12" s="25"/>
      <c r="S12" s="25"/>
      <c r="T12" s="25"/>
      <c r="U12" s="25"/>
      <c r="V12" s="25"/>
      <c r="W12" s="25"/>
      <c r="X12" s="25"/>
      <c r="Y12" s="25"/>
      <c r="Z12" s="25"/>
      <c r="AA12" s="25"/>
      <c r="AB12" s="25"/>
      <c r="AC12" s="25"/>
      <c r="AD12" s="25"/>
      <c r="AE12" s="25"/>
      <c r="AF12" s="25"/>
      <c r="AG12" s="37"/>
      <c r="AH12" s="37"/>
      <c r="AI12" s="25"/>
      <c r="AJ12" s="25"/>
    </row>
    <row r="13" spans="1:1025" ht="15.75" customHeight="1" x14ac:dyDescent="0.25">
      <c r="A13" s="14" t="s">
        <v>57</v>
      </c>
      <c r="B13" s="35"/>
      <c r="C13" s="35"/>
      <c r="D13" s="17"/>
      <c r="E13" s="90" t="s">
        <v>60</v>
      </c>
      <c r="F13" s="19"/>
      <c r="G13" s="20" t="s">
        <v>61</v>
      </c>
      <c r="H13" s="29" t="s">
        <v>62</v>
      </c>
      <c r="I13" s="38" t="s">
        <v>1125</v>
      </c>
      <c r="J13" s="30" t="s">
        <v>1125</v>
      </c>
      <c r="K13" s="25"/>
      <c r="L13" s="25"/>
      <c r="M13" s="25"/>
      <c r="N13" s="25"/>
      <c r="O13" s="25"/>
      <c r="P13" s="25"/>
      <c r="Q13" s="25"/>
      <c r="R13" s="25"/>
      <c r="S13" s="25"/>
      <c r="T13" s="25"/>
      <c r="U13" s="25"/>
      <c r="V13" s="25"/>
      <c r="W13" s="25"/>
      <c r="X13" s="25"/>
      <c r="Y13" s="25"/>
      <c r="Z13" s="25"/>
      <c r="AA13" s="25"/>
      <c r="AB13" s="25"/>
      <c r="AC13" s="25"/>
      <c r="AD13" s="25"/>
      <c r="AE13" s="25"/>
      <c r="AF13" s="25" t="s">
        <v>65</v>
      </c>
      <c r="AG13" s="25"/>
      <c r="AH13" s="25"/>
      <c r="AI13" s="25"/>
      <c r="AJ13" s="25"/>
    </row>
    <row r="14" spans="1:1025" ht="15.75" customHeight="1" x14ac:dyDescent="0.25">
      <c r="A14" s="14" t="s">
        <v>66</v>
      </c>
      <c r="B14" s="35"/>
      <c r="C14" s="35"/>
      <c r="D14" s="17"/>
      <c r="E14" s="90" t="s">
        <v>67</v>
      </c>
      <c r="F14" s="19"/>
      <c r="G14" s="20" t="s">
        <v>68</v>
      </c>
      <c r="H14" s="29" t="s">
        <v>67</v>
      </c>
      <c r="I14" s="25">
        <v>705850637</v>
      </c>
      <c r="J14" s="30" t="s">
        <v>1126</v>
      </c>
      <c r="K14" s="25"/>
      <c r="L14" s="25"/>
      <c r="M14" s="25"/>
      <c r="N14" s="25"/>
      <c r="O14" s="25"/>
      <c r="P14" s="25"/>
      <c r="Q14" s="25"/>
      <c r="R14" s="25"/>
      <c r="S14" s="25"/>
      <c r="T14" s="25"/>
      <c r="U14" s="25"/>
      <c r="V14" s="25"/>
      <c r="W14" s="25"/>
      <c r="X14" s="25"/>
      <c r="Y14" s="25"/>
      <c r="Z14" s="25"/>
      <c r="AA14" s="25"/>
      <c r="AB14" s="25"/>
      <c r="AC14" s="25"/>
      <c r="AD14" s="25"/>
      <c r="AE14" s="25"/>
      <c r="AF14" s="25" t="s">
        <v>65</v>
      </c>
      <c r="AG14" s="25"/>
      <c r="AH14" s="25"/>
      <c r="AI14" s="25"/>
      <c r="AJ14" s="25"/>
      <c r="AK14" s="40"/>
      <c r="AL14" s="40"/>
      <c r="AM14" s="40"/>
      <c r="AN14" s="40"/>
      <c r="AO14" s="40"/>
      <c r="AP14" s="40"/>
      <c r="AQ14" s="40"/>
      <c r="AR14" s="40"/>
      <c r="AS14" s="40"/>
      <c r="AT14" s="40"/>
      <c r="AU14" s="40"/>
      <c r="AV14" s="40"/>
      <c r="AW14" s="40"/>
      <c r="AX14" s="40"/>
      <c r="AY14" s="40"/>
      <c r="AZ14" s="40"/>
      <c r="BA14" s="40"/>
      <c r="BB14" s="40"/>
      <c r="BC14" s="40"/>
      <c r="BD14" s="40"/>
      <c r="BE14" s="40"/>
      <c r="BF14" s="40"/>
      <c r="BG14" s="40"/>
      <c r="BH14" s="40"/>
      <c r="BI14" s="40"/>
      <c r="BJ14" s="40"/>
      <c r="BK14" s="40"/>
      <c r="BL14" s="40"/>
      <c r="BM14" s="40"/>
      <c r="BN14" s="40"/>
      <c r="BO14" s="40"/>
      <c r="BP14" s="40"/>
      <c r="BQ14" s="40"/>
      <c r="BR14" s="40"/>
      <c r="BS14" s="40"/>
      <c r="BT14" s="40"/>
      <c r="BU14" s="40"/>
      <c r="BV14" s="40"/>
      <c r="BW14" s="40"/>
      <c r="BX14" s="40"/>
      <c r="BY14" s="40"/>
      <c r="BZ14" s="40"/>
      <c r="CA14" s="40"/>
      <c r="CB14" s="40"/>
      <c r="CC14" s="40"/>
      <c r="CD14" s="40"/>
      <c r="CE14" s="40"/>
      <c r="CF14" s="40"/>
      <c r="CG14" s="40"/>
      <c r="CH14" s="40"/>
      <c r="CI14" s="40"/>
      <c r="CJ14" s="40"/>
      <c r="CK14" s="40"/>
      <c r="CL14" s="40"/>
      <c r="CM14" s="40"/>
      <c r="CN14" s="40"/>
      <c r="CO14" s="40"/>
      <c r="CP14" s="40"/>
      <c r="CQ14" s="40"/>
      <c r="CR14" s="40"/>
      <c r="CS14" s="40"/>
      <c r="CT14" s="40"/>
      <c r="CU14" s="40"/>
      <c r="CV14" s="40"/>
      <c r="CW14" s="40"/>
      <c r="CX14" s="40"/>
      <c r="CY14" s="40"/>
      <c r="CZ14" s="40"/>
      <c r="DA14" s="40"/>
      <c r="DB14" s="40"/>
      <c r="DC14" s="40"/>
      <c r="DD14" s="40"/>
      <c r="DE14" s="40"/>
      <c r="DF14" s="40"/>
      <c r="DG14" s="40"/>
      <c r="DH14" s="40"/>
      <c r="DI14" s="40"/>
      <c r="DJ14" s="40"/>
      <c r="DK14" s="40"/>
      <c r="DL14" s="40"/>
      <c r="DM14" s="40"/>
      <c r="DN14" s="40"/>
      <c r="DO14" s="40"/>
      <c r="DP14" s="40"/>
      <c r="DQ14" s="40"/>
      <c r="DR14" s="40"/>
      <c r="DS14" s="40"/>
      <c r="DT14" s="40"/>
      <c r="DU14" s="40"/>
      <c r="DV14" s="40"/>
      <c r="DW14" s="40"/>
      <c r="DX14" s="40"/>
      <c r="DY14" s="40"/>
      <c r="DZ14" s="40"/>
      <c r="EA14" s="40"/>
      <c r="EB14" s="40"/>
      <c r="EC14" s="40"/>
      <c r="ED14" s="40"/>
      <c r="EE14" s="40"/>
      <c r="EF14" s="40"/>
      <c r="EG14" s="40"/>
      <c r="EH14" s="40"/>
      <c r="EI14" s="40"/>
      <c r="EJ14" s="40"/>
      <c r="EK14" s="40"/>
      <c r="EL14" s="40"/>
      <c r="EM14" s="40"/>
      <c r="EN14" s="40"/>
      <c r="EO14" s="40"/>
      <c r="EP14" s="40"/>
      <c r="EQ14" s="40"/>
      <c r="ER14" s="40"/>
      <c r="ES14" s="40"/>
      <c r="ET14" s="40"/>
      <c r="EU14" s="40"/>
      <c r="EV14" s="40"/>
      <c r="EW14" s="40"/>
      <c r="EX14" s="40"/>
      <c r="EY14" s="40"/>
      <c r="EZ14" s="40"/>
      <c r="FA14" s="40"/>
      <c r="FB14" s="40"/>
      <c r="FC14" s="40"/>
      <c r="FD14" s="40"/>
      <c r="FE14" s="40"/>
      <c r="FF14" s="40"/>
      <c r="FG14" s="40"/>
      <c r="FH14" s="40"/>
      <c r="FI14" s="40"/>
      <c r="FJ14" s="40"/>
      <c r="FK14" s="40"/>
      <c r="FL14" s="40"/>
      <c r="FM14" s="40"/>
      <c r="FN14" s="40"/>
      <c r="FO14" s="40"/>
      <c r="FP14" s="40"/>
      <c r="FQ14" s="40"/>
      <c r="FR14" s="40"/>
      <c r="FS14" s="40"/>
      <c r="FT14" s="40"/>
      <c r="FU14" s="40"/>
      <c r="FV14" s="40"/>
      <c r="FW14" s="40"/>
      <c r="FX14" s="40"/>
      <c r="FY14" s="40"/>
      <c r="FZ14" s="40"/>
      <c r="GA14" s="40"/>
      <c r="GB14" s="40"/>
      <c r="GC14" s="40"/>
      <c r="GD14" s="40"/>
      <c r="GE14" s="40"/>
      <c r="GF14" s="40"/>
      <c r="GG14" s="40"/>
      <c r="GH14" s="40"/>
      <c r="GI14" s="40"/>
      <c r="GJ14" s="40"/>
      <c r="GK14" s="40"/>
      <c r="GL14" s="40"/>
      <c r="GM14" s="40"/>
      <c r="GN14" s="40"/>
      <c r="GO14" s="40"/>
      <c r="GP14" s="40"/>
      <c r="GQ14" s="40"/>
      <c r="GR14" s="40"/>
      <c r="GS14" s="40"/>
      <c r="GT14" s="40"/>
      <c r="GU14" s="40"/>
      <c r="GV14" s="40"/>
      <c r="GW14" s="40"/>
      <c r="GX14" s="40"/>
      <c r="GY14" s="40"/>
      <c r="GZ14" s="40"/>
      <c r="HA14" s="40"/>
      <c r="HB14" s="40"/>
      <c r="HC14" s="40"/>
      <c r="HD14" s="40"/>
      <c r="HE14" s="40"/>
      <c r="HF14" s="40"/>
      <c r="HG14" s="40"/>
      <c r="HH14" s="40"/>
      <c r="HI14" s="40"/>
      <c r="HJ14" s="40"/>
      <c r="HK14" s="40"/>
      <c r="HL14" s="40"/>
      <c r="HM14" s="40"/>
      <c r="HN14" s="40"/>
      <c r="HO14" s="40"/>
      <c r="HP14" s="40"/>
      <c r="HQ14" s="40"/>
      <c r="HR14" s="40"/>
      <c r="HS14" s="40"/>
      <c r="HT14" s="40"/>
      <c r="HU14" s="40"/>
      <c r="HV14" s="40"/>
      <c r="HW14" s="40"/>
      <c r="HX14" s="40"/>
      <c r="HY14" s="40"/>
      <c r="HZ14" s="40"/>
      <c r="IA14" s="40"/>
      <c r="IB14" s="40"/>
      <c r="IC14" s="40"/>
      <c r="ID14" s="40"/>
      <c r="IE14" s="40"/>
      <c r="IF14" s="40"/>
      <c r="IG14" s="40"/>
      <c r="IH14" s="40"/>
      <c r="II14" s="40"/>
      <c r="IJ14" s="40"/>
      <c r="IK14" s="40"/>
      <c r="IL14" s="40"/>
      <c r="IM14" s="40"/>
      <c r="IN14" s="40"/>
      <c r="IO14" s="40"/>
      <c r="IP14" s="40"/>
      <c r="IQ14" s="40"/>
      <c r="IR14" s="40"/>
      <c r="IS14" s="40"/>
      <c r="IT14" s="40"/>
      <c r="IU14" s="40"/>
      <c r="IV14" s="40"/>
      <c r="IW14" s="40"/>
      <c r="IX14" s="40"/>
      <c r="IY14" s="40"/>
      <c r="IZ14" s="40"/>
      <c r="JA14" s="40"/>
      <c r="JB14" s="40"/>
      <c r="JC14" s="40"/>
      <c r="JD14" s="40"/>
      <c r="JE14" s="40"/>
      <c r="JF14" s="40"/>
      <c r="JG14" s="40"/>
      <c r="JH14" s="40"/>
      <c r="JI14" s="40"/>
      <c r="JJ14" s="40"/>
      <c r="JK14" s="40"/>
      <c r="JL14" s="40"/>
      <c r="JM14" s="40"/>
      <c r="JN14" s="40"/>
      <c r="JO14" s="40"/>
      <c r="JP14" s="40"/>
      <c r="JQ14" s="40"/>
      <c r="JR14" s="40"/>
      <c r="JS14" s="40"/>
      <c r="JT14" s="40"/>
      <c r="JU14" s="40"/>
      <c r="JV14" s="40"/>
      <c r="JW14" s="40"/>
      <c r="JX14" s="40"/>
      <c r="JY14" s="40"/>
      <c r="JZ14" s="40"/>
      <c r="KA14" s="40"/>
      <c r="KB14" s="40"/>
      <c r="KC14" s="40"/>
      <c r="KD14" s="40"/>
      <c r="KE14" s="40"/>
      <c r="KF14" s="40"/>
      <c r="KG14" s="40"/>
      <c r="KH14" s="40"/>
      <c r="KI14" s="40"/>
      <c r="KJ14" s="40"/>
      <c r="KK14" s="40"/>
      <c r="KL14" s="40"/>
      <c r="KM14" s="40"/>
      <c r="KN14" s="40"/>
      <c r="KO14" s="40"/>
      <c r="KP14" s="40"/>
      <c r="KQ14" s="40"/>
      <c r="KR14" s="40"/>
      <c r="KS14" s="40"/>
      <c r="KT14" s="40"/>
      <c r="KU14" s="40"/>
      <c r="KV14" s="40"/>
      <c r="KW14" s="40"/>
      <c r="KX14" s="40"/>
      <c r="KY14" s="40"/>
      <c r="KZ14" s="40"/>
      <c r="LA14" s="40"/>
      <c r="LB14" s="40"/>
      <c r="LC14" s="40"/>
      <c r="LD14" s="40"/>
      <c r="LE14" s="40"/>
      <c r="LF14" s="40"/>
      <c r="LG14" s="40"/>
      <c r="LH14" s="40"/>
      <c r="LI14" s="40"/>
      <c r="LJ14" s="40"/>
      <c r="LK14" s="40"/>
      <c r="LL14" s="40"/>
      <c r="LM14" s="40"/>
      <c r="LN14" s="40"/>
      <c r="LO14" s="40"/>
      <c r="LP14" s="40"/>
      <c r="LQ14" s="40"/>
      <c r="LR14" s="40"/>
      <c r="LS14" s="40"/>
      <c r="LT14" s="40"/>
      <c r="LU14" s="40"/>
      <c r="LV14" s="40"/>
      <c r="LW14" s="40"/>
      <c r="LX14" s="40"/>
      <c r="LY14" s="40"/>
      <c r="LZ14" s="40"/>
      <c r="MA14" s="40"/>
      <c r="MB14" s="40"/>
      <c r="MC14" s="40"/>
      <c r="MD14" s="40"/>
      <c r="ME14" s="40"/>
      <c r="MF14" s="40"/>
      <c r="MG14" s="40"/>
      <c r="MH14" s="40"/>
      <c r="MI14" s="40"/>
      <c r="MJ14" s="40"/>
      <c r="MK14" s="40"/>
      <c r="ML14" s="40"/>
      <c r="MM14" s="40"/>
      <c r="MN14" s="40"/>
      <c r="MO14" s="40"/>
      <c r="MP14" s="40"/>
      <c r="MQ14" s="40"/>
      <c r="MR14" s="40"/>
      <c r="MS14" s="40"/>
      <c r="MT14" s="40"/>
      <c r="MU14" s="40"/>
      <c r="MV14" s="40"/>
      <c r="MW14" s="40"/>
      <c r="MX14" s="40"/>
      <c r="MY14" s="40"/>
      <c r="MZ14" s="40"/>
      <c r="NA14" s="40"/>
      <c r="NB14" s="40"/>
      <c r="NC14" s="40"/>
      <c r="ND14" s="40"/>
      <c r="NE14" s="40"/>
      <c r="NF14" s="40"/>
      <c r="NG14" s="40"/>
      <c r="NH14" s="40"/>
      <c r="NI14" s="40"/>
      <c r="NJ14" s="40"/>
      <c r="NK14" s="40"/>
      <c r="NL14" s="40"/>
      <c r="NM14" s="40"/>
      <c r="NN14" s="40"/>
      <c r="NO14" s="40"/>
      <c r="NP14" s="40"/>
      <c r="NQ14" s="40"/>
      <c r="NR14" s="40"/>
      <c r="NS14" s="40"/>
      <c r="NT14" s="40"/>
      <c r="NU14" s="40"/>
      <c r="NV14" s="40"/>
      <c r="NW14" s="40"/>
      <c r="NX14" s="40"/>
      <c r="NY14" s="40"/>
      <c r="NZ14" s="40"/>
      <c r="OA14" s="40"/>
      <c r="OB14" s="40"/>
      <c r="OC14" s="40"/>
      <c r="OD14" s="40"/>
      <c r="OE14" s="40"/>
      <c r="OF14" s="40"/>
      <c r="OG14" s="40"/>
      <c r="OH14" s="40"/>
      <c r="OI14" s="40"/>
      <c r="OJ14" s="40"/>
      <c r="OK14" s="40"/>
      <c r="OL14" s="40"/>
      <c r="OM14" s="40"/>
      <c r="ON14" s="40"/>
      <c r="OO14" s="40"/>
      <c r="OP14" s="40"/>
      <c r="OQ14" s="40"/>
      <c r="OR14" s="40"/>
      <c r="OS14" s="40"/>
      <c r="OT14" s="40"/>
      <c r="OU14" s="40"/>
      <c r="OV14" s="40"/>
      <c r="OW14" s="40"/>
      <c r="OX14" s="40"/>
      <c r="OY14" s="40"/>
      <c r="OZ14" s="40"/>
      <c r="PA14" s="40"/>
      <c r="PB14" s="40"/>
      <c r="PC14" s="40"/>
      <c r="PD14" s="40"/>
      <c r="PE14" s="40"/>
      <c r="PF14" s="40"/>
      <c r="PG14" s="40"/>
      <c r="PH14" s="40"/>
      <c r="PI14" s="40"/>
      <c r="PJ14" s="40"/>
      <c r="PK14" s="40"/>
      <c r="PL14" s="40"/>
      <c r="PM14" s="40"/>
      <c r="PN14" s="40"/>
      <c r="PO14" s="40"/>
      <c r="PP14" s="40"/>
      <c r="PQ14" s="40"/>
      <c r="PR14" s="40"/>
      <c r="PS14" s="40"/>
      <c r="PT14" s="40"/>
      <c r="PU14" s="40"/>
      <c r="PV14" s="40"/>
      <c r="PW14" s="40"/>
      <c r="PX14" s="40"/>
      <c r="PY14" s="40"/>
      <c r="PZ14" s="40"/>
      <c r="QA14" s="40"/>
      <c r="QB14" s="40"/>
      <c r="QC14" s="40"/>
      <c r="QD14" s="40"/>
      <c r="QE14" s="40"/>
      <c r="QF14" s="40"/>
      <c r="QG14" s="40"/>
      <c r="QH14" s="40"/>
      <c r="QI14" s="40"/>
      <c r="QJ14" s="40"/>
      <c r="QK14" s="40"/>
      <c r="QL14" s="40"/>
      <c r="QM14" s="40"/>
      <c r="QN14" s="40"/>
      <c r="QO14" s="40"/>
      <c r="QP14" s="40"/>
      <c r="QQ14" s="40"/>
      <c r="QR14" s="40"/>
      <c r="QS14" s="40"/>
      <c r="QT14" s="40"/>
      <c r="QU14" s="40"/>
      <c r="QV14" s="40"/>
      <c r="QW14" s="40"/>
      <c r="QX14" s="40"/>
      <c r="QY14" s="40"/>
      <c r="QZ14" s="40"/>
      <c r="RA14" s="40"/>
      <c r="RB14" s="40"/>
      <c r="RC14" s="40"/>
      <c r="RD14" s="40"/>
      <c r="RE14" s="40"/>
      <c r="RF14" s="40"/>
      <c r="RG14" s="40"/>
      <c r="RH14" s="40"/>
      <c r="RI14" s="40"/>
      <c r="RJ14" s="40"/>
      <c r="RK14" s="40"/>
      <c r="RL14" s="40"/>
      <c r="RM14" s="40"/>
      <c r="RN14" s="40"/>
      <c r="RO14" s="40"/>
      <c r="RP14" s="40"/>
      <c r="RQ14" s="40"/>
      <c r="RR14" s="40"/>
      <c r="RS14" s="40"/>
      <c r="RT14" s="40"/>
      <c r="RU14" s="40"/>
      <c r="RV14" s="40"/>
      <c r="RW14" s="40"/>
      <c r="RX14" s="40"/>
      <c r="RY14" s="40"/>
      <c r="RZ14" s="40"/>
      <c r="SA14" s="40"/>
      <c r="SB14" s="40"/>
      <c r="SC14" s="40"/>
      <c r="SD14" s="40"/>
      <c r="SE14" s="40"/>
      <c r="SF14" s="40"/>
      <c r="SG14" s="40"/>
      <c r="SH14" s="40"/>
      <c r="SI14" s="40"/>
      <c r="SJ14" s="40"/>
      <c r="SK14" s="40"/>
      <c r="SL14" s="40"/>
      <c r="SM14" s="40"/>
      <c r="SN14" s="40"/>
      <c r="SO14" s="40"/>
      <c r="SP14" s="40"/>
      <c r="SQ14" s="40"/>
      <c r="SR14" s="40"/>
      <c r="SS14" s="40"/>
      <c r="ST14" s="40"/>
      <c r="SU14" s="40"/>
      <c r="SV14" s="40"/>
      <c r="SW14" s="40"/>
      <c r="SX14" s="40"/>
      <c r="SY14" s="40"/>
      <c r="SZ14" s="40"/>
      <c r="TA14" s="40"/>
      <c r="TB14" s="40"/>
      <c r="TC14" s="40"/>
      <c r="TD14" s="40"/>
      <c r="TE14" s="40"/>
      <c r="TF14" s="40"/>
      <c r="TG14" s="40"/>
      <c r="TH14" s="40"/>
      <c r="TI14" s="40"/>
      <c r="TJ14" s="40"/>
      <c r="TK14" s="40"/>
      <c r="TL14" s="40"/>
      <c r="TM14" s="40"/>
      <c r="TN14" s="40"/>
      <c r="TO14" s="40"/>
      <c r="TP14" s="40"/>
      <c r="TQ14" s="40"/>
      <c r="TR14" s="40"/>
      <c r="TS14" s="40"/>
      <c r="TT14" s="40"/>
      <c r="TU14" s="40"/>
      <c r="TV14" s="40"/>
      <c r="TW14" s="40"/>
      <c r="TX14" s="40"/>
      <c r="TY14" s="40"/>
      <c r="TZ14" s="40"/>
      <c r="UA14" s="40"/>
      <c r="UB14" s="40"/>
      <c r="UC14" s="40"/>
      <c r="UD14" s="40"/>
      <c r="UE14" s="40"/>
      <c r="UF14" s="40"/>
      <c r="UG14" s="40"/>
      <c r="UH14" s="40"/>
      <c r="UI14" s="40"/>
      <c r="UJ14" s="40"/>
      <c r="UK14" s="40"/>
      <c r="UL14" s="40"/>
      <c r="UM14" s="40"/>
      <c r="UN14" s="40"/>
      <c r="UO14" s="40"/>
      <c r="UP14" s="40"/>
      <c r="UQ14" s="40"/>
      <c r="UR14" s="40"/>
      <c r="US14" s="40"/>
      <c r="UT14" s="40"/>
      <c r="UU14" s="40"/>
      <c r="UV14" s="40"/>
      <c r="UW14" s="40"/>
      <c r="UX14" s="40"/>
      <c r="UY14" s="40"/>
      <c r="UZ14" s="40"/>
      <c r="VA14" s="40"/>
      <c r="VB14" s="40"/>
      <c r="VC14" s="40"/>
      <c r="VD14" s="40"/>
      <c r="VE14" s="40"/>
      <c r="VF14" s="40"/>
      <c r="VG14" s="40"/>
      <c r="VH14" s="40"/>
      <c r="VI14" s="40"/>
      <c r="VJ14" s="40"/>
      <c r="VK14" s="40"/>
      <c r="VL14" s="40"/>
      <c r="VM14" s="40"/>
      <c r="VN14" s="40"/>
      <c r="VO14" s="40"/>
      <c r="VP14" s="40"/>
      <c r="VQ14" s="40"/>
      <c r="VR14" s="40"/>
      <c r="VS14" s="40"/>
      <c r="VT14" s="40"/>
      <c r="VU14" s="40"/>
      <c r="VV14" s="40"/>
      <c r="VW14" s="40"/>
      <c r="VX14" s="40"/>
      <c r="VY14" s="40"/>
      <c r="VZ14" s="40"/>
      <c r="WA14" s="40"/>
      <c r="WB14" s="40"/>
      <c r="WC14" s="40"/>
      <c r="WD14" s="40"/>
      <c r="WE14" s="40"/>
      <c r="WF14" s="40"/>
      <c r="WG14" s="40"/>
      <c r="WH14" s="40"/>
      <c r="WI14" s="40"/>
      <c r="WJ14" s="40"/>
      <c r="WK14" s="40"/>
      <c r="WL14" s="40"/>
      <c r="WM14" s="40"/>
      <c r="WN14" s="40"/>
      <c r="WO14" s="40"/>
      <c r="WP14" s="40"/>
      <c r="WQ14" s="40"/>
      <c r="WR14" s="40"/>
      <c r="WS14" s="40"/>
      <c r="WT14" s="40"/>
      <c r="WU14" s="40"/>
      <c r="WV14" s="40"/>
      <c r="WW14" s="40"/>
      <c r="WX14" s="40"/>
      <c r="WY14" s="40"/>
      <c r="WZ14" s="40"/>
      <c r="XA14" s="40"/>
      <c r="XB14" s="40"/>
      <c r="XC14" s="40"/>
      <c r="XD14" s="40"/>
      <c r="XE14" s="40"/>
      <c r="XF14" s="40"/>
      <c r="XG14" s="40"/>
      <c r="XH14" s="40"/>
      <c r="XI14" s="40"/>
      <c r="XJ14" s="40"/>
      <c r="XK14" s="40"/>
      <c r="XL14" s="40"/>
      <c r="XM14" s="40"/>
      <c r="XN14" s="40"/>
      <c r="XO14" s="40"/>
      <c r="XP14" s="40"/>
      <c r="XQ14" s="40"/>
      <c r="XR14" s="40"/>
      <c r="XS14" s="40"/>
      <c r="XT14" s="40"/>
      <c r="XU14" s="40"/>
      <c r="XV14" s="40"/>
      <c r="XW14" s="40"/>
      <c r="XX14" s="40"/>
      <c r="XY14" s="40"/>
      <c r="XZ14" s="40"/>
      <c r="YA14" s="40"/>
      <c r="YB14" s="40"/>
      <c r="YC14" s="40"/>
      <c r="YD14" s="40"/>
      <c r="YE14" s="40"/>
      <c r="YF14" s="40"/>
      <c r="YG14" s="40"/>
      <c r="YH14" s="40"/>
      <c r="YI14" s="40"/>
      <c r="YJ14" s="40"/>
      <c r="YK14" s="40"/>
      <c r="YL14" s="40"/>
      <c r="YM14" s="40"/>
      <c r="YN14" s="40"/>
      <c r="YO14" s="40"/>
      <c r="YP14" s="40"/>
      <c r="YQ14" s="40"/>
      <c r="YR14" s="40"/>
      <c r="YS14" s="40"/>
      <c r="YT14" s="40"/>
      <c r="YU14" s="40"/>
      <c r="YV14" s="40"/>
      <c r="YW14" s="40"/>
      <c r="YX14" s="40"/>
      <c r="YY14" s="40"/>
      <c r="YZ14" s="40"/>
      <c r="ZA14" s="40"/>
      <c r="ZB14" s="40"/>
      <c r="ZC14" s="40"/>
      <c r="ZD14" s="40"/>
      <c r="ZE14" s="40"/>
      <c r="ZF14" s="40"/>
      <c r="ZG14" s="40"/>
      <c r="ZH14" s="40"/>
      <c r="ZI14" s="40"/>
      <c r="ZJ14" s="40"/>
      <c r="ZK14" s="40"/>
      <c r="ZL14" s="40"/>
      <c r="ZM14" s="40"/>
      <c r="ZN14" s="40"/>
      <c r="ZO14" s="40"/>
      <c r="ZP14" s="40"/>
      <c r="ZQ14" s="40"/>
      <c r="ZR14" s="40"/>
      <c r="ZS14" s="40"/>
      <c r="ZT14" s="40"/>
      <c r="ZU14" s="40"/>
      <c r="ZV14" s="40"/>
      <c r="ZW14" s="40"/>
      <c r="ZX14" s="40"/>
      <c r="ZY14" s="40"/>
      <c r="ZZ14" s="40"/>
      <c r="AAA14" s="40"/>
      <c r="AAB14" s="40"/>
      <c r="AAC14" s="40"/>
      <c r="AAD14" s="40"/>
      <c r="AAE14" s="40"/>
      <c r="AAF14" s="40"/>
      <c r="AAG14" s="40"/>
      <c r="AAH14" s="40"/>
      <c r="AAI14" s="40"/>
      <c r="AAJ14" s="40"/>
      <c r="AAK14" s="40"/>
      <c r="AAL14" s="40"/>
      <c r="AAM14" s="40"/>
      <c r="AAN14" s="40"/>
      <c r="AAO14" s="40"/>
      <c r="AAP14" s="40"/>
      <c r="AAQ14" s="40"/>
      <c r="AAR14" s="40"/>
      <c r="AAS14" s="40"/>
      <c r="AAT14" s="40"/>
      <c r="AAU14" s="40"/>
      <c r="AAV14" s="40"/>
      <c r="AAW14" s="40"/>
      <c r="AAX14" s="40"/>
      <c r="AAY14" s="40"/>
      <c r="AAZ14" s="40"/>
      <c r="ABA14" s="40"/>
      <c r="ABB14" s="40"/>
      <c r="ABC14" s="40"/>
      <c r="ABD14" s="40"/>
      <c r="ABE14" s="40"/>
      <c r="ABF14" s="40"/>
      <c r="ABG14" s="40"/>
      <c r="ABH14" s="40"/>
      <c r="ABI14" s="40"/>
      <c r="ABJ14" s="40"/>
      <c r="ABK14" s="40"/>
      <c r="ABL14" s="40"/>
      <c r="ABM14" s="40"/>
      <c r="ABN14" s="40"/>
      <c r="ABO14" s="40"/>
      <c r="ABP14" s="40"/>
      <c r="ABQ14" s="40"/>
      <c r="ABR14" s="40"/>
      <c r="ABS14" s="40"/>
      <c r="ABT14" s="40"/>
      <c r="ABU14" s="40"/>
      <c r="ABV14" s="40"/>
      <c r="ABW14" s="40"/>
      <c r="ABX14" s="40"/>
      <c r="ABY14" s="40"/>
      <c r="ABZ14" s="40"/>
      <c r="ACA14" s="40"/>
      <c r="ACB14" s="40"/>
      <c r="ACC14" s="40"/>
      <c r="ACD14" s="40"/>
      <c r="ACE14" s="40"/>
      <c r="ACF14" s="40"/>
      <c r="ACG14" s="40"/>
      <c r="ACH14" s="40"/>
      <c r="ACI14" s="40"/>
      <c r="ACJ14" s="40"/>
      <c r="ACK14" s="40"/>
      <c r="ACL14" s="40"/>
      <c r="ACM14" s="40"/>
      <c r="ACN14" s="40"/>
      <c r="ACO14" s="40"/>
      <c r="ACP14" s="40"/>
      <c r="ACQ14" s="40"/>
      <c r="ACR14" s="40"/>
      <c r="ACS14" s="40"/>
      <c r="ACT14" s="40"/>
      <c r="ACU14" s="40"/>
      <c r="ACV14" s="40"/>
      <c r="ACW14" s="40"/>
      <c r="ACX14" s="40"/>
      <c r="ACY14" s="40"/>
      <c r="ACZ14" s="40"/>
      <c r="ADA14" s="40"/>
      <c r="ADB14" s="40"/>
      <c r="ADC14" s="40"/>
      <c r="ADD14" s="40"/>
      <c r="ADE14" s="40"/>
      <c r="ADF14" s="40"/>
      <c r="ADG14" s="40"/>
      <c r="ADH14" s="40"/>
      <c r="ADI14" s="40"/>
      <c r="ADJ14" s="40"/>
      <c r="ADK14" s="40"/>
      <c r="ADL14" s="40"/>
      <c r="ADM14" s="40"/>
      <c r="ADN14" s="40"/>
      <c r="ADO14" s="40"/>
      <c r="ADP14" s="40"/>
      <c r="ADQ14" s="40"/>
      <c r="ADR14" s="40"/>
      <c r="ADS14" s="40"/>
      <c r="ADT14" s="40"/>
      <c r="ADU14" s="40"/>
      <c r="ADV14" s="40"/>
      <c r="ADW14" s="40"/>
      <c r="ADX14" s="40"/>
      <c r="ADY14" s="40"/>
      <c r="ADZ14" s="40"/>
      <c r="AEA14" s="40"/>
      <c r="AEB14" s="40"/>
      <c r="AEC14" s="40"/>
      <c r="AED14" s="40"/>
      <c r="AEE14" s="40"/>
      <c r="AEF14" s="40"/>
      <c r="AEG14" s="40"/>
      <c r="AEH14" s="40"/>
      <c r="AEI14" s="40"/>
      <c r="AEJ14" s="40"/>
      <c r="AEK14" s="40"/>
      <c r="AEL14" s="40"/>
      <c r="AEM14" s="40"/>
      <c r="AEN14" s="40"/>
      <c r="AEO14" s="40"/>
      <c r="AEP14" s="40"/>
      <c r="AEQ14" s="40"/>
      <c r="AER14" s="40"/>
      <c r="AES14" s="40"/>
      <c r="AET14" s="40"/>
      <c r="AEU14" s="40"/>
      <c r="AEV14" s="40"/>
      <c r="AEW14" s="40"/>
      <c r="AEX14" s="40"/>
      <c r="AEY14" s="40"/>
      <c r="AEZ14" s="40"/>
      <c r="AFA14" s="40"/>
      <c r="AFB14" s="40"/>
      <c r="AFC14" s="40"/>
      <c r="AFD14" s="40"/>
      <c r="AFE14" s="40"/>
      <c r="AFF14" s="40"/>
      <c r="AFG14" s="40"/>
      <c r="AFH14" s="40"/>
      <c r="AFI14" s="40"/>
      <c r="AFJ14" s="40"/>
      <c r="AFK14" s="40"/>
      <c r="AFL14" s="40"/>
      <c r="AFM14" s="40"/>
      <c r="AFN14" s="40"/>
      <c r="AFO14" s="40"/>
      <c r="AFP14" s="40"/>
      <c r="AFQ14" s="40"/>
      <c r="AFR14" s="40"/>
      <c r="AFS14" s="40"/>
      <c r="AFT14" s="40"/>
      <c r="AFU14" s="40"/>
      <c r="AFV14" s="40"/>
      <c r="AFW14" s="40"/>
      <c r="AFX14" s="40"/>
      <c r="AFY14" s="40"/>
      <c r="AFZ14" s="40"/>
      <c r="AGA14" s="40"/>
      <c r="AGB14" s="40"/>
      <c r="AGC14" s="40"/>
      <c r="AGD14" s="40"/>
      <c r="AGE14" s="40"/>
      <c r="AGF14" s="40"/>
      <c r="AGG14" s="40"/>
      <c r="AGH14" s="40"/>
      <c r="AGI14" s="40"/>
      <c r="AGJ14" s="40"/>
      <c r="AGK14" s="40"/>
      <c r="AGL14" s="40"/>
      <c r="AGM14" s="40"/>
      <c r="AGN14" s="40"/>
      <c r="AGO14" s="40"/>
      <c r="AGP14" s="40"/>
      <c r="AGQ14" s="40"/>
      <c r="AGR14" s="40"/>
      <c r="AGS14" s="40"/>
      <c r="AGT14" s="40"/>
      <c r="AGU14" s="40"/>
      <c r="AGV14" s="40"/>
      <c r="AGW14" s="40"/>
      <c r="AGX14" s="40"/>
      <c r="AGY14" s="40"/>
      <c r="AGZ14" s="40"/>
      <c r="AHA14" s="40"/>
      <c r="AHB14" s="40"/>
      <c r="AHC14" s="40"/>
      <c r="AHD14" s="40"/>
      <c r="AHE14" s="40"/>
      <c r="AHF14" s="40"/>
      <c r="AHG14" s="40"/>
      <c r="AHH14" s="40"/>
      <c r="AHI14" s="40"/>
      <c r="AHJ14" s="40"/>
      <c r="AHK14" s="40"/>
      <c r="AHL14" s="40"/>
      <c r="AHM14" s="40"/>
      <c r="AHN14" s="40"/>
      <c r="AHO14" s="40"/>
      <c r="AHP14" s="40"/>
      <c r="AHQ14" s="40"/>
      <c r="AHR14" s="40"/>
      <c r="AHS14" s="40"/>
      <c r="AHT14" s="40"/>
      <c r="AHU14" s="40"/>
      <c r="AHV14" s="40"/>
      <c r="AHW14" s="40"/>
      <c r="AHX14" s="40"/>
      <c r="AHY14" s="40"/>
      <c r="AHZ14" s="40"/>
      <c r="AIA14" s="40"/>
      <c r="AIB14" s="40"/>
      <c r="AIC14" s="40"/>
      <c r="AID14" s="40"/>
      <c r="AIE14" s="40"/>
      <c r="AIF14" s="40"/>
      <c r="AIG14" s="40"/>
      <c r="AIH14" s="40"/>
      <c r="AII14" s="40"/>
      <c r="AIJ14" s="40"/>
      <c r="AIK14" s="40"/>
      <c r="AIL14" s="40"/>
      <c r="AIM14" s="40"/>
      <c r="AIN14" s="40"/>
      <c r="AIO14" s="40"/>
      <c r="AIP14" s="40"/>
      <c r="AIQ14" s="40"/>
      <c r="AIR14" s="40"/>
      <c r="AIS14" s="40"/>
      <c r="AIT14" s="40"/>
      <c r="AIU14" s="40"/>
      <c r="AIV14" s="40"/>
      <c r="AIW14" s="40"/>
      <c r="AIX14" s="40"/>
      <c r="AIY14" s="40"/>
      <c r="AIZ14" s="40"/>
      <c r="AJA14" s="40"/>
      <c r="AJB14" s="40"/>
      <c r="AJC14" s="40"/>
      <c r="AJD14" s="40"/>
      <c r="AJE14" s="40"/>
      <c r="AJF14" s="40"/>
      <c r="AJG14" s="40"/>
      <c r="AJH14" s="40"/>
      <c r="AJI14" s="40"/>
      <c r="AJJ14" s="40"/>
      <c r="AJK14" s="40"/>
      <c r="AJL14" s="40"/>
      <c r="AJM14" s="40"/>
      <c r="AJN14" s="40"/>
      <c r="AJO14" s="40"/>
      <c r="AJP14" s="40"/>
      <c r="AJQ14" s="40"/>
      <c r="AJR14" s="40"/>
      <c r="AJS14" s="40"/>
      <c r="AJT14" s="40"/>
      <c r="AJU14" s="40"/>
      <c r="AJV14" s="40"/>
      <c r="AJW14" s="40"/>
      <c r="AJX14" s="40"/>
      <c r="AJY14" s="40"/>
      <c r="AJZ14" s="40"/>
      <c r="AKA14" s="40"/>
      <c r="AKB14" s="40"/>
      <c r="AKC14" s="40"/>
      <c r="AKD14" s="40"/>
      <c r="AKE14" s="40"/>
      <c r="AKF14" s="40"/>
      <c r="AKG14" s="40"/>
      <c r="AKH14" s="40"/>
      <c r="AKI14" s="40"/>
      <c r="AKJ14" s="40"/>
      <c r="AKK14" s="40"/>
      <c r="AKL14" s="40"/>
      <c r="AKM14" s="40"/>
      <c r="AKN14" s="40"/>
      <c r="AKO14" s="40"/>
      <c r="AKP14" s="40"/>
      <c r="AKQ14" s="40"/>
      <c r="AKR14" s="40"/>
      <c r="AKS14" s="40"/>
      <c r="AKT14" s="40"/>
      <c r="AKU14" s="40"/>
      <c r="AKV14" s="40"/>
      <c r="AKW14" s="40"/>
      <c r="AKX14" s="40"/>
      <c r="AKY14" s="40"/>
      <c r="AKZ14" s="40"/>
      <c r="ALA14" s="40"/>
      <c r="ALB14" s="40"/>
      <c r="ALC14" s="40"/>
      <c r="ALD14" s="40"/>
      <c r="ALE14" s="40"/>
      <c r="ALF14" s="40"/>
      <c r="ALG14" s="40"/>
      <c r="ALH14" s="40"/>
      <c r="ALI14" s="40"/>
      <c r="ALJ14" s="40"/>
      <c r="ALK14" s="40"/>
      <c r="ALL14" s="40"/>
      <c r="ALM14" s="40"/>
      <c r="ALN14" s="40"/>
      <c r="ALO14" s="40"/>
      <c r="ALP14" s="40"/>
      <c r="ALQ14" s="40"/>
      <c r="ALR14" s="40"/>
      <c r="ALS14" s="40"/>
      <c r="ALT14" s="40"/>
      <c r="ALU14" s="40"/>
      <c r="ALV14" s="40"/>
      <c r="ALW14" s="40"/>
      <c r="ALX14" s="40"/>
      <c r="ALY14" s="40"/>
      <c r="ALZ14" s="40"/>
      <c r="AMA14" s="40"/>
      <c r="AMB14" s="40"/>
      <c r="AMC14" s="40"/>
      <c r="AMD14" s="40"/>
      <c r="AME14" s="40"/>
      <c r="AMF14" s="40"/>
      <c r="AMG14" s="40"/>
      <c r="AMH14" s="40"/>
      <c r="AMI14" s="40"/>
      <c r="AMJ14" s="40"/>
      <c r="AMK14" s="40"/>
    </row>
    <row r="15" spans="1:1025" ht="15.75" customHeight="1" x14ac:dyDescent="0.25">
      <c r="A15" s="14" t="s">
        <v>70</v>
      </c>
      <c r="B15" s="35" t="s">
        <v>1127</v>
      </c>
      <c r="C15" s="35" t="s">
        <v>818</v>
      </c>
      <c r="D15" s="17" t="s">
        <v>1128</v>
      </c>
      <c r="E15" s="90" t="s">
        <v>71</v>
      </c>
      <c r="F15" s="19"/>
      <c r="G15" s="20" t="s">
        <v>72</v>
      </c>
      <c r="H15" s="29" t="s">
        <v>71</v>
      </c>
      <c r="I15" s="30" t="s">
        <v>1129</v>
      </c>
      <c r="J15" s="30" t="s">
        <v>1130</v>
      </c>
      <c r="K15" s="25"/>
      <c r="L15" s="25"/>
      <c r="M15" s="25"/>
      <c r="N15" s="25"/>
      <c r="O15" s="25"/>
      <c r="P15" s="25"/>
      <c r="Q15" s="25"/>
      <c r="R15" s="25"/>
      <c r="S15" s="25"/>
      <c r="T15" s="25"/>
      <c r="U15" s="25"/>
      <c r="V15" s="25"/>
      <c r="W15" s="25"/>
      <c r="X15" s="25"/>
      <c r="Y15" s="25"/>
      <c r="Z15" s="25"/>
      <c r="AA15" s="25"/>
      <c r="AB15" s="25"/>
      <c r="AC15" s="25"/>
      <c r="AD15" s="25"/>
      <c r="AE15" s="25"/>
      <c r="AF15" s="25" t="s">
        <v>73</v>
      </c>
      <c r="AG15" s="25"/>
      <c r="AH15" s="25"/>
      <c r="AI15" s="41" t="s">
        <v>74</v>
      </c>
      <c r="AJ15" s="25"/>
    </row>
    <row r="16" spans="1:1025" ht="15.75" customHeight="1" x14ac:dyDescent="0.25">
      <c r="A16" s="14" t="s">
        <v>75</v>
      </c>
      <c r="B16" s="28"/>
      <c r="C16" s="28"/>
      <c r="D16" s="17"/>
      <c r="E16" s="90" t="s">
        <v>77</v>
      </c>
      <c r="F16" s="19"/>
      <c r="G16" s="20" t="s">
        <v>76</v>
      </c>
      <c r="H16" s="32" t="s">
        <v>77</v>
      </c>
      <c r="I16" s="25"/>
      <c r="J16" s="30">
        <v>5124</v>
      </c>
      <c r="K16" s="25"/>
      <c r="L16" s="25"/>
      <c r="M16" s="25"/>
      <c r="N16" s="25"/>
      <c r="O16" s="25"/>
      <c r="P16" s="25"/>
      <c r="Q16" s="25"/>
      <c r="R16" s="25"/>
      <c r="S16" s="25"/>
      <c r="T16" s="25"/>
      <c r="U16" s="25"/>
      <c r="V16" s="25"/>
      <c r="W16" s="25"/>
      <c r="X16" s="25"/>
      <c r="Y16" s="25"/>
      <c r="Z16" s="25"/>
      <c r="AA16" s="25"/>
      <c r="AB16" s="25"/>
      <c r="AC16" s="25"/>
      <c r="AD16" s="25"/>
      <c r="AE16" s="25"/>
      <c r="AF16" s="25"/>
      <c r="AG16" s="25"/>
      <c r="AH16" s="25"/>
      <c r="AI16" s="41" t="s">
        <v>1131</v>
      </c>
      <c r="AJ16" s="41" t="s">
        <v>1132</v>
      </c>
    </row>
    <row r="17" spans="1:36" ht="15.75" customHeight="1" x14ac:dyDescent="0.25">
      <c r="A17" s="14" t="s">
        <v>78</v>
      </c>
      <c r="B17" s="28" t="s">
        <v>1051</v>
      </c>
      <c r="C17" s="28" t="s">
        <v>818</v>
      </c>
      <c r="D17" s="17"/>
      <c r="E17" s="90" t="s">
        <v>1133</v>
      </c>
      <c r="F17" s="19"/>
      <c r="G17" s="20" t="s">
        <v>79</v>
      </c>
      <c r="H17" s="32" t="s">
        <v>80</v>
      </c>
      <c r="I17" s="25" t="s">
        <v>1134</v>
      </c>
      <c r="J17" s="30" t="s">
        <v>463</v>
      </c>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row>
    <row r="18" spans="1:36" ht="15.75" customHeight="1" x14ac:dyDescent="0.25">
      <c r="A18" s="14" t="s">
        <v>81</v>
      </c>
      <c r="B18" s="42" t="s">
        <v>1122</v>
      </c>
      <c r="C18" s="28" t="s">
        <v>1135</v>
      </c>
      <c r="D18" s="17"/>
      <c r="E18" s="90" t="s">
        <v>14</v>
      </c>
      <c r="F18" s="19"/>
      <c r="G18" s="20" t="s">
        <v>82</v>
      </c>
      <c r="H18" s="32" t="s">
        <v>83</v>
      </c>
      <c r="I18" s="25"/>
      <c r="J18" s="30" t="s">
        <v>1136</v>
      </c>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41" t="s">
        <v>1137</v>
      </c>
      <c r="AJ18" s="25"/>
    </row>
    <row r="19" spans="1:36" ht="15.75" customHeight="1" x14ac:dyDescent="0.25">
      <c r="A19" s="14" t="s">
        <v>84</v>
      </c>
      <c r="B19" s="42" t="s">
        <v>1122</v>
      </c>
      <c r="C19" s="28" t="s">
        <v>1138</v>
      </c>
      <c r="D19" s="17"/>
      <c r="E19" s="90" t="s">
        <v>86</v>
      </c>
      <c r="F19" s="19">
        <v>1007096041001</v>
      </c>
      <c r="G19" s="20" t="s">
        <v>85</v>
      </c>
      <c r="H19" s="32" t="s">
        <v>86</v>
      </c>
      <c r="I19" s="25" t="s">
        <v>1139</v>
      </c>
      <c r="J19" s="30" t="s">
        <v>1139</v>
      </c>
      <c r="K19" s="25"/>
      <c r="L19" s="25"/>
      <c r="M19" s="25"/>
      <c r="N19" s="25"/>
      <c r="O19" s="25"/>
      <c r="P19" s="25"/>
      <c r="Q19" s="25"/>
      <c r="R19" s="25"/>
      <c r="S19" s="25"/>
      <c r="T19" s="25"/>
      <c r="U19" s="25"/>
      <c r="V19" s="25"/>
      <c r="W19" s="25"/>
      <c r="X19" s="25"/>
      <c r="Y19" s="25"/>
      <c r="Z19" s="25"/>
      <c r="AA19" s="25"/>
      <c r="AB19" s="25"/>
      <c r="AC19" s="25"/>
      <c r="AD19" s="25"/>
      <c r="AE19" s="25"/>
      <c r="AF19" s="25"/>
      <c r="AG19" s="25"/>
      <c r="AH19" s="25"/>
      <c r="AI19" s="25"/>
      <c r="AJ19" s="25"/>
    </row>
    <row r="20" spans="1:36" ht="15.75" customHeight="1" x14ac:dyDescent="0.25">
      <c r="A20" s="14" t="s">
        <v>87</v>
      </c>
      <c r="B20" s="42" t="s">
        <v>1122</v>
      </c>
      <c r="C20" s="28" t="s">
        <v>1138</v>
      </c>
      <c r="D20" s="17" t="s">
        <v>8</v>
      </c>
      <c r="E20" s="90" t="s">
        <v>86</v>
      </c>
      <c r="F20" s="19"/>
      <c r="G20" s="20" t="s">
        <v>88</v>
      </c>
      <c r="H20" s="32" t="s">
        <v>86</v>
      </c>
      <c r="I20" s="25" t="s">
        <v>1139</v>
      </c>
      <c r="J20" s="30"/>
      <c r="K20" s="25"/>
      <c r="L20" s="25"/>
      <c r="M20" s="25"/>
      <c r="N20" s="25"/>
      <c r="O20" s="25"/>
      <c r="P20" s="25"/>
      <c r="Q20" s="25"/>
      <c r="R20" s="25"/>
      <c r="S20" s="25"/>
      <c r="T20" s="25"/>
      <c r="U20" s="25"/>
      <c r="V20" s="25"/>
      <c r="W20" s="25"/>
      <c r="X20" s="25"/>
      <c r="Y20" s="25"/>
      <c r="Z20" s="25"/>
      <c r="AA20" s="25"/>
      <c r="AB20" s="25"/>
      <c r="AC20" s="25"/>
      <c r="AD20" s="25"/>
      <c r="AE20" s="25"/>
      <c r="AF20" s="25"/>
      <c r="AG20" s="25"/>
      <c r="AH20" s="25"/>
      <c r="AI20" s="25"/>
      <c r="AJ20" s="25"/>
    </row>
    <row r="21" spans="1:36" ht="15.75" customHeight="1" x14ac:dyDescent="0.25">
      <c r="A21" s="14" t="s">
        <v>89</v>
      </c>
      <c r="B21" s="28" t="s">
        <v>1140</v>
      </c>
      <c r="C21" s="28" t="s">
        <v>1141</v>
      </c>
      <c r="D21" s="17" t="s">
        <v>1142</v>
      </c>
      <c r="E21" s="90" t="s">
        <v>91</v>
      </c>
      <c r="F21" s="19"/>
      <c r="G21" s="20" t="s">
        <v>90</v>
      </c>
      <c r="H21" s="32" t="s">
        <v>91</v>
      </c>
      <c r="I21" s="25"/>
      <c r="J21" s="30" t="s">
        <v>1140</v>
      </c>
      <c r="K21" s="25"/>
      <c r="L21" s="25"/>
      <c r="M21" s="25"/>
      <c r="N21" s="25"/>
      <c r="O21" s="25"/>
      <c r="P21" s="25"/>
      <c r="Q21" s="25"/>
      <c r="R21" s="25"/>
      <c r="S21" s="25"/>
      <c r="T21" s="25"/>
      <c r="U21" s="25"/>
      <c r="V21" s="25"/>
      <c r="W21" s="25"/>
      <c r="X21" s="25"/>
      <c r="Y21" s="25"/>
      <c r="Z21" s="25"/>
      <c r="AA21" s="25"/>
      <c r="AB21" s="25"/>
      <c r="AC21" s="25"/>
      <c r="AD21" s="25"/>
      <c r="AE21" s="25"/>
      <c r="AF21" s="25"/>
      <c r="AG21" s="25"/>
      <c r="AH21" s="25"/>
      <c r="AI21" s="25"/>
      <c r="AJ21" s="25"/>
    </row>
    <row r="22" spans="1:36" ht="15.75" customHeight="1" x14ac:dyDescent="0.25">
      <c r="A22" s="14" t="s">
        <v>92</v>
      </c>
      <c r="B22" s="43" t="s">
        <v>1143</v>
      </c>
      <c r="C22" s="28">
        <v>406324</v>
      </c>
      <c r="D22" s="17"/>
      <c r="E22" s="90" t="s">
        <v>94</v>
      </c>
      <c r="F22" s="19"/>
      <c r="G22" s="20" t="s">
        <v>93</v>
      </c>
      <c r="H22" s="32" t="s">
        <v>94</v>
      </c>
      <c r="I22" s="25"/>
      <c r="J22" s="30" t="s">
        <v>1143</v>
      </c>
      <c r="K22" s="25"/>
      <c r="L22" s="25"/>
      <c r="M22" s="25"/>
      <c r="N22" s="25"/>
      <c r="O22" s="25"/>
      <c r="P22" s="25"/>
      <c r="Q22" s="25"/>
      <c r="R22" s="25"/>
      <c r="S22" s="25"/>
      <c r="T22" s="25"/>
      <c r="U22" s="25"/>
      <c r="V22" s="25"/>
      <c r="W22" s="25"/>
      <c r="X22" s="25"/>
      <c r="Y22" s="25"/>
      <c r="Z22" s="25"/>
      <c r="AA22" s="25"/>
      <c r="AB22" s="25"/>
      <c r="AC22" s="25"/>
      <c r="AD22" s="25"/>
      <c r="AE22" s="25"/>
      <c r="AF22" s="25"/>
      <c r="AG22" s="25"/>
      <c r="AH22" s="25"/>
      <c r="AI22" s="41" t="s">
        <v>1144</v>
      </c>
      <c r="AJ22" s="25"/>
    </row>
    <row r="23" spans="1:36" ht="15.75" customHeight="1" x14ac:dyDescent="0.25">
      <c r="A23" s="14" t="s">
        <v>95</v>
      </c>
      <c r="B23" s="43" t="s">
        <v>1144</v>
      </c>
      <c r="C23" s="28" t="s">
        <v>1145</v>
      </c>
      <c r="D23" s="17"/>
      <c r="E23" s="90" t="s">
        <v>94</v>
      </c>
      <c r="F23" s="19"/>
      <c r="G23" s="20" t="s">
        <v>96</v>
      </c>
      <c r="H23" s="32" t="s">
        <v>94</v>
      </c>
      <c r="I23" s="25"/>
      <c r="J23" s="30"/>
      <c r="K23" s="25"/>
      <c r="L23" s="25"/>
      <c r="M23" s="25"/>
      <c r="N23" s="25"/>
      <c r="O23" s="25"/>
      <c r="P23" s="25"/>
      <c r="Q23" s="25"/>
      <c r="R23" s="25"/>
      <c r="S23" s="25"/>
      <c r="T23" s="25"/>
      <c r="U23" s="25"/>
      <c r="V23" s="25"/>
      <c r="W23" s="25"/>
      <c r="X23" s="25"/>
      <c r="Y23" s="25"/>
      <c r="Z23" s="25"/>
      <c r="AA23" s="25"/>
      <c r="AB23" s="25"/>
      <c r="AC23" s="25"/>
      <c r="AD23" s="25"/>
      <c r="AE23" s="25"/>
      <c r="AF23" s="25"/>
      <c r="AG23" s="25"/>
      <c r="AH23" s="25"/>
      <c r="AI23" s="25"/>
      <c r="AJ23" s="25"/>
    </row>
    <row r="24" spans="1:36" ht="15.75" customHeight="1" x14ac:dyDescent="0.25">
      <c r="A24" s="14" t="s">
        <v>97</v>
      </c>
      <c r="B24" s="28" t="s">
        <v>1053</v>
      </c>
      <c r="C24" s="28" t="s">
        <v>1146</v>
      </c>
      <c r="D24" s="17"/>
      <c r="E24" s="90" t="s">
        <v>99</v>
      </c>
      <c r="F24" s="105" t="s">
        <v>1147</v>
      </c>
      <c r="G24" s="20" t="s">
        <v>98</v>
      </c>
      <c r="H24" s="32" t="s">
        <v>99</v>
      </c>
      <c r="I24" s="25">
        <v>60344</v>
      </c>
      <c r="J24" s="30" t="s">
        <v>1148</v>
      </c>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5"/>
    </row>
    <row r="25" spans="1:36" ht="15.75" customHeight="1" x14ac:dyDescent="0.25">
      <c r="A25" s="14" t="s">
        <v>100</v>
      </c>
      <c r="B25" s="28" t="s">
        <v>1053</v>
      </c>
      <c r="C25" s="28" t="s">
        <v>1146</v>
      </c>
      <c r="D25" s="17"/>
      <c r="E25" s="90" t="s">
        <v>911</v>
      </c>
      <c r="F25" s="105" t="s">
        <v>1149</v>
      </c>
      <c r="G25" s="20" t="s">
        <v>101</v>
      </c>
      <c r="H25" s="32" t="s">
        <v>102</v>
      </c>
      <c r="I25" s="25" t="s">
        <v>1150</v>
      </c>
      <c r="J25" s="30" t="s">
        <v>1151</v>
      </c>
      <c r="K25" s="25"/>
      <c r="L25" s="25" t="s">
        <v>1152</v>
      </c>
      <c r="M25" s="25"/>
      <c r="N25" s="25"/>
      <c r="O25" s="25"/>
      <c r="P25" s="25"/>
      <c r="Q25" s="25"/>
      <c r="R25" s="25"/>
      <c r="S25" s="25"/>
      <c r="T25" s="25"/>
      <c r="U25" s="25"/>
      <c r="V25" s="25"/>
      <c r="W25" s="25"/>
      <c r="X25" s="25"/>
      <c r="Y25" s="25"/>
      <c r="Z25" s="25"/>
      <c r="AA25" s="25"/>
      <c r="AB25" s="25"/>
      <c r="AC25" s="25"/>
      <c r="AD25" s="25"/>
      <c r="AE25" s="25"/>
      <c r="AF25" s="25"/>
      <c r="AG25" s="25"/>
      <c r="AH25" s="25"/>
      <c r="AI25" s="25"/>
      <c r="AJ25" s="25"/>
    </row>
    <row r="26" spans="1:36" ht="15.75" customHeight="1" x14ac:dyDescent="0.25">
      <c r="A26" s="14" t="s">
        <v>103</v>
      </c>
      <c r="B26" s="28" t="s">
        <v>1053</v>
      </c>
      <c r="C26" s="28" t="s">
        <v>1146</v>
      </c>
      <c r="D26" s="17" t="s">
        <v>1054</v>
      </c>
      <c r="E26" s="90" t="s">
        <v>1052</v>
      </c>
      <c r="F26" s="105" t="s">
        <v>1153</v>
      </c>
      <c r="G26" s="20" t="s">
        <v>104</v>
      </c>
      <c r="H26" s="32" t="s">
        <v>105</v>
      </c>
      <c r="I26" s="25" t="s">
        <v>1150</v>
      </c>
      <c r="J26" s="30" t="s">
        <v>1151</v>
      </c>
      <c r="K26" s="25"/>
      <c r="L26" s="25"/>
      <c r="M26" s="25"/>
      <c r="N26" s="25"/>
      <c r="O26" s="25"/>
      <c r="P26" s="25"/>
      <c r="Q26" s="25"/>
      <c r="R26" s="25"/>
      <c r="S26" s="25"/>
      <c r="T26" s="25"/>
      <c r="U26" s="25"/>
      <c r="V26" s="25"/>
      <c r="W26" s="25"/>
      <c r="X26" s="25"/>
      <c r="Y26" s="25"/>
      <c r="Z26" s="25"/>
      <c r="AA26" s="25"/>
      <c r="AB26" s="25"/>
      <c r="AC26" s="25"/>
      <c r="AD26" s="25"/>
      <c r="AE26" s="25"/>
      <c r="AF26" s="25"/>
      <c r="AG26" s="25"/>
      <c r="AH26" s="25"/>
      <c r="AI26" s="25"/>
      <c r="AJ26" s="25"/>
    </row>
    <row r="27" spans="1:36" ht="15.75" customHeight="1" x14ac:dyDescent="0.25">
      <c r="A27" s="14" t="s">
        <v>106</v>
      </c>
      <c r="B27" s="28">
        <v>89299</v>
      </c>
      <c r="C27" s="28" t="s">
        <v>1154</v>
      </c>
      <c r="D27" s="17"/>
      <c r="E27" s="90" t="s">
        <v>10</v>
      </c>
      <c r="F27" s="19"/>
      <c r="G27" s="20" t="s">
        <v>107</v>
      </c>
      <c r="H27" s="32" t="s">
        <v>10</v>
      </c>
      <c r="I27" s="25"/>
      <c r="J27" s="30" t="s">
        <v>1155</v>
      </c>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41" t="s">
        <v>1099</v>
      </c>
      <c r="AJ27" s="25"/>
    </row>
    <row r="28" spans="1:36" ht="15.75" customHeight="1" x14ac:dyDescent="0.25">
      <c r="A28" s="14" t="s">
        <v>108</v>
      </c>
      <c r="B28" s="28">
        <v>4187038</v>
      </c>
      <c r="C28" s="28" t="s">
        <v>1065</v>
      </c>
      <c r="D28" s="17"/>
      <c r="E28" s="90" t="s">
        <v>1156</v>
      </c>
      <c r="F28" s="19"/>
      <c r="G28" s="20" t="s">
        <v>109</v>
      </c>
      <c r="H28" s="32" t="s">
        <v>110</v>
      </c>
      <c r="I28" s="25"/>
      <c r="J28" s="30" t="s">
        <v>1157</v>
      </c>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41" t="s">
        <v>1158</v>
      </c>
      <c r="AJ28" s="25"/>
    </row>
    <row r="29" spans="1:36" ht="15.75" customHeight="1" x14ac:dyDescent="0.25">
      <c r="A29" s="14" t="s">
        <v>111</v>
      </c>
      <c r="B29" s="28" t="s">
        <v>1122</v>
      </c>
      <c r="C29" s="28" t="s">
        <v>851</v>
      </c>
      <c r="D29" s="17"/>
      <c r="E29" s="90" t="s">
        <v>113</v>
      </c>
      <c r="F29" s="19"/>
      <c r="G29" s="20" t="s">
        <v>112</v>
      </c>
      <c r="H29" s="32" t="s">
        <v>113</v>
      </c>
      <c r="I29" s="25" t="s">
        <v>1159</v>
      </c>
      <c r="J29" s="30" t="s">
        <v>1159</v>
      </c>
      <c r="K29" s="25"/>
      <c r="L29" s="25" t="s">
        <v>1160</v>
      </c>
      <c r="M29" s="25"/>
      <c r="N29" s="25"/>
      <c r="O29" s="25"/>
      <c r="P29" s="25"/>
      <c r="Q29" s="25"/>
      <c r="R29" s="25"/>
      <c r="S29" s="25"/>
      <c r="T29" s="25" t="s">
        <v>1161</v>
      </c>
      <c r="U29" s="25"/>
      <c r="V29" s="25"/>
      <c r="W29" s="25"/>
      <c r="X29" s="25"/>
      <c r="Y29" s="25"/>
      <c r="Z29" s="25"/>
      <c r="AA29" s="25"/>
      <c r="AB29" s="25"/>
      <c r="AC29" s="25"/>
      <c r="AD29" s="25"/>
      <c r="AE29" s="25"/>
      <c r="AF29" s="25"/>
      <c r="AG29" s="25"/>
      <c r="AH29" s="25"/>
      <c r="AI29" s="41" t="s">
        <v>1162</v>
      </c>
      <c r="AJ29" s="25"/>
    </row>
    <row r="30" spans="1:36" ht="15.75" customHeight="1" x14ac:dyDescent="0.25">
      <c r="A30" s="14" t="s">
        <v>114</v>
      </c>
      <c r="B30" s="28"/>
      <c r="C30" s="28"/>
      <c r="D30" s="17"/>
      <c r="E30" s="90" t="s">
        <v>116</v>
      </c>
      <c r="F30" s="19"/>
      <c r="G30" s="20" t="s">
        <v>115</v>
      </c>
      <c r="H30" s="32" t="s">
        <v>116</v>
      </c>
      <c r="I30" s="25"/>
      <c r="J30" s="30"/>
      <c r="K30" s="25"/>
      <c r="L30" s="25"/>
      <c r="M30" s="25"/>
      <c r="N30" s="25"/>
      <c r="O30" s="25"/>
      <c r="P30" s="25" t="s">
        <v>1163</v>
      </c>
      <c r="Q30" s="25" t="s">
        <v>1164</v>
      </c>
      <c r="R30" s="25"/>
      <c r="S30" s="25"/>
      <c r="T30" s="25"/>
      <c r="U30" s="25"/>
      <c r="V30" s="25"/>
      <c r="W30" s="25"/>
      <c r="X30" s="25"/>
      <c r="Y30" s="25"/>
      <c r="Z30" s="25"/>
      <c r="AA30" s="25"/>
      <c r="AB30" s="25"/>
      <c r="AC30" s="25"/>
      <c r="AD30" s="25"/>
      <c r="AE30" s="25"/>
      <c r="AF30" s="25"/>
      <c r="AG30" s="25"/>
      <c r="AH30" s="25"/>
      <c r="AI30" s="25"/>
      <c r="AJ30" s="25"/>
    </row>
    <row r="31" spans="1:36" ht="15.75" customHeight="1" x14ac:dyDescent="0.25">
      <c r="A31" s="14" t="s">
        <v>117</v>
      </c>
      <c r="B31" s="28"/>
      <c r="C31" s="28"/>
      <c r="D31" s="17"/>
      <c r="E31" s="90" t="s">
        <v>119</v>
      </c>
      <c r="F31" s="19"/>
      <c r="G31" s="20" t="s">
        <v>118</v>
      </c>
      <c r="H31" s="32" t="s">
        <v>119</v>
      </c>
      <c r="I31" s="106" t="s">
        <v>1165</v>
      </c>
      <c r="J31" s="30" t="s">
        <v>1166</v>
      </c>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row>
    <row r="32" spans="1:36" ht="15.75" customHeight="1" x14ac:dyDescent="0.25">
      <c r="A32" s="14" t="s">
        <v>1167</v>
      </c>
      <c r="B32" s="28"/>
      <c r="C32" s="28"/>
      <c r="D32" s="17"/>
      <c r="E32" s="90" t="s">
        <v>1168</v>
      </c>
      <c r="F32" s="19"/>
      <c r="G32" s="20" t="s">
        <v>1169</v>
      </c>
      <c r="H32" s="32" t="s">
        <v>1168</v>
      </c>
      <c r="I32" s="25"/>
      <c r="J32" s="30" t="s">
        <v>1170</v>
      </c>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row>
    <row r="33" spans="1:1025" ht="15.75" customHeight="1" x14ac:dyDescent="0.25">
      <c r="A33" s="14" t="s">
        <v>121</v>
      </c>
      <c r="B33" s="28" t="s">
        <v>1171</v>
      </c>
      <c r="C33" s="28" t="s">
        <v>1172</v>
      </c>
      <c r="D33" s="17"/>
      <c r="E33" s="90" t="s">
        <v>123</v>
      </c>
      <c r="F33" s="19"/>
      <c r="G33" s="20" t="s">
        <v>122</v>
      </c>
      <c r="H33" s="32" t="s">
        <v>123</v>
      </c>
      <c r="I33" s="107" t="s">
        <v>1173</v>
      </c>
      <c r="J33" s="30" t="s">
        <v>1174</v>
      </c>
      <c r="K33" s="25"/>
      <c r="L33" s="25"/>
      <c r="M33" s="25"/>
      <c r="N33" s="25"/>
      <c r="O33" s="25" t="s">
        <v>1175</v>
      </c>
      <c r="P33" s="25" t="s">
        <v>1176</v>
      </c>
      <c r="Q33" s="25" t="s">
        <v>1177</v>
      </c>
      <c r="R33" s="25" t="s">
        <v>1178</v>
      </c>
      <c r="S33" s="25"/>
      <c r="T33" s="25"/>
      <c r="U33" s="25"/>
      <c r="V33" s="25" t="s">
        <v>1179</v>
      </c>
      <c r="W33" s="25" t="s">
        <v>1180</v>
      </c>
      <c r="X33" s="25"/>
      <c r="Y33" s="25" t="s">
        <v>1181</v>
      </c>
      <c r="Z33" s="25" t="s">
        <v>1182</v>
      </c>
      <c r="AA33" s="25" t="s">
        <v>1183</v>
      </c>
      <c r="AB33" s="25" t="s">
        <v>1184</v>
      </c>
      <c r="AC33" s="25"/>
      <c r="AD33" s="25"/>
      <c r="AE33" s="25"/>
      <c r="AF33" s="25"/>
      <c r="AG33" s="25"/>
      <c r="AH33" s="25"/>
      <c r="AI33" s="41" t="s">
        <v>1185</v>
      </c>
      <c r="AJ33" s="25"/>
    </row>
    <row r="34" spans="1:1025" s="108" customFormat="1" ht="15.75" customHeight="1" x14ac:dyDescent="0.2">
      <c r="A34" s="14" t="s">
        <v>1186</v>
      </c>
      <c r="B34" s="28"/>
      <c r="C34" s="28"/>
      <c r="D34" s="17"/>
      <c r="E34" s="90" t="s">
        <v>1187</v>
      </c>
      <c r="F34" s="19"/>
      <c r="G34" s="20" t="s">
        <v>1188</v>
      </c>
      <c r="H34" s="32" t="s">
        <v>1187</v>
      </c>
      <c r="I34" s="25"/>
      <c r="J34" s="36" t="s">
        <v>1189</v>
      </c>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
      <c r="IQ34" s="1"/>
      <c r="IR34" s="1"/>
      <c r="IS34" s="1"/>
      <c r="IT34" s="1"/>
      <c r="IU34" s="1"/>
      <c r="IV34" s="1"/>
      <c r="IW34" s="1"/>
      <c r="IX34" s="1"/>
      <c r="IY34" s="1"/>
      <c r="IZ34" s="1"/>
      <c r="JA34" s="1"/>
      <c r="JB34" s="1"/>
      <c r="JC34" s="1"/>
      <c r="JD34" s="1"/>
      <c r="JE34" s="1"/>
      <c r="JF34" s="1"/>
      <c r="JG34" s="1"/>
      <c r="JH34" s="1"/>
      <c r="JI34" s="1"/>
      <c r="JJ34" s="1"/>
      <c r="JK34" s="1"/>
      <c r="JL34" s="1"/>
      <c r="JM34" s="1"/>
      <c r="JN34" s="1"/>
      <c r="JO34" s="1"/>
      <c r="JP34" s="1"/>
      <c r="JQ34" s="1"/>
      <c r="JR34" s="1"/>
      <c r="JS34" s="1"/>
      <c r="JT34" s="1"/>
      <c r="JU34" s="1"/>
      <c r="JV34" s="1"/>
      <c r="JW34" s="1"/>
      <c r="JX34" s="1"/>
      <c r="JY34" s="1"/>
      <c r="JZ34" s="1"/>
      <c r="KA34" s="1"/>
      <c r="KB34" s="1"/>
      <c r="KC34" s="1"/>
      <c r="KD34" s="1"/>
      <c r="KE34" s="1"/>
      <c r="KF34" s="1"/>
      <c r="KG34" s="1"/>
      <c r="KH34" s="1"/>
      <c r="KI34" s="1"/>
      <c r="KJ34" s="1"/>
      <c r="KK34" s="1"/>
      <c r="KL34" s="1"/>
      <c r="KM34" s="1"/>
      <c r="KN34" s="1"/>
      <c r="KO34" s="1"/>
      <c r="KP34" s="1"/>
      <c r="KQ34" s="1"/>
      <c r="KR34" s="1"/>
      <c r="KS34" s="1"/>
      <c r="KT34" s="1"/>
      <c r="KU34" s="1"/>
      <c r="KV34" s="1"/>
      <c r="KW34" s="1"/>
      <c r="KX34" s="1"/>
      <c r="KY34" s="1"/>
      <c r="KZ34" s="1"/>
      <c r="LA34" s="1"/>
      <c r="LB34" s="1"/>
      <c r="LC34" s="1"/>
      <c r="LD34" s="1"/>
      <c r="LE34" s="1"/>
      <c r="LF34" s="1"/>
      <c r="LG34" s="1"/>
      <c r="LH34" s="1"/>
      <c r="LI34" s="1"/>
      <c r="LJ34" s="1"/>
      <c r="LK34" s="1"/>
      <c r="LL34" s="1"/>
      <c r="LM34" s="1"/>
      <c r="LN34" s="1"/>
      <c r="LO34" s="1"/>
      <c r="LP34" s="1"/>
      <c r="LQ34" s="1"/>
      <c r="LR34" s="1"/>
      <c r="LS34" s="1"/>
      <c r="LT34" s="1"/>
      <c r="LU34" s="1"/>
      <c r="LV34" s="1"/>
      <c r="LW34" s="1"/>
      <c r="LX34" s="1"/>
      <c r="LY34" s="1"/>
      <c r="LZ34" s="1"/>
      <c r="MA34" s="1"/>
      <c r="MB34" s="1"/>
      <c r="MC34" s="1"/>
      <c r="MD34" s="1"/>
      <c r="ME34" s="1"/>
      <c r="MF34" s="1"/>
      <c r="MG34" s="1"/>
      <c r="MH34" s="1"/>
      <c r="MI34" s="1"/>
      <c r="MJ34" s="1"/>
      <c r="MK34" s="1"/>
      <c r="ML34" s="1"/>
      <c r="MM34" s="1"/>
      <c r="MN34" s="1"/>
      <c r="MO34" s="1"/>
      <c r="MP34" s="1"/>
      <c r="MQ34" s="1"/>
      <c r="MR34" s="1"/>
      <c r="MS34" s="1"/>
      <c r="MT34" s="1"/>
      <c r="MU34" s="1"/>
      <c r="MV34" s="1"/>
      <c r="MW34" s="1"/>
      <c r="MX34" s="1"/>
      <c r="MY34" s="1"/>
      <c r="MZ34" s="1"/>
      <c r="NA34" s="1"/>
      <c r="NB34" s="1"/>
      <c r="NC34" s="1"/>
      <c r="ND34" s="1"/>
      <c r="NE34" s="1"/>
      <c r="NF34" s="1"/>
      <c r="NG34" s="1"/>
      <c r="NH34" s="1"/>
      <c r="NI34" s="1"/>
      <c r="NJ34" s="1"/>
      <c r="NK34" s="1"/>
      <c r="NL34" s="1"/>
      <c r="NM34" s="1"/>
      <c r="NN34" s="1"/>
      <c r="NO34" s="1"/>
      <c r="NP34" s="1"/>
      <c r="NQ34" s="1"/>
      <c r="NR34" s="1"/>
      <c r="NS34" s="1"/>
      <c r="NT34" s="1"/>
      <c r="NU34" s="1"/>
      <c r="NV34" s="1"/>
      <c r="NW34" s="1"/>
      <c r="NX34" s="1"/>
      <c r="NY34" s="1"/>
      <c r="NZ34" s="1"/>
      <c r="OA34" s="1"/>
      <c r="OB34" s="1"/>
      <c r="OC34" s="1"/>
      <c r="OD34" s="1"/>
      <c r="OE34" s="1"/>
      <c r="OF34" s="1"/>
      <c r="OG34" s="1"/>
      <c r="OH34" s="1"/>
      <c r="OI34" s="1"/>
      <c r="OJ34" s="1"/>
      <c r="OK34" s="1"/>
      <c r="OL34" s="1"/>
      <c r="OM34" s="1"/>
      <c r="ON34" s="1"/>
      <c r="OO34" s="1"/>
      <c r="OP34" s="1"/>
      <c r="OQ34" s="1"/>
      <c r="OR34" s="1"/>
      <c r="OS34" s="1"/>
      <c r="OT34" s="1"/>
      <c r="OU34" s="1"/>
      <c r="OV34" s="1"/>
      <c r="OW34" s="1"/>
      <c r="OX34" s="1"/>
      <c r="OY34" s="1"/>
      <c r="OZ34" s="1"/>
      <c r="PA34" s="1"/>
      <c r="PB34" s="1"/>
      <c r="PC34" s="1"/>
      <c r="PD34" s="1"/>
      <c r="PE34" s="1"/>
      <c r="PF34" s="1"/>
      <c r="PG34" s="1"/>
      <c r="PH34" s="1"/>
      <c r="PI34" s="1"/>
      <c r="PJ34" s="1"/>
      <c r="PK34" s="1"/>
      <c r="PL34" s="1"/>
      <c r="PM34" s="1"/>
      <c r="PN34" s="1"/>
      <c r="PO34" s="1"/>
      <c r="PP34" s="1"/>
      <c r="PQ34" s="1"/>
      <c r="PR34" s="1"/>
      <c r="PS34" s="1"/>
      <c r="PT34" s="1"/>
      <c r="PU34" s="1"/>
      <c r="PV34" s="1"/>
      <c r="PW34" s="1"/>
      <c r="PX34" s="1"/>
      <c r="PY34" s="1"/>
      <c r="PZ34" s="1"/>
      <c r="QA34" s="1"/>
      <c r="QB34" s="1"/>
      <c r="QC34" s="1"/>
      <c r="QD34" s="1"/>
      <c r="QE34" s="1"/>
      <c r="QF34" s="1"/>
      <c r="QG34" s="1"/>
      <c r="QH34" s="1"/>
      <c r="QI34" s="1"/>
      <c r="QJ34" s="1"/>
      <c r="QK34" s="1"/>
      <c r="QL34" s="1"/>
      <c r="QM34" s="1"/>
      <c r="QN34" s="1"/>
      <c r="QO34" s="1"/>
      <c r="QP34" s="1"/>
      <c r="QQ34" s="1"/>
      <c r="QR34" s="1"/>
      <c r="QS34" s="1"/>
      <c r="QT34" s="1"/>
      <c r="QU34" s="1"/>
      <c r="QV34" s="1"/>
      <c r="QW34" s="1"/>
      <c r="QX34" s="1"/>
      <c r="QY34" s="1"/>
      <c r="QZ34" s="1"/>
      <c r="RA34" s="1"/>
      <c r="RB34" s="1"/>
      <c r="RC34" s="1"/>
      <c r="RD34" s="1"/>
      <c r="RE34" s="1"/>
      <c r="RF34" s="1"/>
      <c r="RG34" s="1"/>
      <c r="RH34" s="1"/>
      <c r="RI34" s="1"/>
      <c r="RJ34" s="1"/>
      <c r="RK34" s="1"/>
      <c r="RL34" s="1"/>
      <c r="RM34" s="1"/>
      <c r="RN34" s="1"/>
      <c r="RO34" s="1"/>
      <c r="RP34" s="1"/>
      <c r="RQ34" s="1"/>
      <c r="RR34" s="1"/>
      <c r="RS34" s="1"/>
      <c r="RT34" s="1"/>
      <c r="RU34" s="1"/>
      <c r="RV34" s="1"/>
      <c r="RW34" s="1"/>
      <c r="RX34" s="1"/>
      <c r="RY34" s="1"/>
      <c r="RZ34" s="1"/>
      <c r="SA34" s="1"/>
      <c r="SB34" s="1"/>
      <c r="SC34" s="1"/>
      <c r="SD34" s="1"/>
      <c r="SE34" s="1"/>
      <c r="SF34" s="1"/>
      <c r="SG34" s="1"/>
      <c r="SH34" s="1"/>
      <c r="SI34" s="1"/>
      <c r="SJ34" s="1"/>
      <c r="SK34" s="1"/>
      <c r="SL34" s="1"/>
      <c r="SM34" s="1"/>
      <c r="SN34" s="1"/>
      <c r="SO34" s="1"/>
      <c r="SP34" s="1"/>
      <c r="SQ34" s="1"/>
      <c r="SR34" s="1"/>
      <c r="SS34" s="1"/>
      <c r="ST34" s="1"/>
      <c r="SU34" s="1"/>
      <c r="SV34" s="1"/>
      <c r="SW34" s="1"/>
      <c r="SX34" s="1"/>
      <c r="SY34" s="1"/>
      <c r="SZ34" s="1"/>
      <c r="TA34" s="1"/>
      <c r="TB34" s="1"/>
      <c r="TC34" s="1"/>
      <c r="TD34" s="1"/>
      <c r="TE34" s="1"/>
      <c r="TF34" s="1"/>
      <c r="TG34" s="1"/>
      <c r="TH34" s="1"/>
      <c r="TI34" s="1"/>
      <c r="TJ34" s="1"/>
      <c r="TK34" s="1"/>
      <c r="TL34" s="1"/>
      <c r="TM34" s="1"/>
      <c r="TN34" s="1"/>
      <c r="TO34" s="1"/>
      <c r="TP34" s="1"/>
      <c r="TQ34" s="1"/>
      <c r="TR34" s="1"/>
      <c r="TS34" s="1"/>
      <c r="TT34" s="1"/>
      <c r="TU34" s="1"/>
      <c r="TV34" s="1"/>
      <c r="TW34" s="1"/>
      <c r="TX34" s="1"/>
      <c r="TY34" s="1"/>
      <c r="TZ34" s="1"/>
      <c r="UA34" s="1"/>
      <c r="UB34" s="1"/>
      <c r="UC34" s="1"/>
      <c r="UD34" s="1"/>
      <c r="UE34" s="1"/>
      <c r="UF34" s="1"/>
      <c r="UG34" s="1"/>
      <c r="UH34" s="1"/>
      <c r="UI34" s="1"/>
      <c r="UJ34" s="1"/>
      <c r="UK34" s="1"/>
      <c r="UL34" s="1"/>
      <c r="UM34" s="1"/>
      <c r="UN34" s="1"/>
      <c r="UO34" s="1"/>
      <c r="UP34" s="1"/>
      <c r="UQ34" s="1"/>
      <c r="UR34" s="1"/>
      <c r="US34" s="1"/>
      <c r="UT34" s="1"/>
      <c r="UU34" s="1"/>
      <c r="UV34" s="1"/>
      <c r="UW34" s="1"/>
      <c r="UX34" s="1"/>
      <c r="UY34" s="1"/>
      <c r="UZ34" s="1"/>
      <c r="VA34" s="1"/>
      <c r="VB34" s="1"/>
      <c r="VC34" s="1"/>
      <c r="VD34" s="1"/>
      <c r="VE34" s="1"/>
      <c r="VF34" s="1"/>
      <c r="VG34" s="1"/>
      <c r="VH34" s="1"/>
      <c r="VI34" s="1"/>
      <c r="VJ34" s="1"/>
      <c r="VK34" s="1"/>
      <c r="VL34" s="1"/>
      <c r="VM34" s="1"/>
      <c r="VN34" s="1"/>
      <c r="VO34" s="1"/>
      <c r="VP34" s="1"/>
      <c r="VQ34" s="1"/>
      <c r="VR34" s="1"/>
      <c r="VS34" s="1"/>
      <c r="VT34" s="1"/>
      <c r="VU34" s="1"/>
      <c r="VV34" s="1"/>
      <c r="VW34" s="1"/>
      <c r="VX34" s="1"/>
      <c r="VY34" s="1"/>
      <c r="VZ34" s="1"/>
      <c r="WA34" s="1"/>
      <c r="WB34" s="1"/>
      <c r="WC34" s="1"/>
      <c r="WD34" s="1"/>
      <c r="WE34" s="1"/>
      <c r="WF34" s="1"/>
      <c r="WG34" s="1"/>
      <c r="WH34" s="1"/>
      <c r="WI34" s="1"/>
      <c r="WJ34" s="1"/>
      <c r="WK34" s="1"/>
      <c r="WL34" s="1"/>
      <c r="WM34" s="1"/>
      <c r="WN34" s="1"/>
      <c r="WO34" s="1"/>
      <c r="WP34" s="1"/>
      <c r="WQ34" s="1"/>
      <c r="WR34" s="1"/>
      <c r="WS34" s="1"/>
      <c r="WT34" s="1"/>
      <c r="WU34" s="1"/>
      <c r="WV34" s="1"/>
      <c r="WW34" s="1"/>
      <c r="WX34" s="1"/>
      <c r="WY34" s="1"/>
      <c r="WZ34" s="1"/>
      <c r="XA34" s="1"/>
      <c r="XB34" s="1"/>
      <c r="XC34" s="1"/>
      <c r="XD34" s="1"/>
      <c r="XE34" s="1"/>
      <c r="XF34" s="1"/>
      <c r="XG34" s="1"/>
      <c r="XH34" s="1"/>
      <c r="XI34" s="1"/>
      <c r="XJ34" s="1"/>
      <c r="XK34" s="1"/>
      <c r="XL34" s="1"/>
      <c r="XM34" s="1"/>
      <c r="XN34" s="1"/>
      <c r="XO34" s="1"/>
      <c r="XP34" s="1"/>
      <c r="XQ34" s="1"/>
      <c r="XR34" s="1"/>
      <c r="XS34" s="1"/>
      <c r="XT34" s="1"/>
      <c r="XU34" s="1"/>
      <c r="XV34" s="1"/>
      <c r="XW34" s="1"/>
      <c r="XX34" s="1"/>
      <c r="XY34" s="1"/>
      <c r="XZ34" s="1"/>
      <c r="YA34" s="1"/>
      <c r="YB34" s="1"/>
      <c r="YC34" s="1"/>
      <c r="YD34" s="1"/>
      <c r="YE34" s="1"/>
      <c r="YF34" s="1"/>
      <c r="YG34" s="1"/>
      <c r="YH34" s="1"/>
      <c r="YI34" s="1"/>
      <c r="YJ34" s="1"/>
      <c r="YK34" s="1"/>
      <c r="YL34" s="1"/>
      <c r="YM34" s="1"/>
      <c r="YN34" s="1"/>
      <c r="YO34" s="1"/>
      <c r="YP34" s="1"/>
      <c r="YQ34" s="1"/>
      <c r="YR34" s="1"/>
      <c r="YS34" s="1"/>
      <c r="YT34" s="1"/>
      <c r="YU34" s="1"/>
      <c r="YV34" s="1"/>
      <c r="YW34" s="1"/>
      <c r="YX34" s="1"/>
      <c r="YY34" s="1"/>
      <c r="YZ34" s="1"/>
      <c r="ZA34" s="1"/>
      <c r="ZB34" s="1"/>
      <c r="ZC34" s="1"/>
      <c r="ZD34" s="1"/>
      <c r="ZE34" s="1"/>
      <c r="ZF34" s="1"/>
      <c r="ZG34" s="1"/>
      <c r="ZH34" s="1"/>
      <c r="ZI34" s="1"/>
      <c r="ZJ34" s="1"/>
      <c r="ZK34" s="1"/>
      <c r="ZL34" s="1"/>
      <c r="ZM34" s="1"/>
      <c r="ZN34" s="1"/>
      <c r="ZO34" s="1"/>
      <c r="ZP34" s="1"/>
      <c r="ZQ34" s="1"/>
      <c r="ZR34" s="1"/>
      <c r="ZS34" s="1"/>
      <c r="ZT34" s="1"/>
      <c r="ZU34" s="1"/>
      <c r="ZV34" s="1"/>
      <c r="ZW34" s="1"/>
      <c r="ZX34" s="1"/>
      <c r="ZY34" s="1"/>
      <c r="ZZ34" s="1"/>
      <c r="AAA34" s="1"/>
      <c r="AAB34" s="1"/>
      <c r="AAC34" s="1"/>
      <c r="AAD34" s="1"/>
      <c r="AAE34" s="1"/>
      <c r="AAF34" s="1"/>
      <c r="AAG34" s="1"/>
      <c r="AAH34" s="1"/>
      <c r="AAI34" s="1"/>
      <c r="AAJ34" s="1"/>
      <c r="AAK34" s="1"/>
      <c r="AAL34" s="1"/>
      <c r="AAM34" s="1"/>
      <c r="AAN34" s="1"/>
      <c r="AAO34" s="1"/>
      <c r="AAP34" s="1"/>
      <c r="AAQ34" s="1"/>
      <c r="AAR34" s="1"/>
      <c r="AAS34" s="1"/>
      <c r="AAT34" s="1"/>
      <c r="AAU34" s="1"/>
      <c r="AAV34" s="1"/>
      <c r="AAW34" s="1"/>
      <c r="AAX34" s="1"/>
      <c r="AAY34" s="1"/>
      <c r="AAZ34" s="1"/>
      <c r="ABA34" s="1"/>
      <c r="ABB34" s="1"/>
      <c r="ABC34" s="1"/>
      <c r="ABD34" s="1"/>
      <c r="ABE34" s="1"/>
      <c r="ABF34" s="1"/>
      <c r="ABG34" s="1"/>
      <c r="ABH34" s="1"/>
      <c r="ABI34" s="1"/>
      <c r="ABJ34" s="1"/>
      <c r="ABK34" s="1"/>
      <c r="ABL34" s="1"/>
      <c r="ABM34" s="1"/>
      <c r="ABN34" s="1"/>
      <c r="ABO34" s="1"/>
      <c r="ABP34" s="1"/>
      <c r="ABQ34" s="1"/>
      <c r="ABR34" s="1"/>
      <c r="ABS34" s="1"/>
      <c r="ABT34" s="1"/>
      <c r="ABU34" s="1"/>
      <c r="ABV34" s="1"/>
      <c r="ABW34" s="1"/>
      <c r="ABX34" s="1"/>
      <c r="ABY34" s="1"/>
      <c r="ABZ34" s="1"/>
      <c r="ACA34" s="1"/>
      <c r="ACB34" s="1"/>
      <c r="ACC34" s="1"/>
      <c r="ACD34" s="1"/>
      <c r="ACE34" s="1"/>
      <c r="ACF34" s="1"/>
      <c r="ACG34" s="1"/>
      <c r="ACH34" s="1"/>
      <c r="ACI34" s="1"/>
      <c r="ACJ34" s="1"/>
      <c r="ACK34" s="1"/>
      <c r="ACL34" s="1"/>
      <c r="ACM34" s="1"/>
      <c r="ACN34" s="1"/>
      <c r="ACO34" s="1"/>
      <c r="ACP34" s="1"/>
      <c r="ACQ34" s="1"/>
      <c r="ACR34" s="1"/>
      <c r="ACS34" s="1"/>
      <c r="ACT34" s="1"/>
      <c r="ACU34" s="1"/>
      <c r="ACV34" s="1"/>
      <c r="ACW34" s="1"/>
      <c r="ACX34" s="1"/>
      <c r="ACY34" s="1"/>
      <c r="ACZ34" s="1"/>
      <c r="ADA34" s="1"/>
      <c r="ADB34" s="1"/>
      <c r="ADC34" s="1"/>
      <c r="ADD34" s="1"/>
      <c r="ADE34" s="1"/>
      <c r="ADF34" s="1"/>
      <c r="ADG34" s="1"/>
      <c r="ADH34" s="1"/>
      <c r="ADI34" s="1"/>
      <c r="ADJ34" s="1"/>
      <c r="ADK34" s="1"/>
      <c r="ADL34" s="1"/>
      <c r="ADM34" s="1"/>
      <c r="ADN34" s="1"/>
      <c r="ADO34" s="1"/>
      <c r="ADP34" s="1"/>
      <c r="ADQ34" s="1"/>
      <c r="ADR34" s="1"/>
      <c r="ADS34" s="1"/>
      <c r="ADT34" s="1"/>
      <c r="ADU34" s="1"/>
      <c r="ADV34" s="1"/>
      <c r="ADW34" s="1"/>
      <c r="ADX34" s="1"/>
      <c r="ADY34" s="1"/>
      <c r="ADZ34" s="1"/>
      <c r="AEA34" s="1"/>
      <c r="AEB34" s="1"/>
      <c r="AEC34" s="1"/>
      <c r="AED34" s="1"/>
      <c r="AEE34" s="1"/>
      <c r="AEF34" s="1"/>
      <c r="AEG34" s="1"/>
      <c r="AEH34" s="1"/>
      <c r="AEI34" s="1"/>
      <c r="AEJ34" s="1"/>
      <c r="AEK34" s="1"/>
      <c r="AEL34" s="1"/>
      <c r="AEM34" s="1"/>
      <c r="AEN34" s="1"/>
      <c r="AEO34" s="1"/>
      <c r="AEP34" s="1"/>
      <c r="AEQ34" s="1"/>
      <c r="AER34" s="1"/>
      <c r="AES34" s="1"/>
      <c r="AET34" s="1"/>
      <c r="AEU34" s="1"/>
      <c r="AEV34" s="1"/>
      <c r="AEW34" s="1"/>
      <c r="AEX34" s="1"/>
      <c r="AEY34" s="1"/>
      <c r="AEZ34" s="1"/>
      <c r="AFA34" s="1"/>
      <c r="AFB34" s="1"/>
      <c r="AFC34" s="1"/>
      <c r="AFD34" s="1"/>
      <c r="AFE34" s="1"/>
      <c r="AFF34" s="1"/>
      <c r="AFG34" s="1"/>
      <c r="AFH34" s="1"/>
      <c r="AFI34" s="1"/>
      <c r="AFJ34" s="1"/>
      <c r="AFK34" s="1"/>
      <c r="AFL34" s="1"/>
      <c r="AFM34" s="1"/>
      <c r="AFN34" s="1"/>
      <c r="AFO34" s="1"/>
      <c r="AFP34" s="1"/>
      <c r="AFQ34" s="1"/>
      <c r="AFR34" s="1"/>
      <c r="AFS34" s="1"/>
      <c r="AFT34" s="1"/>
      <c r="AFU34" s="1"/>
      <c r="AFV34" s="1"/>
      <c r="AFW34" s="1"/>
      <c r="AFX34" s="1"/>
      <c r="AFY34" s="1"/>
      <c r="AFZ34" s="1"/>
      <c r="AGA34" s="1"/>
      <c r="AGB34" s="1"/>
      <c r="AGC34" s="1"/>
      <c r="AGD34" s="1"/>
      <c r="AGE34" s="1"/>
      <c r="AGF34" s="1"/>
      <c r="AGG34" s="1"/>
      <c r="AGH34" s="1"/>
      <c r="AGI34" s="1"/>
      <c r="AGJ34" s="1"/>
      <c r="AGK34" s="1"/>
      <c r="AGL34" s="1"/>
      <c r="AGM34" s="1"/>
      <c r="AGN34" s="1"/>
      <c r="AGO34" s="1"/>
      <c r="AGP34" s="1"/>
      <c r="AGQ34" s="1"/>
      <c r="AGR34" s="1"/>
      <c r="AGS34" s="1"/>
      <c r="AGT34" s="1"/>
      <c r="AGU34" s="1"/>
      <c r="AGV34" s="1"/>
      <c r="AGW34" s="1"/>
      <c r="AGX34" s="1"/>
      <c r="AGY34" s="1"/>
      <c r="AGZ34" s="1"/>
      <c r="AHA34" s="1"/>
      <c r="AHB34" s="1"/>
      <c r="AHC34" s="1"/>
      <c r="AHD34" s="1"/>
      <c r="AHE34" s="1"/>
      <c r="AHF34" s="1"/>
      <c r="AHG34" s="1"/>
      <c r="AHH34" s="1"/>
      <c r="AHI34" s="1"/>
      <c r="AHJ34" s="1"/>
      <c r="AHK34" s="1"/>
      <c r="AHL34" s="1"/>
      <c r="AHM34" s="1"/>
      <c r="AHN34" s="1"/>
      <c r="AHO34" s="1"/>
      <c r="AHP34" s="1"/>
      <c r="AHQ34" s="1"/>
      <c r="AHR34" s="1"/>
      <c r="AHS34" s="1"/>
      <c r="AHT34" s="1"/>
      <c r="AHU34" s="1"/>
      <c r="AHV34" s="1"/>
      <c r="AHW34" s="1"/>
      <c r="AHX34" s="1"/>
      <c r="AHY34" s="1"/>
      <c r="AHZ34" s="1"/>
      <c r="AIA34" s="1"/>
      <c r="AIB34" s="1"/>
      <c r="AIC34" s="1"/>
      <c r="AID34" s="1"/>
      <c r="AIE34" s="1"/>
      <c r="AIF34" s="1"/>
      <c r="AIG34" s="1"/>
      <c r="AIH34" s="1"/>
      <c r="AII34" s="1"/>
      <c r="AIJ34" s="1"/>
      <c r="AIK34" s="1"/>
      <c r="AIL34" s="1"/>
      <c r="AIM34" s="1"/>
      <c r="AIN34" s="1"/>
      <c r="AIO34" s="1"/>
      <c r="AIP34" s="1"/>
      <c r="AIQ34" s="1"/>
      <c r="AIR34" s="1"/>
      <c r="AIS34" s="1"/>
      <c r="AIT34" s="1"/>
      <c r="AIU34" s="1"/>
      <c r="AIV34" s="1"/>
      <c r="AIW34" s="1"/>
      <c r="AIX34" s="1"/>
      <c r="AIY34" s="1"/>
      <c r="AIZ34" s="1"/>
      <c r="AJA34" s="1"/>
      <c r="AJB34" s="1"/>
      <c r="AJC34" s="1"/>
      <c r="AJD34" s="1"/>
      <c r="AJE34" s="1"/>
      <c r="AJF34" s="1"/>
      <c r="AJG34" s="1"/>
      <c r="AJH34" s="1"/>
      <c r="AJI34" s="1"/>
      <c r="AJJ34" s="1"/>
      <c r="AJK34" s="1"/>
      <c r="AJL34" s="1"/>
      <c r="AJM34" s="1"/>
      <c r="AJN34" s="1"/>
      <c r="AJO34" s="1"/>
      <c r="AJP34" s="1"/>
      <c r="AJQ34" s="1"/>
      <c r="AJR34" s="1"/>
      <c r="AJS34" s="1"/>
      <c r="AJT34" s="1"/>
      <c r="AJU34" s="1"/>
      <c r="AJV34" s="1"/>
      <c r="AJW34" s="1"/>
      <c r="AJX34" s="1"/>
      <c r="AJY34" s="1"/>
      <c r="AJZ34" s="1"/>
      <c r="AKA34" s="1"/>
      <c r="AKB34" s="1"/>
      <c r="AKC34" s="1"/>
      <c r="AKD34" s="1"/>
      <c r="AKE34" s="1"/>
      <c r="AKF34" s="1"/>
      <c r="AKG34" s="1"/>
      <c r="AKH34" s="1"/>
      <c r="AKI34" s="1"/>
      <c r="AKJ34" s="1"/>
      <c r="AKK34" s="1"/>
      <c r="AKL34" s="1"/>
      <c r="AKM34" s="1"/>
      <c r="AKN34" s="1"/>
      <c r="AKO34" s="1"/>
      <c r="AKP34" s="1"/>
      <c r="AKQ34" s="1"/>
      <c r="AKR34" s="1"/>
      <c r="AKS34" s="1"/>
      <c r="AKT34" s="1"/>
      <c r="AKU34" s="1"/>
      <c r="AKV34" s="1"/>
      <c r="AKW34" s="1"/>
      <c r="AKX34" s="1"/>
      <c r="AKY34" s="1"/>
      <c r="AKZ34" s="1"/>
      <c r="ALA34" s="1"/>
      <c r="ALB34" s="1"/>
      <c r="ALC34" s="1"/>
      <c r="ALD34" s="1"/>
      <c r="ALE34" s="1"/>
      <c r="ALF34" s="1"/>
      <c r="ALG34" s="1"/>
      <c r="ALH34" s="1"/>
      <c r="ALI34" s="1"/>
      <c r="ALJ34" s="1"/>
      <c r="ALK34" s="1"/>
      <c r="ALL34" s="1"/>
      <c r="ALM34" s="1"/>
      <c r="ALN34" s="1"/>
      <c r="ALO34" s="1"/>
      <c r="ALP34" s="1"/>
      <c r="ALQ34" s="1"/>
      <c r="ALR34" s="1"/>
      <c r="ALS34" s="1"/>
      <c r="ALT34" s="1"/>
      <c r="ALU34" s="1"/>
      <c r="ALV34" s="1"/>
      <c r="ALW34" s="1"/>
      <c r="ALX34" s="1"/>
      <c r="ALY34" s="1"/>
      <c r="ALZ34" s="1"/>
      <c r="AMA34" s="1"/>
      <c r="AMB34" s="1"/>
      <c r="AMC34" s="1"/>
      <c r="AMD34" s="1"/>
      <c r="AME34" s="1"/>
      <c r="AMF34" s="1"/>
      <c r="AMG34" s="1"/>
      <c r="AMH34" s="1"/>
      <c r="AMI34" s="1"/>
      <c r="AMJ34" s="1"/>
      <c r="AMK34" s="1"/>
    </row>
    <row r="35" spans="1:1025" ht="15.75" customHeight="1" x14ac:dyDescent="0.25">
      <c r="A35" s="14" t="s">
        <v>1190</v>
      </c>
      <c r="B35" s="28"/>
      <c r="C35" s="28"/>
      <c r="D35" s="17"/>
      <c r="E35" s="90" t="s">
        <v>1191</v>
      </c>
      <c r="F35" s="19"/>
      <c r="G35" s="20" t="s">
        <v>1192</v>
      </c>
      <c r="H35" s="32" t="s">
        <v>1191</v>
      </c>
      <c r="I35" s="34" t="s">
        <v>1193</v>
      </c>
      <c r="J35" s="109" t="s">
        <v>1194</v>
      </c>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row>
    <row r="36" spans="1:1025" ht="15.75" customHeight="1" x14ac:dyDescent="0.25">
      <c r="A36" s="14" t="s">
        <v>124</v>
      </c>
      <c r="B36" s="28"/>
      <c r="C36" s="28"/>
      <c r="D36" s="17"/>
      <c r="E36" s="90" t="s">
        <v>126</v>
      </c>
      <c r="F36" s="19"/>
      <c r="G36" s="20" t="s">
        <v>125</v>
      </c>
      <c r="H36" s="32" t="s">
        <v>126</v>
      </c>
      <c r="I36" s="25" t="s">
        <v>1195</v>
      </c>
      <c r="J36" s="30" t="s">
        <v>1195</v>
      </c>
      <c r="K36" s="25"/>
      <c r="L36" s="25"/>
      <c r="M36" s="25"/>
      <c r="N36" s="25"/>
      <c r="O36" s="25"/>
      <c r="P36" s="25"/>
      <c r="Q36" s="25"/>
      <c r="R36" s="25"/>
      <c r="S36" s="25"/>
      <c r="T36" s="25"/>
      <c r="U36" s="25"/>
      <c r="V36" s="25"/>
      <c r="W36" s="25"/>
      <c r="X36" s="25"/>
      <c r="Y36" s="25"/>
      <c r="Z36" s="25"/>
      <c r="AA36" s="25"/>
      <c r="AB36" s="25"/>
      <c r="AC36" s="25"/>
      <c r="AD36" s="25"/>
      <c r="AE36" s="25"/>
      <c r="AF36" s="25" t="s">
        <v>1196</v>
      </c>
      <c r="AG36" s="25"/>
      <c r="AH36" s="25"/>
      <c r="AI36" s="25"/>
      <c r="AJ36" s="25"/>
    </row>
    <row r="37" spans="1:1025" ht="15.75" customHeight="1" x14ac:dyDescent="0.25">
      <c r="A37" s="14" t="s">
        <v>127</v>
      </c>
      <c r="B37" s="45">
        <v>782644</v>
      </c>
      <c r="C37" s="45" t="s">
        <v>1058</v>
      </c>
      <c r="D37" s="17" t="s">
        <v>1197</v>
      </c>
      <c r="E37" s="110" t="s">
        <v>129</v>
      </c>
      <c r="F37" s="46"/>
      <c r="G37" s="20" t="s">
        <v>128</v>
      </c>
      <c r="H37" s="47" t="s">
        <v>129</v>
      </c>
      <c r="I37" s="48"/>
      <c r="J37" s="49" t="s">
        <v>1198</v>
      </c>
      <c r="K37" s="48"/>
      <c r="L37" s="49" t="s">
        <v>1199</v>
      </c>
      <c r="M37" s="48"/>
      <c r="N37" s="48"/>
      <c r="O37" s="48"/>
      <c r="P37" s="48"/>
      <c r="Q37" s="48"/>
      <c r="R37" s="48"/>
      <c r="S37" s="48"/>
      <c r="T37" s="48"/>
      <c r="U37" s="48"/>
      <c r="V37" s="48"/>
      <c r="W37" s="48"/>
      <c r="X37" s="48"/>
      <c r="Y37" s="48"/>
      <c r="Z37" s="48"/>
      <c r="AA37" s="48"/>
      <c r="AB37" s="48"/>
      <c r="AC37" s="48"/>
      <c r="AD37" s="48"/>
      <c r="AE37" s="48"/>
      <c r="AF37" s="48"/>
      <c r="AG37" s="48"/>
      <c r="AH37" s="48"/>
      <c r="AI37" s="48"/>
      <c r="AJ37" s="48"/>
      <c r="AK37" s="50"/>
      <c r="AL37" s="50"/>
      <c r="AM37" s="50"/>
      <c r="AN37" s="50"/>
      <c r="AO37" s="50"/>
      <c r="AP37" s="50"/>
      <c r="AQ37" s="50"/>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0"/>
      <c r="BR37" s="50"/>
      <c r="BS37" s="50"/>
      <c r="BT37" s="50"/>
      <c r="BU37" s="50"/>
      <c r="BV37" s="50"/>
      <c r="BW37" s="50"/>
      <c r="BX37" s="50"/>
      <c r="BY37" s="50"/>
      <c r="BZ37" s="50"/>
      <c r="CA37" s="50"/>
      <c r="CB37" s="50"/>
      <c r="CC37" s="50"/>
      <c r="CD37" s="50"/>
      <c r="CE37" s="50"/>
      <c r="CF37" s="50"/>
      <c r="CG37" s="50"/>
      <c r="CH37" s="50"/>
      <c r="CI37" s="50"/>
      <c r="CJ37" s="50"/>
      <c r="CK37" s="50"/>
      <c r="CL37" s="50"/>
      <c r="CM37" s="50"/>
      <c r="CN37" s="50"/>
      <c r="CO37" s="50"/>
      <c r="CP37" s="50"/>
      <c r="CQ37" s="50"/>
      <c r="CR37" s="50"/>
      <c r="CS37" s="50"/>
      <c r="CT37" s="50"/>
      <c r="CU37" s="50"/>
      <c r="CV37" s="50"/>
      <c r="CW37" s="50"/>
      <c r="CX37" s="50"/>
      <c r="CY37" s="50"/>
      <c r="CZ37" s="50"/>
      <c r="DA37" s="50"/>
      <c r="DB37" s="50"/>
      <c r="DC37" s="50"/>
      <c r="DD37" s="50"/>
      <c r="DE37" s="50"/>
      <c r="DF37" s="50"/>
      <c r="DG37" s="50"/>
      <c r="DH37" s="50"/>
      <c r="DI37" s="50"/>
      <c r="DJ37" s="50"/>
      <c r="DK37" s="50"/>
      <c r="DL37" s="50"/>
      <c r="DM37" s="50"/>
      <c r="DN37" s="50"/>
      <c r="DO37" s="50"/>
      <c r="DP37" s="50"/>
      <c r="DQ37" s="50"/>
      <c r="DR37" s="50"/>
      <c r="DS37" s="50"/>
      <c r="DT37" s="50"/>
      <c r="DU37" s="50"/>
      <c r="DV37" s="50"/>
      <c r="DW37" s="50"/>
      <c r="DX37" s="50"/>
      <c r="DY37" s="50"/>
      <c r="DZ37" s="50"/>
      <c r="EA37" s="50"/>
      <c r="EB37" s="50"/>
      <c r="EC37" s="50"/>
      <c r="ED37" s="50"/>
      <c r="EE37" s="50"/>
      <c r="EF37" s="50"/>
      <c r="EG37" s="50"/>
      <c r="EH37" s="50"/>
      <c r="EI37" s="50"/>
      <c r="EJ37" s="50"/>
      <c r="EK37" s="50"/>
      <c r="EL37" s="50"/>
      <c r="EM37" s="50"/>
      <c r="EN37" s="50"/>
      <c r="EO37" s="50"/>
      <c r="EP37" s="50"/>
      <c r="EQ37" s="50"/>
      <c r="ER37" s="50"/>
      <c r="ES37" s="50"/>
      <c r="ET37" s="50"/>
      <c r="EU37" s="50"/>
      <c r="EV37" s="50"/>
      <c r="EW37" s="50"/>
      <c r="EX37" s="50"/>
      <c r="EY37" s="50"/>
      <c r="EZ37" s="50"/>
      <c r="FA37" s="50"/>
      <c r="FB37" s="50"/>
      <c r="FC37" s="50"/>
      <c r="FD37" s="50"/>
      <c r="FE37" s="50"/>
      <c r="FF37" s="50"/>
      <c r="FG37" s="50"/>
      <c r="FH37" s="50"/>
      <c r="FI37" s="50"/>
      <c r="FJ37" s="50"/>
      <c r="FK37" s="50"/>
      <c r="FL37" s="50"/>
      <c r="FM37" s="50"/>
      <c r="FN37" s="50"/>
      <c r="FO37" s="50"/>
      <c r="FP37" s="50"/>
      <c r="FQ37" s="50"/>
      <c r="FR37" s="50"/>
      <c r="FS37" s="50"/>
      <c r="FT37" s="50"/>
      <c r="FU37" s="50"/>
      <c r="FV37" s="50"/>
      <c r="FW37" s="50"/>
      <c r="FX37" s="50"/>
      <c r="FY37" s="50"/>
      <c r="FZ37" s="50"/>
      <c r="GA37" s="50"/>
      <c r="GB37" s="50"/>
      <c r="GC37" s="50"/>
      <c r="GD37" s="50"/>
      <c r="GE37" s="50"/>
      <c r="GF37" s="50"/>
      <c r="GG37" s="50"/>
      <c r="GH37" s="50"/>
      <c r="GI37" s="50"/>
      <c r="GJ37" s="50"/>
      <c r="GK37" s="50"/>
      <c r="GL37" s="50"/>
      <c r="GM37" s="50"/>
      <c r="GN37" s="50"/>
      <c r="GO37" s="50"/>
      <c r="GP37" s="50"/>
      <c r="GQ37" s="50"/>
      <c r="GR37" s="50"/>
      <c r="GS37" s="50"/>
      <c r="GT37" s="50"/>
      <c r="GU37" s="50"/>
      <c r="GV37" s="50"/>
      <c r="GW37" s="50"/>
      <c r="GX37" s="50"/>
      <c r="GY37" s="50"/>
      <c r="GZ37" s="50"/>
      <c r="HA37" s="50"/>
      <c r="HB37" s="50"/>
      <c r="HC37" s="50"/>
      <c r="HD37" s="50"/>
      <c r="HE37" s="50"/>
      <c r="HF37" s="50"/>
      <c r="HG37" s="50"/>
      <c r="HH37" s="50"/>
      <c r="HI37" s="50"/>
      <c r="HJ37" s="50"/>
      <c r="HK37" s="50"/>
      <c r="HL37" s="50"/>
      <c r="HM37" s="50"/>
      <c r="HN37" s="50"/>
      <c r="HO37" s="50"/>
      <c r="HP37" s="50"/>
      <c r="HQ37" s="50"/>
      <c r="HR37" s="50"/>
      <c r="HS37" s="50"/>
      <c r="HT37" s="50"/>
      <c r="HU37" s="50"/>
      <c r="HV37" s="50"/>
      <c r="HW37" s="50"/>
      <c r="HX37" s="50"/>
      <c r="HY37" s="50"/>
      <c r="HZ37" s="50"/>
      <c r="IA37" s="50"/>
      <c r="IB37" s="50"/>
      <c r="IC37" s="50"/>
      <c r="ID37" s="50"/>
      <c r="IE37" s="50"/>
      <c r="IF37" s="50"/>
      <c r="IG37" s="50"/>
      <c r="IH37" s="50"/>
      <c r="II37" s="50"/>
      <c r="IJ37" s="50"/>
      <c r="IK37" s="50"/>
      <c r="IL37" s="50"/>
      <c r="IM37" s="50"/>
      <c r="IN37" s="50"/>
      <c r="IO37" s="50"/>
      <c r="IP37" s="50"/>
      <c r="IQ37" s="50"/>
      <c r="IR37" s="50"/>
      <c r="IS37" s="50"/>
      <c r="IT37" s="50"/>
      <c r="IU37" s="50"/>
      <c r="IV37" s="50"/>
      <c r="IW37" s="50"/>
      <c r="IX37" s="50"/>
      <c r="IY37" s="50"/>
      <c r="IZ37" s="50"/>
      <c r="JA37" s="50"/>
      <c r="JB37" s="50"/>
      <c r="JC37" s="50"/>
      <c r="JD37" s="50"/>
      <c r="JE37" s="50"/>
      <c r="JF37" s="50"/>
      <c r="JG37" s="50"/>
      <c r="JH37" s="50"/>
      <c r="JI37" s="50"/>
      <c r="JJ37" s="50"/>
      <c r="JK37" s="50"/>
      <c r="JL37" s="50"/>
      <c r="JM37" s="50"/>
      <c r="JN37" s="50"/>
      <c r="JO37" s="50"/>
      <c r="JP37" s="50"/>
      <c r="JQ37" s="50"/>
      <c r="JR37" s="50"/>
      <c r="JS37" s="50"/>
      <c r="JT37" s="50"/>
      <c r="JU37" s="50"/>
      <c r="JV37" s="50"/>
      <c r="JW37" s="50"/>
      <c r="JX37" s="50"/>
      <c r="JY37" s="50"/>
      <c r="JZ37" s="50"/>
      <c r="KA37" s="50"/>
      <c r="KB37" s="50"/>
      <c r="KC37" s="50"/>
      <c r="KD37" s="50"/>
      <c r="KE37" s="50"/>
      <c r="KF37" s="50"/>
      <c r="KG37" s="50"/>
      <c r="KH37" s="50"/>
      <c r="KI37" s="50"/>
      <c r="KJ37" s="50"/>
      <c r="KK37" s="50"/>
      <c r="KL37" s="50"/>
      <c r="KM37" s="50"/>
      <c r="KN37" s="50"/>
      <c r="KO37" s="50"/>
      <c r="KP37" s="50"/>
      <c r="KQ37" s="50"/>
      <c r="KR37" s="50"/>
      <c r="KS37" s="50"/>
      <c r="KT37" s="50"/>
      <c r="KU37" s="50"/>
      <c r="KV37" s="50"/>
      <c r="KW37" s="50"/>
      <c r="KX37" s="50"/>
      <c r="KY37" s="50"/>
      <c r="KZ37" s="50"/>
      <c r="LA37" s="50"/>
      <c r="LB37" s="50"/>
      <c r="LC37" s="50"/>
      <c r="LD37" s="50"/>
      <c r="LE37" s="50"/>
      <c r="LF37" s="50"/>
      <c r="LG37" s="50"/>
      <c r="LH37" s="50"/>
      <c r="LI37" s="50"/>
      <c r="LJ37" s="50"/>
      <c r="LK37" s="50"/>
      <c r="LL37" s="50"/>
      <c r="LM37" s="50"/>
      <c r="LN37" s="50"/>
      <c r="LO37" s="50"/>
      <c r="LP37" s="50"/>
      <c r="LQ37" s="50"/>
      <c r="LR37" s="50"/>
      <c r="LS37" s="50"/>
      <c r="LT37" s="50"/>
      <c r="LU37" s="50"/>
      <c r="LV37" s="50"/>
      <c r="LW37" s="50"/>
      <c r="LX37" s="50"/>
      <c r="LY37" s="50"/>
      <c r="LZ37" s="50"/>
      <c r="MA37" s="50"/>
      <c r="MB37" s="50"/>
      <c r="MC37" s="50"/>
      <c r="MD37" s="50"/>
      <c r="ME37" s="50"/>
      <c r="MF37" s="50"/>
      <c r="MG37" s="50"/>
      <c r="MH37" s="50"/>
      <c r="MI37" s="50"/>
      <c r="MJ37" s="50"/>
      <c r="MK37" s="50"/>
      <c r="ML37" s="50"/>
      <c r="MM37" s="50"/>
      <c r="MN37" s="50"/>
      <c r="MO37" s="50"/>
      <c r="MP37" s="50"/>
      <c r="MQ37" s="50"/>
      <c r="MR37" s="50"/>
      <c r="MS37" s="50"/>
      <c r="MT37" s="50"/>
      <c r="MU37" s="50"/>
      <c r="MV37" s="50"/>
      <c r="MW37" s="50"/>
      <c r="MX37" s="50"/>
      <c r="MY37" s="50"/>
      <c r="MZ37" s="50"/>
      <c r="NA37" s="50"/>
      <c r="NB37" s="50"/>
      <c r="NC37" s="50"/>
      <c r="ND37" s="50"/>
      <c r="NE37" s="50"/>
      <c r="NF37" s="50"/>
      <c r="NG37" s="50"/>
      <c r="NH37" s="50"/>
      <c r="NI37" s="50"/>
      <c r="NJ37" s="50"/>
      <c r="NK37" s="50"/>
      <c r="NL37" s="50"/>
      <c r="NM37" s="50"/>
      <c r="NN37" s="50"/>
      <c r="NO37" s="50"/>
      <c r="NP37" s="50"/>
      <c r="NQ37" s="50"/>
      <c r="NR37" s="50"/>
      <c r="NS37" s="50"/>
      <c r="NT37" s="50"/>
      <c r="NU37" s="50"/>
      <c r="NV37" s="50"/>
      <c r="NW37" s="50"/>
      <c r="NX37" s="50"/>
      <c r="NY37" s="50"/>
      <c r="NZ37" s="50"/>
      <c r="OA37" s="50"/>
      <c r="OB37" s="50"/>
      <c r="OC37" s="50"/>
      <c r="OD37" s="50"/>
      <c r="OE37" s="50"/>
      <c r="OF37" s="50"/>
      <c r="OG37" s="50"/>
      <c r="OH37" s="50"/>
      <c r="OI37" s="50"/>
      <c r="OJ37" s="50"/>
      <c r="OK37" s="50"/>
      <c r="OL37" s="50"/>
      <c r="OM37" s="50"/>
      <c r="ON37" s="50"/>
      <c r="OO37" s="50"/>
      <c r="OP37" s="50"/>
      <c r="OQ37" s="50"/>
      <c r="OR37" s="50"/>
      <c r="OS37" s="50"/>
      <c r="OT37" s="50"/>
      <c r="OU37" s="50"/>
      <c r="OV37" s="50"/>
      <c r="OW37" s="50"/>
      <c r="OX37" s="50"/>
      <c r="OY37" s="50"/>
      <c r="OZ37" s="50"/>
      <c r="PA37" s="50"/>
      <c r="PB37" s="50"/>
      <c r="PC37" s="50"/>
      <c r="PD37" s="50"/>
      <c r="PE37" s="50"/>
      <c r="PF37" s="50"/>
      <c r="PG37" s="50"/>
      <c r="PH37" s="50"/>
      <c r="PI37" s="50"/>
      <c r="PJ37" s="50"/>
      <c r="PK37" s="50"/>
      <c r="PL37" s="50"/>
      <c r="PM37" s="50"/>
      <c r="PN37" s="50"/>
      <c r="PO37" s="50"/>
      <c r="PP37" s="50"/>
      <c r="PQ37" s="50"/>
      <c r="PR37" s="50"/>
      <c r="PS37" s="50"/>
      <c r="PT37" s="50"/>
      <c r="PU37" s="50"/>
      <c r="PV37" s="50"/>
      <c r="PW37" s="50"/>
      <c r="PX37" s="50"/>
      <c r="PY37" s="50"/>
      <c r="PZ37" s="50"/>
      <c r="QA37" s="50"/>
      <c r="QB37" s="50"/>
      <c r="QC37" s="50"/>
      <c r="QD37" s="50"/>
      <c r="QE37" s="50"/>
      <c r="QF37" s="50"/>
      <c r="QG37" s="50"/>
      <c r="QH37" s="50"/>
      <c r="QI37" s="50"/>
      <c r="QJ37" s="50"/>
      <c r="QK37" s="50"/>
      <c r="QL37" s="50"/>
      <c r="QM37" s="50"/>
      <c r="QN37" s="50"/>
      <c r="QO37" s="50"/>
      <c r="QP37" s="50"/>
      <c r="QQ37" s="50"/>
      <c r="QR37" s="50"/>
      <c r="QS37" s="50"/>
      <c r="QT37" s="50"/>
      <c r="QU37" s="50"/>
      <c r="QV37" s="50"/>
      <c r="QW37" s="50"/>
      <c r="QX37" s="50"/>
      <c r="QY37" s="50"/>
      <c r="QZ37" s="50"/>
      <c r="RA37" s="50"/>
      <c r="RB37" s="50"/>
      <c r="RC37" s="50"/>
      <c r="RD37" s="50"/>
      <c r="RE37" s="50"/>
      <c r="RF37" s="50"/>
      <c r="RG37" s="50"/>
      <c r="RH37" s="50"/>
      <c r="RI37" s="50"/>
      <c r="RJ37" s="50"/>
      <c r="RK37" s="50"/>
      <c r="RL37" s="50"/>
      <c r="RM37" s="50"/>
      <c r="RN37" s="50"/>
      <c r="RO37" s="50"/>
      <c r="RP37" s="50"/>
      <c r="RQ37" s="50"/>
      <c r="RR37" s="50"/>
      <c r="RS37" s="50"/>
      <c r="RT37" s="50"/>
      <c r="RU37" s="50"/>
      <c r="RV37" s="50"/>
      <c r="RW37" s="50"/>
      <c r="RX37" s="50"/>
      <c r="RY37" s="50"/>
      <c r="RZ37" s="50"/>
      <c r="SA37" s="50"/>
      <c r="SB37" s="50"/>
      <c r="SC37" s="50"/>
      <c r="SD37" s="50"/>
      <c r="SE37" s="50"/>
      <c r="SF37" s="50"/>
      <c r="SG37" s="50"/>
      <c r="SH37" s="50"/>
      <c r="SI37" s="50"/>
      <c r="SJ37" s="50"/>
      <c r="SK37" s="50"/>
      <c r="SL37" s="50"/>
      <c r="SM37" s="50"/>
      <c r="SN37" s="50"/>
      <c r="SO37" s="50"/>
      <c r="SP37" s="50"/>
      <c r="SQ37" s="50"/>
      <c r="SR37" s="50"/>
      <c r="SS37" s="50"/>
      <c r="ST37" s="50"/>
      <c r="SU37" s="50"/>
      <c r="SV37" s="50"/>
      <c r="SW37" s="50"/>
      <c r="SX37" s="50"/>
      <c r="SY37" s="50"/>
      <c r="SZ37" s="50"/>
      <c r="TA37" s="50"/>
      <c r="TB37" s="50"/>
      <c r="TC37" s="50"/>
      <c r="TD37" s="50"/>
      <c r="TE37" s="50"/>
      <c r="TF37" s="50"/>
      <c r="TG37" s="50"/>
      <c r="TH37" s="50"/>
      <c r="TI37" s="50"/>
      <c r="TJ37" s="50"/>
      <c r="TK37" s="50"/>
      <c r="TL37" s="50"/>
      <c r="TM37" s="50"/>
      <c r="TN37" s="50"/>
      <c r="TO37" s="50"/>
      <c r="TP37" s="50"/>
      <c r="TQ37" s="50"/>
      <c r="TR37" s="50"/>
      <c r="TS37" s="50"/>
      <c r="TT37" s="50"/>
      <c r="TU37" s="50"/>
      <c r="TV37" s="50"/>
      <c r="TW37" s="50"/>
      <c r="TX37" s="50"/>
      <c r="TY37" s="50"/>
      <c r="TZ37" s="50"/>
      <c r="UA37" s="50"/>
      <c r="UB37" s="50"/>
      <c r="UC37" s="50"/>
      <c r="UD37" s="50"/>
      <c r="UE37" s="50"/>
      <c r="UF37" s="50"/>
      <c r="UG37" s="50"/>
      <c r="UH37" s="50"/>
      <c r="UI37" s="50"/>
      <c r="UJ37" s="50"/>
      <c r="UK37" s="50"/>
      <c r="UL37" s="50"/>
      <c r="UM37" s="50"/>
      <c r="UN37" s="50"/>
      <c r="UO37" s="50"/>
      <c r="UP37" s="50"/>
      <c r="UQ37" s="50"/>
      <c r="UR37" s="50"/>
      <c r="US37" s="50"/>
      <c r="UT37" s="50"/>
      <c r="UU37" s="50"/>
      <c r="UV37" s="50"/>
      <c r="UW37" s="50"/>
      <c r="UX37" s="50"/>
      <c r="UY37" s="50"/>
      <c r="UZ37" s="50"/>
      <c r="VA37" s="50"/>
      <c r="VB37" s="50"/>
      <c r="VC37" s="50"/>
      <c r="VD37" s="50"/>
      <c r="VE37" s="50"/>
      <c r="VF37" s="50"/>
      <c r="VG37" s="50"/>
      <c r="VH37" s="50"/>
      <c r="VI37" s="50"/>
      <c r="VJ37" s="50"/>
      <c r="VK37" s="50"/>
      <c r="VL37" s="50"/>
      <c r="VM37" s="50"/>
      <c r="VN37" s="50"/>
      <c r="VO37" s="50"/>
      <c r="VP37" s="50"/>
      <c r="VQ37" s="50"/>
      <c r="VR37" s="50"/>
      <c r="VS37" s="50"/>
      <c r="VT37" s="50"/>
      <c r="VU37" s="50"/>
      <c r="VV37" s="50"/>
      <c r="VW37" s="50"/>
      <c r="VX37" s="50"/>
      <c r="VY37" s="50"/>
      <c r="VZ37" s="50"/>
      <c r="WA37" s="50"/>
      <c r="WB37" s="50"/>
      <c r="WC37" s="50"/>
      <c r="WD37" s="50"/>
      <c r="WE37" s="50"/>
      <c r="WF37" s="50"/>
      <c r="WG37" s="50"/>
      <c r="WH37" s="50"/>
      <c r="WI37" s="50"/>
      <c r="WJ37" s="50"/>
      <c r="WK37" s="50"/>
      <c r="WL37" s="50"/>
      <c r="WM37" s="50"/>
      <c r="WN37" s="50"/>
      <c r="WO37" s="50"/>
      <c r="WP37" s="50"/>
      <c r="WQ37" s="50"/>
      <c r="WR37" s="50"/>
      <c r="WS37" s="50"/>
      <c r="WT37" s="50"/>
      <c r="WU37" s="50"/>
      <c r="WV37" s="50"/>
      <c r="WW37" s="50"/>
      <c r="WX37" s="50"/>
      <c r="WY37" s="50"/>
      <c r="WZ37" s="50"/>
      <c r="XA37" s="50"/>
      <c r="XB37" s="50"/>
      <c r="XC37" s="50"/>
      <c r="XD37" s="50"/>
      <c r="XE37" s="50"/>
      <c r="XF37" s="50"/>
      <c r="XG37" s="50"/>
      <c r="XH37" s="50"/>
      <c r="XI37" s="50"/>
      <c r="XJ37" s="50"/>
      <c r="XK37" s="50"/>
      <c r="XL37" s="50"/>
      <c r="XM37" s="50"/>
      <c r="XN37" s="50"/>
      <c r="XO37" s="50"/>
      <c r="XP37" s="50"/>
      <c r="XQ37" s="50"/>
      <c r="XR37" s="50"/>
      <c r="XS37" s="50"/>
      <c r="XT37" s="50"/>
      <c r="XU37" s="50"/>
      <c r="XV37" s="50"/>
      <c r="XW37" s="50"/>
      <c r="XX37" s="50"/>
      <c r="XY37" s="50"/>
      <c r="XZ37" s="50"/>
      <c r="YA37" s="50"/>
      <c r="YB37" s="50"/>
      <c r="YC37" s="50"/>
      <c r="YD37" s="50"/>
      <c r="YE37" s="50"/>
      <c r="YF37" s="50"/>
      <c r="YG37" s="50"/>
      <c r="YH37" s="50"/>
      <c r="YI37" s="50"/>
      <c r="YJ37" s="50"/>
      <c r="YK37" s="50"/>
      <c r="YL37" s="50"/>
      <c r="YM37" s="50"/>
      <c r="YN37" s="50"/>
      <c r="YO37" s="50"/>
      <c r="YP37" s="50"/>
      <c r="YQ37" s="50"/>
      <c r="YR37" s="50"/>
      <c r="YS37" s="50"/>
      <c r="YT37" s="50"/>
      <c r="YU37" s="50"/>
      <c r="YV37" s="50"/>
      <c r="YW37" s="50"/>
      <c r="YX37" s="50"/>
      <c r="YY37" s="50"/>
      <c r="YZ37" s="50"/>
      <c r="ZA37" s="50"/>
      <c r="ZB37" s="50"/>
      <c r="ZC37" s="50"/>
      <c r="ZD37" s="50"/>
      <c r="ZE37" s="50"/>
      <c r="ZF37" s="50"/>
      <c r="ZG37" s="50"/>
      <c r="ZH37" s="50"/>
      <c r="ZI37" s="50"/>
      <c r="ZJ37" s="50"/>
      <c r="ZK37" s="50"/>
      <c r="ZL37" s="50"/>
      <c r="ZM37" s="50"/>
      <c r="ZN37" s="50"/>
      <c r="ZO37" s="50"/>
      <c r="ZP37" s="50"/>
      <c r="ZQ37" s="50"/>
      <c r="ZR37" s="50"/>
      <c r="ZS37" s="50"/>
      <c r="ZT37" s="50"/>
      <c r="ZU37" s="50"/>
      <c r="ZV37" s="50"/>
      <c r="ZW37" s="50"/>
      <c r="ZX37" s="50"/>
      <c r="ZY37" s="50"/>
      <c r="ZZ37" s="50"/>
      <c r="AAA37" s="50"/>
      <c r="AAB37" s="50"/>
      <c r="AAC37" s="50"/>
      <c r="AAD37" s="50"/>
      <c r="AAE37" s="50"/>
      <c r="AAF37" s="50"/>
      <c r="AAG37" s="50"/>
      <c r="AAH37" s="50"/>
      <c r="AAI37" s="50"/>
      <c r="AAJ37" s="50"/>
      <c r="AAK37" s="50"/>
      <c r="AAL37" s="50"/>
      <c r="AAM37" s="50"/>
      <c r="AAN37" s="50"/>
      <c r="AAO37" s="50"/>
      <c r="AAP37" s="50"/>
      <c r="AAQ37" s="50"/>
      <c r="AAR37" s="50"/>
      <c r="AAS37" s="50"/>
      <c r="AAT37" s="50"/>
      <c r="AAU37" s="50"/>
      <c r="AAV37" s="50"/>
      <c r="AAW37" s="50"/>
      <c r="AAX37" s="50"/>
      <c r="AAY37" s="50"/>
      <c r="AAZ37" s="50"/>
      <c r="ABA37" s="50"/>
      <c r="ABB37" s="50"/>
      <c r="ABC37" s="50"/>
      <c r="ABD37" s="50"/>
      <c r="ABE37" s="50"/>
      <c r="ABF37" s="50"/>
      <c r="ABG37" s="50"/>
      <c r="ABH37" s="50"/>
      <c r="ABI37" s="50"/>
      <c r="ABJ37" s="50"/>
      <c r="ABK37" s="50"/>
      <c r="ABL37" s="50"/>
      <c r="ABM37" s="50"/>
      <c r="ABN37" s="50"/>
      <c r="ABO37" s="50"/>
      <c r="ABP37" s="50"/>
      <c r="ABQ37" s="50"/>
      <c r="ABR37" s="50"/>
      <c r="ABS37" s="50"/>
      <c r="ABT37" s="50"/>
      <c r="ABU37" s="50"/>
      <c r="ABV37" s="50"/>
      <c r="ABW37" s="50"/>
      <c r="ABX37" s="50"/>
      <c r="ABY37" s="50"/>
      <c r="ABZ37" s="50"/>
      <c r="ACA37" s="50"/>
      <c r="ACB37" s="50"/>
      <c r="ACC37" s="50"/>
      <c r="ACD37" s="50"/>
      <c r="ACE37" s="50"/>
      <c r="ACF37" s="50"/>
      <c r="ACG37" s="50"/>
      <c r="ACH37" s="50"/>
      <c r="ACI37" s="50"/>
      <c r="ACJ37" s="50"/>
      <c r="ACK37" s="50"/>
      <c r="ACL37" s="50"/>
      <c r="ACM37" s="50"/>
      <c r="ACN37" s="50"/>
      <c r="ACO37" s="50"/>
      <c r="ACP37" s="50"/>
      <c r="ACQ37" s="50"/>
      <c r="ACR37" s="50"/>
      <c r="ACS37" s="50"/>
      <c r="ACT37" s="50"/>
      <c r="ACU37" s="50"/>
      <c r="ACV37" s="50"/>
      <c r="ACW37" s="50"/>
      <c r="ACX37" s="50"/>
      <c r="ACY37" s="50"/>
      <c r="ACZ37" s="50"/>
      <c r="ADA37" s="50"/>
      <c r="ADB37" s="50"/>
      <c r="ADC37" s="50"/>
      <c r="ADD37" s="50"/>
      <c r="ADE37" s="50"/>
      <c r="ADF37" s="50"/>
      <c r="ADG37" s="50"/>
      <c r="ADH37" s="50"/>
      <c r="ADI37" s="50"/>
      <c r="ADJ37" s="50"/>
      <c r="ADK37" s="50"/>
      <c r="ADL37" s="50"/>
      <c r="ADM37" s="50"/>
      <c r="ADN37" s="50"/>
      <c r="ADO37" s="50"/>
      <c r="ADP37" s="50"/>
      <c r="ADQ37" s="50"/>
      <c r="ADR37" s="50"/>
      <c r="ADS37" s="50"/>
      <c r="ADT37" s="50"/>
      <c r="ADU37" s="50"/>
      <c r="ADV37" s="50"/>
      <c r="ADW37" s="50"/>
      <c r="ADX37" s="50"/>
      <c r="ADY37" s="50"/>
      <c r="ADZ37" s="50"/>
      <c r="AEA37" s="50"/>
      <c r="AEB37" s="50"/>
      <c r="AEC37" s="50"/>
      <c r="AED37" s="50"/>
      <c r="AEE37" s="50"/>
      <c r="AEF37" s="50"/>
      <c r="AEG37" s="50"/>
      <c r="AEH37" s="50"/>
      <c r="AEI37" s="50"/>
      <c r="AEJ37" s="50"/>
      <c r="AEK37" s="50"/>
      <c r="AEL37" s="50"/>
      <c r="AEM37" s="50"/>
      <c r="AEN37" s="50"/>
      <c r="AEO37" s="50"/>
      <c r="AEP37" s="50"/>
      <c r="AEQ37" s="50"/>
      <c r="AER37" s="50"/>
      <c r="AES37" s="50"/>
      <c r="AET37" s="50"/>
      <c r="AEU37" s="50"/>
      <c r="AEV37" s="50"/>
      <c r="AEW37" s="50"/>
      <c r="AEX37" s="50"/>
      <c r="AEY37" s="50"/>
      <c r="AEZ37" s="50"/>
      <c r="AFA37" s="50"/>
      <c r="AFB37" s="50"/>
      <c r="AFC37" s="50"/>
      <c r="AFD37" s="50"/>
      <c r="AFE37" s="50"/>
      <c r="AFF37" s="50"/>
      <c r="AFG37" s="50"/>
      <c r="AFH37" s="50"/>
      <c r="AFI37" s="50"/>
      <c r="AFJ37" s="50"/>
      <c r="AFK37" s="50"/>
      <c r="AFL37" s="50"/>
      <c r="AFM37" s="50"/>
      <c r="AFN37" s="50"/>
      <c r="AFO37" s="50"/>
      <c r="AFP37" s="50"/>
      <c r="AFQ37" s="50"/>
      <c r="AFR37" s="50"/>
      <c r="AFS37" s="50"/>
      <c r="AFT37" s="50"/>
      <c r="AFU37" s="50"/>
      <c r="AFV37" s="50"/>
      <c r="AFW37" s="50"/>
      <c r="AFX37" s="50"/>
      <c r="AFY37" s="50"/>
      <c r="AFZ37" s="50"/>
      <c r="AGA37" s="50"/>
      <c r="AGB37" s="50"/>
      <c r="AGC37" s="50"/>
      <c r="AGD37" s="50"/>
      <c r="AGE37" s="50"/>
      <c r="AGF37" s="50"/>
      <c r="AGG37" s="50"/>
      <c r="AGH37" s="50"/>
      <c r="AGI37" s="50"/>
      <c r="AGJ37" s="50"/>
      <c r="AGK37" s="50"/>
      <c r="AGL37" s="50"/>
      <c r="AGM37" s="50"/>
      <c r="AGN37" s="50"/>
      <c r="AGO37" s="50"/>
      <c r="AGP37" s="50"/>
      <c r="AGQ37" s="50"/>
      <c r="AGR37" s="50"/>
      <c r="AGS37" s="50"/>
      <c r="AGT37" s="50"/>
      <c r="AGU37" s="50"/>
      <c r="AGV37" s="50"/>
      <c r="AGW37" s="50"/>
      <c r="AGX37" s="50"/>
      <c r="AGY37" s="50"/>
      <c r="AGZ37" s="50"/>
      <c r="AHA37" s="50"/>
      <c r="AHB37" s="50"/>
      <c r="AHC37" s="50"/>
      <c r="AHD37" s="50"/>
      <c r="AHE37" s="50"/>
      <c r="AHF37" s="50"/>
      <c r="AHG37" s="50"/>
      <c r="AHH37" s="50"/>
      <c r="AHI37" s="50"/>
      <c r="AHJ37" s="50"/>
      <c r="AHK37" s="50"/>
      <c r="AHL37" s="50"/>
      <c r="AHM37" s="50"/>
      <c r="AHN37" s="50"/>
      <c r="AHO37" s="50"/>
      <c r="AHP37" s="50"/>
      <c r="AHQ37" s="50"/>
      <c r="AHR37" s="50"/>
      <c r="AHS37" s="50"/>
      <c r="AHT37" s="50"/>
      <c r="AHU37" s="50"/>
      <c r="AHV37" s="50"/>
      <c r="AHW37" s="50"/>
      <c r="AHX37" s="50"/>
      <c r="AHY37" s="50"/>
      <c r="AHZ37" s="50"/>
      <c r="AIA37" s="50"/>
      <c r="AIB37" s="50"/>
      <c r="AIC37" s="50"/>
      <c r="AID37" s="50"/>
      <c r="AIE37" s="50"/>
      <c r="AIF37" s="50"/>
      <c r="AIG37" s="50"/>
      <c r="AIH37" s="50"/>
      <c r="AII37" s="50"/>
      <c r="AIJ37" s="50"/>
      <c r="AIK37" s="50"/>
      <c r="AIL37" s="50"/>
      <c r="AIM37" s="50"/>
      <c r="AIN37" s="50"/>
      <c r="AIO37" s="50"/>
      <c r="AIP37" s="50"/>
      <c r="AIQ37" s="50"/>
      <c r="AIR37" s="50"/>
      <c r="AIS37" s="50"/>
      <c r="AIT37" s="50"/>
      <c r="AIU37" s="50"/>
      <c r="AIV37" s="50"/>
      <c r="AIW37" s="50"/>
      <c r="AIX37" s="50"/>
      <c r="AIY37" s="50"/>
      <c r="AIZ37" s="50"/>
      <c r="AJA37" s="50"/>
      <c r="AJB37" s="50"/>
      <c r="AJC37" s="50"/>
      <c r="AJD37" s="50"/>
      <c r="AJE37" s="50"/>
      <c r="AJF37" s="50"/>
      <c r="AJG37" s="50"/>
      <c r="AJH37" s="50"/>
      <c r="AJI37" s="50"/>
      <c r="AJJ37" s="50"/>
      <c r="AJK37" s="50"/>
      <c r="AJL37" s="50"/>
      <c r="AJM37" s="50"/>
      <c r="AJN37" s="50"/>
      <c r="AJO37" s="50"/>
      <c r="AJP37" s="50"/>
      <c r="AJQ37" s="50"/>
      <c r="AJR37" s="50"/>
      <c r="AJS37" s="50"/>
      <c r="AJT37" s="50"/>
      <c r="AJU37" s="50"/>
      <c r="AJV37" s="50"/>
      <c r="AJW37" s="50"/>
      <c r="AJX37" s="50"/>
      <c r="AJY37" s="50"/>
      <c r="AJZ37" s="50"/>
      <c r="AKA37" s="50"/>
      <c r="AKB37" s="50"/>
      <c r="AKC37" s="50"/>
      <c r="AKD37" s="50"/>
      <c r="AKE37" s="50"/>
      <c r="AKF37" s="50"/>
      <c r="AKG37" s="50"/>
      <c r="AKH37" s="50"/>
      <c r="AKI37" s="50"/>
      <c r="AKJ37" s="50"/>
      <c r="AKK37" s="50"/>
      <c r="AKL37" s="50"/>
      <c r="AKM37" s="50"/>
      <c r="AKN37" s="50"/>
      <c r="AKO37" s="50"/>
      <c r="AKP37" s="50"/>
      <c r="AKQ37" s="50"/>
      <c r="AKR37" s="50"/>
      <c r="AKS37" s="50"/>
      <c r="AKT37" s="50"/>
      <c r="AKU37" s="50"/>
      <c r="AKV37" s="50"/>
      <c r="AKW37" s="50"/>
      <c r="AKX37" s="50"/>
      <c r="AKY37" s="50"/>
      <c r="AKZ37" s="50"/>
      <c r="ALA37" s="50"/>
      <c r="ALB37" s="50"/>
      <c r="ALC37" s="50"/>
      <c r="ALD37" s="50"/>
      <c r="ALE37" s="50"/>
      <c r="ALF37" s="50"/>
      <c r="ALG37" s="50"/>
      <c r="ALH37" s="50"/>
      <c r="ALI37" s="50"/>
      <c r="ALJ37" s="50"/>
      <c r="ALK37" s="50"/>
      <c r="ALL37" s="50"/>
      <c r="ALM37" s="50"/>
      <c r="ALN37" s="50"/>
      <c r="ALO37" s="50"/>
      <c r="ALP37" s="50"/>
      <c r="ALQ37" s="50"/>
      <c r="ALR37" s="50"/>
      <c r="ALS37" s="50"/>
      <c r="ALT37" s="50"/>
      <c r="ALU37" s="50"/>
      <c r="ALV37" s="50"/>
      <c r="ALW37" s="50"/>
      <c r="ALX37" s="50"/>
      <c r="ALY37" s="50"/>
      <c r="ALZ37" s="50"/>
      <c r="AMA37" s="50"/>
      <c r="AMB37" s="50"/>
      <c r="AMC37" s="50"/>
      <c r="AMD37" s="50"/>
      <c r="AME37" s="50"/>
      <c r="AMF37" s="50"/>
      <c r="AMG37" s="50"/>
      <c r="AMH37" s="50"/>
      <c r="AMI37" s="50"/>
      <c r="AMJ37" s="50"/>
      <c r="AMK37" s="50"/>
    </row>
    <row r="38" spans="1:1025" ht="15.75" customHeight="1" x14ac:dyDescent="0.25">
      <c r="A38" s="14" t="s">
        <v>130</v>
      </c>
      <c r="B38" s="28" t="s">
        <v>818</v>
      </c>
      <c r="C38" s="28" t="s">
        <v>1200</v>
      </c>
      <c r="D38" s="17"/>
      <c r="E38" s="90" t="s">
        <v>132</v>
      </c>
      <c r="F38" s="19"/>
      <c r="G38" s="20" t="s">
        <v>131</v>
      </c>
      <c r="H38" s="32" t="s">
        <v>132</v>
      </c>
      <c r="I38" s="25" t="s">
        <v>1201</v>
      </c>
      <c r="J38" s="30" t="s">
        <v>1201</v>
      </c>
      <c r="K38" s="25"/>
      <c r="L38" s="25" t="s">
        <v>1202</v>
      </c>
      <c r="M38" s="25"/>
      <c r="N38" s="25"/>
      <c r="O38" s="25"/>
      <c r="P38" s="25"/>
      <c r="Q38" s="25"/>
      <c r="R38" s="25"/>
      <c r="S38" s="25"/>
      <c r="T38" s="25"/>
      <c r="U38" s="25"/>
      <c r="V38" s="25"/>
      <c r="W38" s="25"/>
      <c r="X38" s="25"/>
      <c r="Y38" s="25"/>
      <c r="Z38" s="25"/>
      <c r="AA38" s="25"/>
      <c r="AB38" s="25"/>
      <c r="AC38" s="25"/>
      <c r="AD38" s="25"/>
      <c r="AE38" s="25"/>
      <c r="AF38" s="25"/>
      <c r="AG38" s="25"/>
      <c r="AH38" s="25"/>
      <c r="AI38" s="25"/>
      <c r="AJ38" s="25"/>
    </row>
    <row r="39" spans="1:1025" ht="15.75" customHeight="1" x14ac:dyDescent="0.25">
      <c r="A39" s="14" t="s">
        <v>133</v>
      </c>
      <c r="B39" s="28">
        <v>600688</v>
      </c>
      <c r="C39" s="28" t="s">
        <v>1203</v>
      </c>
      <c r="D39" s="17" t="s">
        <v>1204</v>
      </c>
      <c r="E39" s="18"/>
      <c r="F39" s="19"/>
      <c r="G39" s="20" t="s">
        <v>134</v>
      </c>
      <c r="H39" s="32" t="s">
        <v>135</v>
      </c>
      <c r="I39" s="25"/>
      <c r="J39" s="30" t="s">
        <v>1205</v>
      </c>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row>
    <row r="40" spans="1:1025" ht="15.75" customHeight="1" x14ac:dyDescent="0.25">
      <c r="A40" s="14" t="s">
        <v>136</v>
      </c>
      <c r="B40" s="42" t="s">
        <v>1122</v>
      </c>
      <c r="C40" s="28" t="s">
        <v>1206</v>
      </c>
      <c r="D40" s="17" t="s">
        <v>1207</v>
      </c>
      <c r="E40" s="90" t="s">
        <v>1059</v>
      </c>
      <c r="F40" s="19"/>
      <c r="G40" s="20" t="s">
        <v>137</v>
      </c>
      <c r="H40" s="32" t="s">
        <v>138</v>
      </c>
      <c r="I40" s="25" t="s">
        <v>1208</v>
      </c>
      <c r="J40" s="30" t="s">
        <v>1205</v>
      </c>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5"/>
    </row>
    <row r="41" spans="1:1025" ht="15.75" customHeight="1" x14ac:dyDescent="0.25">
      <c r="A41" s="14" t="s">
        <v>140</v>
      </c>
      <c r="B41" s="42" t="s">
        <v>1122</v>
      </c>
      <c r="C41" s="28" t="s">
        <v>1206</v>
      </c>
      <c r="D41" s="17" t="s">
        <v>1207</v>
      </c>
      <c r="E41" s="90" t="s">
        <v>918</v>
      </c>
      <c r="F41" s="105" t="s">
        <v>1209</v>
      </c>
      <c r="G41" s="20" t="s">
        <v>142</v>
      </c>
      <c r="H41" s="32" t="s">
        <v>141</v>
      </c>
      <c r="I41" s="25" t="s">
        <v>1210</v>
      </c>
      <c r="J41" s="30" t="s">
        <v>1210</v>
      </c>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row>
    <row r="42" spans="1:1025" ht="15.75" customHeight="1" x14ac:dyDescent="0.25">
      <c r="A42" s="14" t="s">
        <v>144</v>
      </c>
      <c r="B42" s="28" t="s">
        <v>1211</v>
      </c>
      <c r="C42" s="28" t="s">
        <v>851</v>
      </c>
      <c r="D42" s="17" t="s">
        <v>1061</v>
      </c>
      <c r="E42" s="90" t="s">
        <v>145</v>
      </c>
      <c r="F42" s="19"/>
      <c r="G42" s="20" t="s">
        <v>146</v>
      </c>
      <c r="H42" s="32" t="s">
        <v>147</v>
      </c>
      <c r="I42" s="25" t="s">
        <v>1212</v>
      </c>
      <c r="J42" s="30"/>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row>
    <row r="43" spans="1:1025" ht="15.75" customHeight="1" x14ac:dyDescent="0.25">
      <c r="A43" s="14" t="s">
        <v>148</v>
      </c>
      <c r="B43" s="28" t="s">
        <v>1013</v>
      </c>
      <c r="C43" s="28" t="s">
        <v>1014</v>
      </c>
      <c r="D43" s="17" t="s">
        <v>1015</v>
      </c>
      <c r="E43" s="90" t="s">
        <v>1213</v>
      </c>
      <c r="F43" s="19"/>
      <c r="G43" s="20" t="s">
        <v>149</v>
      </c>
      <c r="H43" s="32" t="s">
        <v>150</v>
      </c>
      <c r="I43" s="25"/>
      <c r="J43" s="30"/>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5"/>
    </row>
    <row r="44" spans="1:1025" ht="15.75" customHeight="1" x14ac:dyDescent="0.25">
      <c r="A44" s="14" t="s">
        <v>151</v>
      </c>
      <c r="B44" s="28" t="s">
        <v>1214</v>
      </c>
      <c r="C44" s="28" t="s">
        <v>1215</v>
      </c>
      <c r="D44" s="52" t="s">
        <v>1216</v>
      </c>
      <c r="E44" s="90" t="s">
        <v>153</v>
      </c>
      <c r="F44" s="19"/>
      <c r="G44" s="20" t="s">
        <v>152</v>
      </c>
      <c r="H44" s="32" t="s">
        <v>153</v>
      </c>
      <c r="I44" s="25" t="s">
        <v>1217</v>
      </c>
      <c r="J44" s="30" t="s">
        <v>1217</v>
      </c>
      <c r="K44" s="25"/>
      <c r="L44" s="34"/>
      <c r="M44" s="25"/>
      <c r="N44" s="25"/>
      <c r="O44" s="25"/>
      <c r="P44" s="25"/>
      <c r="Q44" s="25"/>
      <c r="R44" s="25"/>
      <c r="S44" s="25"/>
      <c r="T44" s="25"/>
      <c r="U44" s="25"/>
      <c r="V44" s="25"/>
      <c r="W44" s="25"/>
      <c r="X44" s="25"/>
      <c r="Y44" s="25"/>
      <c r="Z44" s="25"/>
      <c r="AA44" s="25"/>
      <c r="AB44" s="25"/>
      <c r="AC44" s="25"/>
      <c r="AD44" s="25"/>
      <c r="AE44" s="25"/>
      <c r="AF44" s="25"/>
      <c r="AG44" s="53"/>
      <c r="AH44" s="53"/>
      <c r="AI44" s="53"/>
      <c r="AJ44" s="53"/>
    </row>
    <row r="45" spans="1:1025" ht="15.75" customHeight="1" x14ac:dyDescent="0.25">
      <c r="A45" s="14" t="s">
        <v>154</v>
      </c>
      <c r="B45" s="28">
        <v>3350099999</v>
      </c>
      <c r="C45" s="28" t="s">
        <v>818</v>
      </c>
      <c r="D45" s="17"/>
      <c r="E45" s="90" t="s">
        <v>156</v>
      </c>
      <c r="F45" s="19"/>
      <c r="G45" s="20" t="s">
        <v>155</v>
      </c>
      <c r="H45" s="32" t="s">
        <v>156</v>
      </c>
      <c r="I45" s="25" t="s">
        <v>1218</v>
      </c>
      <c r="J45" s="30" t="s">
        <v>1218</v>
      </c>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41" t="s">
        <v>1219</v>
      </c>
      <c r="AJ45" s="25"/>
    </row>
    <row r="46" spans="1:1025" ht="15.75" customHeight="1" x14ac:dyDescent="0.25">
      <c r="A46" s="14" t="s">
        <v>157</v>
      </c>
      <c r="B46" s="28"/>
      <c r="C46" s="28"/>
      <c r="D46" s="17" t="s">
        <v>1220</v>
      </c>
      <c r="E46" s="90" t="s">
        <v>1221</v>
      </c>
      <c r="F46" s="19"/>
      <c r="G46" s="20" t="s">
        <v>158</v>
      </c>
      <c r="H46" s="32" t="s">
        <v>159</v>
      </c>
      <c r="I46" s="25"/>
      <c r="J46" s="30"/>
      <c r="K46" s="25"/>
      <c r="L46" s="25" t="s">
        <v>1222</v>
      </c>
      <c r="M46" s="25"/>
      <c r="N46" s="25"/>
      <c r="O46" s="25"/>
      <c r="P46" s="25"/>
      <c r="Q46" s="25"/>
      <c r="R46" s="25"/>
      <c r="S46" s="25"/>
      <c r="T46" s="25"/>
      <c r="U46" s="25"/>
      <c r="V46" s="25"/>
      <c r="W46" s="25"/>
      <c r="X46" s="25"/>
      <c r="Y46" s="25"/>
      <c r="Z46" s="25"/>
      <c r="AA46" s="25"/>
      <c r="AB46" s="25"/>
      <c r="AC46" s="25"/>
      <c r="AD46" s="25"/>
      <c r="AE46" s="25"/>
      <c r="AF46" s="25"/>
      <c r="AG46" s="25"/>
      <c r="AH46" s="25"/>
      <c r="AI46" s="41" t="s">
        <v>1223</v>
      </c>
      <c r="AJ46" s="25"/>
    </row>
    <row r="47" spans="1:1025" ht="15.75" customHeight="1" x14ac:dyDescent="0.25">
      <c r="A47" s="14" t="s">
        <v>160</v>
      </c>
      <c r="B47" s="54">
        <v>9900056806314</v>
      </c>
      <c r="C47" s="43" t="s">
        <v>1224</v>
      </c>
      <c r="D47" s="17" t="s">
        <v>1225</v>
      </c>
      <c r="E47" s="90" t="s">
        <v>162</v>
      </c>
      <c r="F47" s="19"/>
      <c r="G47" s="20" t="s">
        <v>161</v>
      </c>
      <c r="H47" s="32" t="s">
        <v>162</v>
      </c>
      <c r="I47" s="25"/>
      <c r="J47" s="30" t="s">
        <v>410</v>
      </c>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38"/>
      <c r="AJ47" s="25"/>
    </row>
    <row r="48" spans="1:1025" ht="15.75" customHeight="1" x14ac:dyDescent="0.25">
      <c r="A48" s="14" t="s">
        <v>163</v>
      </c>
      <c r="B48" s="28">
        <v>84356</v>
      </c>
      <c r="C48" s="28" t="s">
        <v>1226</v>
      </c>
      <c r="D48" s="52" t="s">
        <v>1227</v>
      </c>
      <c r="E48" s="90" t="s">
        <v>1228</v>
      </c>
      <c r="F48" s="19"/>
      <c r="G48" s="20" t="s">
        <v>164</v>
      </c>
      <c r="H48" s="32" t="s">
        <v>165</v>
      </c>
      <c r="I48" s="25"/>
      <c r="J48" s="30" t="s">
        <v>1229</v>
      </c>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row>
    <row r="49" spans="1:36" ht="15.75" customHeight="1" x14ac:dyDescent="0.25">
      <c r="A49" s="14" t="s">
        <v>166</v>
      </c>
      <c r="B49" s="28" t="s">
        <v>1230</v>
      </c>
      <c r="C49" s="28" t="s">
        <v>1231</v>
      </c>
      <c r="D49" s="17" t="s">
        <v>1232</v>
      </c>
      <c r="E49" s="90" t="s">
        <v>168</v>
      </c>
      <c r="F49" s="19"/>
      <c r="G49" s="20" t="s">
        <v>167</v>
      </c>
      <c r="H49" s="32" t="s">
        <v>168</v>
      </c>
      <c r="I49" s="33" t="s">
        <v>1233</v>
      </c>
      <c r="J49" s="30" t="s">
        <v>1233</v>
      </c>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41" t="s">
        <v>1234</v>
      </c>
      <c r="AJ49" s="25"/>
    </row>
    <row r="50" spans="1:36" ht="15.75" customHeight="1" x14ac:dyDescent="0.25">
      <c r="A50" s="14" t="s">
        <v>169</v>
      </c>
      <c r="B50" s="28"/>
      <c r="C50" s="28"/>
      <c r="D50" s="17"/>
      <c r="E50" s="90" t="s">
        <v>171</v>
      </c>
      <c r="F50" s="19"/>
      <c r="G50" s="20" t="s">
        <v>170</v>
      </c>
      <c r="H50" s="32" t="s">
        <v>171</v>
      </c>
      <c r="I50" s="25"/>
      <c r="J50" s="30" t="s">
        <v>1235</v>
      </c>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row>
    <row r="51" spans="1:36" ht="15.75" customHeight="1" x14ac:dyDescent="0.25">
      <c r="A51" s="14" t="s">
        <v>172</v>
      </c>
      <c r="B51" s="28" t="s">
        <v>1122</v>
      </c>
      <c r="C51" s="55" t="s">
        <v>829</v>
      </c>
      <c r="D51" s="17" t="s">
        <v>1236</v>
      </c>
      <c r="E51" s="90" t="s">
        <v>174</v>
      </c>
      <c r="F51" s="19"/>
      <c r="G51" s="20" t="s">
        <v>173</v>
      </c>
      <c r="H51" s="32" t="s">
        <v>174</v>
      </c>
      <c r="I51" s="33"/>
      <c r="J51" s="30" t="s">
        <v>1237</v>
      </c>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row>
    <row r="52" spans="1:36" ht="15.75" customHeight="1" x14ac:dyDescent="0.25">
      <c r="A52" s="14" t="s">
        <v>175</v>
      </c>
      <c r="B52" s="28">
        <v>300225</v>
      </c>
      <c r="C52" s="28" t="s">
        <v>818</v>
      </c>
      <c r="D52" s="17"/>
      <c r="E52" s="90" t="s">
        <v>177</v>
      </c>
      <c r="F52" s="19"/>
      <c r="G52" s="20" t="s">
        <v>176</v>
      </c>
      <c r="H52" s="32" t="s">
        <v>177</v>
      </c>
      <c r="I52" s="25"/>
      <c r="J52" s="30"/>
      <c r="K52" s="25"/>
      <c r="L52" s="25"/>
      <c r="M52" s="25"/>
      <c r="N52" s="25"/>
      <c r="O52" s="25"/>
      <c r="P52" s="25"/>
      <c r="Q52" s="25"/>
      <c r="R52" s="25"/>
      <c r="S52" s="25"/>
      <c r="T52" s="25"/>
      <c r="U52" s="25"/>
      <c r="V52" s="25"/>
      <c r="W52" s="25"/>
      <c r="X52" s="25"/>
      <c r="Y52" s="25"/>
      <c r="Z52" s="25"/>
      <c r="AA52" s="25"/>
      <c r="AB52" s="25"/>
      <c r="AC52" s="25"/>
      <c r="AD52" s="25"/>
      <c r="AE52" s="25"/>
      <c r="AF52" s="25"/>
      <c r="AG52" s="25"/>
      <c r="AH52" s="25"/>
      <c r="AI52" s="25"/>
      <c r="AJ52" s="25"/>
    </row>
    <row r="53" spans="1:36" ht="15.75" customHeight="1" x14ac:dyDescent="0.25">
      <c r="A53" s="14" t="s">
        <v>178</v>
      </c>
      <c r="B53" s="28">
        <v>1193</v>
      </c>
      <c r="C53" s="28" t="s">
        <v>1238</v>
      </c>
      <c r="D53" s="17"/>
      <c r="E53" s="90" t="s">
        <v>180</v>
      </c>
      <c r="F53" s="19"/>
      <c r="G53" s="20" t="s">
        <v>179</v>
      </c>
      <c r="H53" s="32" t="s">
        <v>180</v>
      </c>
      <c r="I53" s="25"/>
      <c r="J53" s="30"/>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5"/>
    </row>
    <row r="54" spans="1:36" ht="15.75" customHeight="1" x14ac:dyDescent="0.25">
      <c r="A54" s="14" t="s">
        <v>181</v>
      </c>
      <c r="B54" s="28">
        <v>25111000</v>
      </c>
      <c r="C54" s="28" t="s">
        <v>851</v>
      </c>
      <c r="D54" s="17" t="s">
        <v>1239</v>
      </c>
      <c r="E54" s="90" t="s">
        <v>183</v>
      </c>
      <c r="F54" s="19"/>
      <c r="G54" s="20" t="s">
        <v>182</v>
      </c>
      <c r="H54" s="32" t="s">
        <v>183</v>
      </c>
      <c r="I54" s="30" t="s">
        <v>1240</v>
      </c>
      <c r="J54" s="30" t="s">
        <v>1240</v>
      </c>
      <c r="K54" s="25"/>
      <c r="L54" s="25" t="s">
        <v>1241</v>
      </c>
      <c r="M54" s="25"/>
      <c r="N54" s="25"/>
      <c r="O54" s="25"/>
      <c r="P54" s="25"/>
      <c r="Q54" s="25"/>
      <c r="R54" s="25"/>
      <c r="S54" s="25"/>
      <c r="T54" s="25"/>
      <c r="U54" s="25"/>
      <c r="V54" s="25"/>
      <c r="W54" s="25"/>
      <c r="X54" s="25"/>
      <c r="Y54" s="25"/>
      <c r="Z54" s="25"/>
      <c r="AA54" s="25"/>
      <c r="AB54" s="25"/>
      <c r="AC54" s="25"/>
      <c r="AD54" s="25"/>
      <c r="AE54" s="25"/>
      <c r="AF54" s="25"/>
      <c r="AG54" s="25"/>
      <c r="AH54" s="25"/>
      <c r="AI54" s="41" t="s">
        <v>1242</v>
      </c>
      <c r="AJ54" s="25"/>
    </row>
    <row r="55" spans="1:36" ht="15.75" customHeight="1" x14ac:dyDescent="0.25">
      <c r="A55" s="14" t="s">
        <v>184</v>
      </c>
      <c r="B55" s="28" t="s">
        <v>988</v>
      </c>
      <c r="C55" s="28" t="s">
        <v>851</v>
      </c>
      <c r="D55" s="17"/>
      <c r="E55" s="90" t="s">
        <v>186</v>
      </c>
      <c r="F55" s="19"/>
      <c r="G55" s="20" t="s">
        <v>185</v>
      </c>
      <c r="H55" s="32" t="s">
        <v>186</v>
      </c>
      <c r="I55" s="25" t="s">
        <v>1243</v>
      </c>
      <c r="J55" s="56" t="s">
        <v>1244</v>
      </c>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5"/>
    </row>
    <row r="56" spans="1:36" ht="15.75" customHeight="1" x14ac:dyDescent="0.25">
      <c r="A56" s="14" t="s">
        <v>187</v>
      </c>
      <c r="B56" s="28" t="s">
        <v>988</v>
      </c>
      <c r="C56" s="28" t="s">
        <v>851</v>
      </c>
      <c r="D56" s="17"/>
      <c r="E56" s="90" t="s">
        <v>189</v>
      </c>
      <c r="F56" s="19"/>
      <c r="G56" s="20" t="s">
        <v>188</v>
      </c>
      <c r="H56" s="32" t="s">
        <v>189</v>
      </c>
      <c r="I56" s="25" t="s">
        <v>1243</v>
      </c>
      <c r="J56" s="30" t="s">
        <v>1245</v>
      </c>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5"/>
    </row>
    <row r="57" spans="1:36" ht="15.75" customHeight="1" x14ac:dyDescent="0.25">
      <c r="A57" s="14" t="s">
        <v>190</v>
      </c>
      <c r="B57" s="28" t="s">
        <v>988</v>
      </c>
      <c r="C57" s="28" t="s">
        <v>1089</v>
      </c>
      <c r="D57" s="17"/>
      <c r="E57" s="90" t="s">
        <v>192</v>
      </c>
      <c r="F57" s="19"/>
      <c r="G57" s="20" t="s">
        <v>191</v>
      </c>
      <c r="H57" s="32" t="s">
        <v>192</v>
      </c>
      <c r="I57" s="25"/>
      <c r="J57" s="56" t="s">
        <v>1246</v>
      </c>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5"/>
    </row>
    <row r="58" spans="1:36" ht="15.75" customHeight="1" x14ac:dyDescent="0.25">
      <c r="A58" s="14" t="s">
        <v>193</v>
      </c>
      <c r="B58" s="28"/>
      <c r="C58" s="28"/>
      <c r="D58" s="17"/>
      <c r="E58" s="90" t="s">
        <v>1063</v>
      </c>
      <c r="F58" s="19">
        <v>191970181</v>
      </c>
      <c r="G58" s="20" t="s">
        <v>194</v>
      </c>
      <c r="H58" s="32" t="s">
        <v>195</v>
      </c>
      <c r="I58" s="25"/>
      <c r="J58" s="30" t="s">
        <v>1247</v>
      </c>
      <c r="K58" s="25"/>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5"/>
    </row>
    <row r="59" spans="1:36" ht="15.75" customHeight="1" x14ac:dyDescent="0.25">
      <c r="A59" s="14" t="s">
        <v>196</v>
      </c>
      <c r="B59" s="28">
        <v>49237783</v>
      </c>
      <c r="C59" s="28" t="s">
        <v>1248</v>
      </c>
      <c r="D59" s="17" t="s">
        <v>1249</v>
      </c>
      <c r="E59" s="90" t="s">
        <v>1250</v>
      </c>
      <c r="F59" s="19"/>
      <c r="G59" s="20" t="s">
        <v>198</v>
      </c>
      <c r="H59" s="32" t="s">
        <v>920</v>
      </c>
      <c r="I59" s="25"/>
      <c r="J59" s="30" t="s">
        <v>1251</v>
      </c>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5"/>
    </row>
    <row r="60" spans="1:36" ht="15.75" customHeight="1" x14ac:dyDescent="0.25">
      <c r="A60" s="14" t="s">
        <v>203</v>
      </c>
      <c r="B60" s="28">
        <v>782644</v>
      </c>
      <c r="C60" s="28" t="s">
        <v>851</v>
      </c>
      <c r="D60" s="17" t="s">
        <v>1252</v>
      </c>
      <c r="E60" s="57" t="s">
        <v>1253</v>
      </c>
      <c r="F60" s="19"/>
      <c r="G60" s="20" t="s">
        <v>204</v>
      </c>
      <c r="H60" s="32" t="s">
        <v>205</v>
      </c>
      <c r="I60" s="25" t="s">
        <v>739</v>
      </c>
      <c r="J60" s="30" t="s">
        <v>1198</v>
      </c>
      <c r="K60" s="25"/>
      <c r="L60" s="25"/>
      <c r="M60" s="25"/>
      <c r="N60" s="25"/>
      <c r="O60" s="25"/>
      <c r="P60" s="25"/>
      <c r="Q60" s="25"/>
      <c r="R60" s="25"/>
      <c r="S60" s="25"/>
      <c r="T60" s="25"/>
      <c r="U60" s="25"/>
      <c r="V60" s="25"/>
      <c r="W60" s="25"/>
      <c r="X60" s="25"/>
      <c r="Y60" s="25"/>
      <c r="Z60" s="25"/>
      <c r="AA60" s="25"/>
      <c r="AB60" s="25"/>
      <c r="AC60" s="25"/>
      <c r="AD60" s="25"/>
      <c r="AE60" s="25"/>
      <c r="AF60" s="25"/>
      <c r="AG60" s="25"/>
      <c r="AH60" s="25"/>
      <c r="AI60" s="25"/>
      <c r="AJ60" s="25"/>
    </row>
    <row r="61" spans="1:36" ht="15.75" customHeight="1" x14ac:dyDescent="0.25">
      <c r="A61" s="14" t="s">
        <v>206</v>
      </c>
      <c r="B61" s="43" t="s">
        <v>1254</v>
      </c>
      <c r="C61" s="28" t="s">
        <v>978</v>
      </c>
      <c r="D61" s="17"/>
      <c r="E61" s="90" t="s">
        <v>1064</v>
      </c>
      <c r="F61" s="19"/>
      <c r="G61" s="20" t="s">
        <v>207</v>
      </c>
      <c r="H61" s="32" t="s">
        <v>208</v>
      </c>
      <c r="I61" s="25"/>
      <c r="J61" s="30" t="s">
        <v>1254</v>
      </c>
      <c r="K61" s="25"/>
      <c r="L61" s="25"/>
      <c r="M61" s="25"/>
      <c r="N61" s="25"/>
      <c r="O61" s="25"/>
      <c r="P61" s="25"/>
      <c r="Q61" s="25"/>
      <c r="R61" s="25"/>
      <c r="S61" s="25"/>
      <c r="T61" s="25"/>
      <c r="U61" s="25"/>
      <c r="V61" s="25"/>
      <c r="W61" s="25"/>
      <c r="X61" s="25"/>
      <c r="Y61" s="25"/>
      <c r="Z61" s="25"/>
      <c r="AA61" s="25"/>
      <c r="AB61" s="25"/>
      <c r="AC61" s="25"/>
      <c r="AD61" s="25"/>
      <c r="AE61" s="25"/>
      <c r="AF61" s="25"/>
      <c r="AG61" s="25"/>
      <c r="AH61" s="25"/>
      <c r="AI61" s="25"/>
      <c r="AJ61" s="25"/>
    </row>
    <row r="62" spans="1:36" ht="15.75" customHeight="1" x14ac:dyDescent="0.25">
      <c r="A62" s="14" t="s">
        <v>209</v>
      </c>
      <c r="B62" s="28" t="s">
        <v>1122</v>
      </c>
      <c r="C62" s="28" t="s">
        <v>1255</v>
      </c>
      <c r="D62" s="17"/>
      <c r="E62" s="18"/>
      <c r="F62" s="19"/>
      <c r="G62" s="20" t="s">
        <v>210</v>
      </c>
      <c r="H62" s="32" t="s">
        <v>211</v>
      </c>
      <c r="I62" s="25" t="s">
        <v>1256</v>
      </c>
      <c r="J62" s="30" t="s">
        <v>1256</v>
      </c>
      <c r="K62" s="25"/>
      <c r="L62" s="25"/>
      <c r="M62" s="25"/>
      <c r="N62" s="25"/>
      <c r="O62" s="25"/>
      <c r="P62" s="25"/>
      <c r="Q62" s="25"/>
      <c r="R62" s="25"/>
      <c r="S62" s="25"/>
      <c r="T62" s="25"/>
      <c r="U62" s="25"/>
      <c r="V62" s="25"/>
      <c r="W62" s="25"/>
      <c r="X62" s="25"/>
      <c r="Y62" s="25"/>
      <c r="Z62" s="25"/>
      <c r="AA62" s="25"/>
      <c r="AB62" s="25"/>
      <c r="AC62" s="25"/>
      <c r="AD62" s="25"/>
      <c r="AE62" s="25"/>
      <c r="AF62" s="25"/>
      <c r="AG62" s="25"/>
      <c r="AH62" s="25"/>
      <c r="AI62" s="25"/>
      <c r="AJ62" s="25"/>
    </row>
    <row r="63" spans="1:36" ht="15.75" customHeight="1" x14ac:dyDescent="0.25">
      <c r="A63" s="14" t="s">
        <v>212</v>
      </c>
      <c r="B63" s="28"/>
      <c r="C63" s="28"/>
      <c r="D63" s="17"/>
      <c r="E63" s="90" t="s">
        <v>214</v>
      </c>
      <c r="F63" s="19"/>
      <c r="G63" s="20" t="s">
        <v>213</v>
      </c>
      <c r="H63" s="32" t="s">
        <v>214</v>
      </c>
      <c r="I63" s="25"/>
      <c r="J63" s="30" t="s">
        <v>1257</v>
      </c>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5"/>
      <c r="AJ63" s="25"/>
    </row>
    <row r="64" spans="1:36" ht="15.75" customHeight="1" x14ac:dyDescent="0.25">
      <c r="A64" s="14" t="s">
        <v>215</v>
      </c>
      <c r="B64" s="28" t="s">
        <v>977</v>
      </c>
      <c r="C64" s="28" t="s">
        <v>1258</v>
      </c>
      <c r="D64" s="17"/>
      <c r="E64" s="90" t="s">
        <v>217</v>
      </c>
      <c r="F64" s="19"/>
      <c r="G64" s="20" t="s">
        <v>216</v>
      </c>
      <c r="H64" s="32" t="s">
        <v>217</v>
      </c>
      <c r="I64" s="25"/>
      <c r="J64" s="30"/>
      <c r="K64" s="25"/>
      <c r="L64" s="25"/>
      <c r="M64" s="25"/>
      <c r="N64" s="25"/>
      <c r="O64" s="25"/>
      <c r="P64" s="25"/>
      <c r="Q64" s="25"/>
      <c r="R64" s="25"/>
      <c r="S64" s="25"/>
      <c r="T64" s="25"/>
      <c r="U64" s="25"/>
      <c r="V64" s="25"/>
      <c r="W64" s="25"/>
      <c r="X64" s="25"/>
      <c r="Y64" s="25"/>
      <c r="Z64" s="25"/>
      <c r="AA64" s="25"/>
      <c r="AB64" s="25"/>
      <c r="AC64" s="25"/>
      <c r="AD64" s="25"/>
      <c r="AE64" s="25"/>
      <c r="AF64" s="25"/>
      <c r="AG64" s="25"/>
      <c r="AH64" s="25"/>
      <c r="AI64" s="25"/>
      <c r="AJ64" s="25"/>
    </row>
    <row r="65" spans="1:36" ht="15.75" customHeight="1" x14ac:dyDescent="0.25">
      <c r="A65" s="14" t="s">
        <v>218</v>
      </c>
      <c r="B65" s="28"/>
      <c r="C65" s="28"/>
      <c r="D65" s="17"/>
      <c r="E65" s="90" t="s">
        <v>220</v>
      </c>
      <c r="F65" s="19"/>
      <c r="G65" s="20" t="s">
        <v>219</v>
      </c>
      <c r="H65" s="32" t="s">
        <v>220</v>
      </c>
      <c r="I65" s="25"/>
      <c r="J65" s="30"/>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41" t="s">
        <v>1259</v>
      </c>
      <c r="AJ65" s="25"/>
    </row>
    <row r="66" spans="1:36" ht="15.75" customHeight="1" x14ac:dyDescent="0.25">
      <c r="A66" s="14" t="s">
        <v>221</v>
      </c>
      <c r="B66" s="28">
        <v>47502</v>
      </c>
      <c r="C66" s="28" t="s">
        <v>818</v>
      </c>
      <c r="D66" s="17"/>
      <c r="E66" s="90" t="s">
        <v>223</v>
      </c>
      <c r="F66" s="19"/>
      <c r="G66" s="20" t="s">
        <v>222</v>
      </c>
      <c r="H66" s="32" t="s">
        <v>223</v>
      </c>
      <c r="I66" s="33" t="s">
        <v>1260</v>
      </c>
      <c r="J66" s="58" t="s">
        <v>1260</v>
      </c>
      <c r="K66" s="25"/>
      <c r="L66" s="56" t="s">
        <v>1261</v>
      </c>
      <c r="M66" s="33"/>
      <c r="N66" s="25"/>
      <c r="O66" s="25"/>
      <c r="P66" s="25"/>
      <c r="Q66" s="25"/>
      <c r="R66" s="25"/>
      <c r="S66" s="25"/>
      <c r="T66" s="25"/>
      <c r="U66" s="25"/>
      <c r="V66" s="25"/>
      <c r="W66" s="25"/>
      <c r="X66" s="25"/>
      <c r="Y66" s="25"/>
      <c r="Z66" s="25"/>
      <c r="AA66" s="25"/>
      <c r="AB66" s="25"/>
      <c r="AC66" s="25"/>
      <c r="AD66" s="25"/>
      <c r="AE66" s="25"/>
      <c r="AF66" s="25" t="s">
        <v>1262</v>
      </c>
      <c r="AG66" s="25"/>
      <c r="AH66" s="25"/>
      <c r="AI66" s="41" t="s">
        <v>1263</v>
      </c>
      <c r="AJ66" s="25"/>
    </row>
    <row r="67" spans="1:36" ht="15.75" customHeight="1" x14ac:dyDescent="0.25">
      <c r="A67" s="14" t="s">
        <v>224</v>
      </c>
      <c r="B67" s="35"/>
      <c r="C67" s="35"/>
      <c r="D67" s="17"/>
      <c r="E67" s="90" t="s">
        <v>1264</v>
      </c>
      <c r="F67" s="19"/>
      <c r="G67" s="20" t="s">
        <v>225</v>
      </c>
      <c r="H67" s="29" t="s">
        <v>226</v>
      </c>
      <c r="I67" s="59"/>
      <c r="J67" s="30" t="s">
        <v>1265</v>
      </c>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5"/>
    </row>
    <row r="68" spans="1:36" ht="15.75" customHeight="1" x14ac:dyDescent="0.25">
      <c r="A68" s="14" t="s">
        <v>227</v>
      </c>
      <c r="B68" s="28"/>
      <c r="C68" s="28"/>
      <c r="D68" s="17"/>
      <c r="E68" s="90" t="s">
        <v>229</v>
      </c>
      <c r="F68" s="19"/>
      <c r="G68" s="20" t="s">
        <v>228</v>
      </c>
      <c r="H68" s="32" t="s">
        <v>229</v>
      </c>
      <c r="I68" s="25"/>
      <c r="J68" s="30"/>
      <c r="K68" s="25"/>
      <c r="L68" s="25"/>
      <c r="M68" s="25"/>
      <c r="N68" s="25"/>
      <c r="O68" s="25"/>
      <c r="P68" s="25"/>
      <c r="Q68" s="25"/>
      <c r="R68" s="25"/>
      <c r="S68" s="25"/>
      <c r="T68" s="25"/>
      <c r="U68" s="25"/>
      <c r="V68" s="25"/>
      <c r="W68" s="25"/>
      <c r="X68" s="25"/>
      <c r="Y68" s="25"/>
      <c r="Z68" s="25"/>
      <c r="AA68" s="25"/>
      <c r="AB68" s="25"/>
      <c r="AC68" s="25"/>
      <c r="AD68" s="25"/>
      <c r="AE68" s="25"/>
      <c r="AF68" s="25"/>
      <c r="AG68" s="25"/>
      <c r="AH68" s="25"/>
      <c r="AI68" s="41" t="s">
        <v>1266</v>
      </c>
      <c r="AJ68" s="25"/>
    </row>
    <row r="69" spans="1:36" ht="15.75" customHeight="1" x14ac:dyDescent="0.25">
      <c r="A69" s="14" t="s">
        <v>230</v>
      </c>
      <c r="B69" s="28" t="s">
        <v>1267</v>
      </c>
      <c r="C69" s="28" t="s">
        <v>1268</v>
      </c>
      <c r="D69" s="17"/>
      <c r="E69" s="90" t="s">
        <v>1269</v>
      </c>
      <c r="F69" s="19"/>
      <c r="G69" s="20" t="s">
        <v>231</v>
      </c>
      <c r="H69" s="32" t="s">
        <v>232</v>
      </c>
      <c r="I69" s="60" t="s">
        <v>1270</v>
      </c>
      <c r="J69" s="30" t="s">
        <v>1270</v>
      </c>
      <c r="K69" s="25"/>
      <c r="L69" s="25"/>
      <c r="M69" s="25"/>
      <c r="N69" s="25"/>
      <c r="O69" s="25"/>
      <c r="P69" s="25"/>
      <c r="Q69" s="25"/>
      <c r="R69" s="25"/>
      <c r="S69" s="25"/>
      <c r="T69" s="25"/>
      <c r="U69" s="25"/>
      <c r="V69" s="25"/>
      <c r="W69" s="25"/>
      <c r="X69" s="25"/>
      <c r="Y69" s="25"/>
      <c r="Z69" s="25"/>
      <c r="AA69" s="25"/>
      <c r="AB69" s="25"/>
      <c r="AC69" s="25"/>
      <c r="AD69" s="25"/>
      <c r="AE69" s="25"/>
      <c r="AF69" s="25"/>
      <c r="AG69" s="25"/>
      <c r="AH69" s="25"/>
      <c r="AI69" s="25"/>
      <c r="AJ69" s="25"/>
    </row>
    <row r="70" spans="1:36" ht="15.75" customHeight="1" x14ac:dyDescent="0.25">
      <c r="A70" s="14"/>
      <c r="B70" s="28" t="s">
        <v>818</v>
      </c>
      <c r="C70" s="111" t="s">
        <v>1271</v>
      </c>
      <c r="D70" s="17"/>
      <c r="E70" s="18"/>
      <c r="F70" s="19"/>
      <c r="G70" s="20"/>
      <c r="H70" s="32" t="s">
        <v>233</v>
      </c>
      <c r="I70" s="60" t="s">
        <v>1113</v>
      </c>
      <c r="J70" s="30" t="s">
        <v>1272</v>
      </c>
      <c r="K70" s="25"/>
      <c r="L70" s="25"/>
      <c r="M70" s="25"/>
      <c r="N70" s="25"/>
      <c r="O70" s="25"/>
      <c r="P70" s="25"/>
      <c r="Q70" s="25"/>
      <c r="R70" s="25"/>
      <c r="S70" s="25"/>
      <c r="T70" s="25"/>
      <c r="U70" s="25"/>
      <c r="V70" s="25"/>
      <c r="W70" s="25"/>
      <c r="X70" s="25"/>
      <c r="Y70" s="25"/>
      <c r="Z70" s="25"/>
      <c r="AA70" s="25"/>
      <c r="AB70" s="25"/>
      <c r="AC70" s="25"/>
      <c r="AD70" s="25"/>
      <c r="AE70" s="25"/>
      <c r="AF70" s="25"/>
      <c r="AG70" s="25"/>
      <c r="AH70" s="25"/>
      <c r="AI70" s="25"/>
      <c r="AJ70" s="25"/>
    </row>
    <row r="71" spans="1:36" ht="15.75" customHeight="1" x14ac:dyDescent="0.25">
      <c r="A71" s="14" t="s">
        <v>234</v>
      </c>
      <c r="B71" s="28" t="s">
        <v>818</v>
      </c>
      <c r="C71" s="111" t="s">
        <v>1271</v>
      </c>
      <c r="D71" s="17"/>
      <c r="E71" s="90" t="s">
        <v>925</v>
      </c>
      <c r="F71" s="19"/>
      <c r="G71" s="20" t="s">
        <v>235</v>
      </c>
      <c r="H71" s="32" t="s">
        <v>236</v>
      </c>
      <c r="I71" s="25" t="s">
        <v>1273</v>
      </c>
      <c r="J71" s="30" t="s">
        <v>1274</v>
      </c>
      <c r="K71" s="25"/>
      <c r="L71" s="25"/>
      <c r="M71" s="25"/>
      <c r="N71" s="25"/>
      <c r="O71" s="25"/>
      <c r="P71" s="25"/>
      <c r="Q71" s="25"/>
      <c r="R71" s="25"/>
      <c r="S71" s="25"/>
      <c r="T71" s="25"/>
      <c r="U71" s="25"/>
      <c r="V71" s="25"/>
      <c r="W71" s="25"/>
      <c r="X71" s="25"/>
      <c r="Y71" s="25"/>
      <c r="Z71" s="25"/>
      <c r="AA71" s="25"/>
      <c r="AB71" s="25"/>
      <c r="AC71" s="25"/>
      <c r="AD71" s="25"/>
      <c r="AE71" s="25"/>
      <c r="AF71" s="25"/>
      <c r="AG71" s="25"/>
      <c r="AH71" s="25"/>
      <c r="AI71" s="25"/>
      <c r="AJ71" s="25"/>
    </row>
    <row r="72" spans="1:36" ht="15.75" customHeight="1" x14ac:dyDescent="0.25">
      <c r="A72" s="14" t="s">
        <v>237</v>
      </c>
      <c r="B72" s="28" t="s">
        <v>818</v>
      </c>
      <c r="C72" s="111" t="s">
        <v>876</v>
      </c>
      <c r="D72" s="17" t="s">
        <v>1275</v>
      </c>
      <c r="E72" s="90" t="s">
        <v>931</v>
      </c>
      <c r="F72" s="19"/>
      <c r="G72" s="20" t="s">
        <v>238</v>
      </c>
      <c r="H72" s="32" t="s">
        <v>239</v>
      </c>
      <c r="I72" s="25" t="s">
        <v>1113</v>
      </c>
      <c r="J72" s="30" t="s">
        <v>1272</v>
      </c>
      <c r="K72" s="25"/>
      <c r="L72" s="61"/>
      <c r="M72" s="61"/>
      <c r="N72" s="25"/>
      <c r="O72" s="25" t="s">
        <v>1276</v>
      </c>
      <c r="P72" s="62" t="s">
        <v>1277</v>
      </c>
      <c r="Q72" s="62" t="s">
        <v>1278</v>
      </c>
      <c r="R72" s="62" t="s">
        <v>1279</v>
      </c>
      <c r="S72" s="25"/>
      <c r="T72" s="25"/>
      <c r="U72" s="25"/>
      <c r="V72" s="62" t="s">
        <v>1280</v>
      </c>
      <c r="W72" s="25" t="s">
        <v>1281</v>
      </c>
      <c r="X72" s="25"/>
      <c r="Y72" s="62" t="s">
        <v>1282</v>
      </c>
      <c r="Z72" s="25" t="s">
        <v>1283</v>
      </c>
      <c r="AA72" s="25" t="s">
        <v>1284</v>
      </c>
      <c r="AB72" s="25"/>
      <c r="AC72" s="25"/>
      <c r="AD72" s="25"/>
      <c r="AE72" s="25"/>
      <c r="AF72" s="25" t="s">
        <v>1285</v>
      </c>
      <c r="AG72" s="53"/>
      <c r="AH72" s="53"/>
      <c r="AI72" s="33" t="s">
        <v>1286</v>
      </c>
      <c r="AJ72" s="33"/>
    </row>
    <row r="73" spans="1:36" ht="15.75" customHeight="1" x14ac:dyDescent="0.25">
      <c r="A73" s="14" t="s">
        <v>240</v>
      </c>
      <c r="B73" s="28"/>
      <c r="C73" s="28"/>
      <c r="D73" s="17"/>
      <c r="E73" s="90" t="s">
        <v>932</v>
      </c>
      <c r="F73" s="19"/>
      <c r="G73" s="20" t="s">
        <v>241</v>
      </c>
      <c r="H73" s="32" t="s">
        <v>242</v>
      </c>
      <c r="I73" s="25"/>
      <c r="J73" s="30">
        <v>785946</v>
      </c>
      <c r="K73" s="25"/>
      <c r="L73" s="25"/>
      <c r="M73" s="25"/>
      <c r="N73" s="25"/>
      <c r="O73" s="25"/>
      <c r="P73" s="25"/>
      <c r="Q73" s="25"/>
      <c r="R73" s="25"/>
      <c r="S73" s="25"/>
      <c r="T73" s="25"/>
      <c r="U73" s="25"/>
      <c r="V73" s="25"/>
      <c r="W73" s="25"/>
      <c r="X73" s="25"/>
      <c r="Y73" s="25"/>
      <c r="Z73" s="25" t="s">
        <v>1287</v>
      </c>
      <c r="AA73" s="25"/>
      <c r="AB73" s="25"/>
      <c r="AC73" s="25"/>
      <c r="AD73" s="25"/>
      <c r="AE73" s="25"/>
      <c r="AF73" s="25"/>
      <c r="AG73" s="53"/>
      <c r="AH73" s="53"/>
      <c r="AI73" s="53"/>
      <c r="AJ73" s="53"/>
    </row>
    <row r="74" spans="1:36" ht="15.75" customHeight="1" x14ac:dyDescent="0.25">
      <c r="A74" s="14" t="s">
        <v>243</v>
      </c>
      <c r="B74" s="28"/>
      <c r="C74" s="28"/>
      <c r="D74" s="17"/>
      <c r="E74" s="90" t="s">
        <v>933</v>
      </c>
      <c r="F74" s="19"/>
      <c r="G74" s="20" t="s">
        <v>244</v>
      </c>
      <c r="H74" s="32" t="s">
        <v>245</v>
      </c>
      <c r="I74" s="25"/>
      <c r="J74" s="30" t="s">
        <v>1288</v>
      </c>
      <c r="K74" s="25"/>
      <c r="L74" s="61"/>
      <c r="M74" s="61"/>
      <c r="N74" s="25"/>
      <c r="O74" s="25"/>
      <c r="P74" s="62" t="s">
        <v>1289</v>
      </c>
      <c r="Q74" s="62" t="s">
        <v>1290</v>
      </c>
      <c r="R74" s="25"/>
      <c r="S74" s="25"/>
      <c r="T74" s="25"/>
      <c r="U74" s="25"/>
      <c r="V74" s="25"/>
      <c r="W74" s="25"/>
      <c r="X74" s="25"/>
      <c r="Y74" s="25"/>
      <c r="Z74" s="25"/>
      <c r="AA74" s="25"/>
      <c r="AB74" s="25"/>
      <c r="AC74" s="25"/>
      <c r="AD74" s="25"/>
      <c r="AE74" s="25"/>
      <c r="AF74" s="25"/>
      <c r="AG74" s="25"/>
      <c r="AH74" s="25"/>
      <c r="AI74" s="25"/>
      <c r="AJ74" s="25"/>
    </row>
    <row r="75" spans="1:36" ht="15.75" customHeight="1" x14ac:dyDescent="0.25">
      <c r="A75" s="14" t="s">
        <v>246</v>
      </c>
      <c r="B75" s="28" t="s">
        <v>1291</v>
      </c>
      <c r="C75" s="28" t="s">
        <v>818</v>
      </c>
      <c r="D75" s="17" t="s">
        <v>1292</v>
      </c>
      <c r="E75" s="90" t="s">
        <v>1293</v>
      </c>
      <c r="F75" s="19"/>
      <c r="G75" s="20" t="s">
        <v>247</v>
      </c>
      <c r="H75" s="32" t="s">
        <v>248</v>
      </c>
      <c r="I75" s="25" t="s">
        <v>1294</v>
      </c>
      <c r="J75" s="30"/>
      <c r="K75" s="25"/>
      <c r="L75" s="25"/>
      <c r="M75" s="25"/>
      <c r="N75" s="25"/>
      <c r="O75" s="25"/>
      <c r="P75" s="25"/>
      <c r="Q75" s="25"/>
      <c r="R75" s="25"/>
      <c r="S75" s="25"/>
      <c r="T75" s="25"/>
      <c r="U75" s="25"/>
      <c r="V75" s="25"/>
      <c r="W75" s="25"/>
      <c r="X75" s="25"/>
      <c r="Y75" s="25"/>
      <c r="Z75" s="25"/>
      <c r="AA75" s="25"/>
      <c r="AB75" s="25"/>
      <c r="AC75" s="25"/>
      <c r="AD75" s="25"/>
      <c r="AE75" s="25"/>
      <c r="AF75" s="25"/>
      <c r="AG75" s="25"/>
      <c r="AH75" s="25"/>
      <c r="AI75" s="25"/>
      <c r="AJ75" s="25"/>
    </row>
    <row r="76" spans="1:36" ht="15.75" customHeight="1" x14ac:dyDescent="0.25">
      <c r="A76" s="14" t="s">
        <v>249</v>
      </c>
      <c r="B76" s="28" t="s">
        <v>1066</v>
      </c>
      <c r="C76" s="28" t="s">
        <v>1295</v>
      </c>
      <c r="D76" s="17"/>
      <c r="E76" s="90" t="s">
        <v>1293</v>
      </c>
      <c r="F76" s="19"/>
      <c r="G76" s="20" t="s">
        <v>250</v>
      </c>
      <c r="H76" s="32" t="s">
        <v>251</v>
      </c>
      <c r="I76" s="25" t="s">
        <v>1294</v>
      </c>
      <c r="J76" s="30" t="s">
        <v>1296</v>
      </c>
      <c r="K76" s="25"/>
      <c r="L76" s="60" t="s">
        <v>1297</v>
      </c>
      <c r="M76" s="25"/>
      <c r="N76" s="25"/>
      <c r="O76" s="25"/>
      <c r="P76" s="25"/>
      <c r="Q76" s="25"/>
      <c r="R76" s="25"/>
      <c r="S76" s="25"/>
      <c r="T76" s="25"/>
      <c r="U76" s="25"/>
      <c r="V76" s="25"/>
      <c r="W76" s="25"/>
      <c r="X76" s="25"/>
      <c r="Y76" s="25"/>
      <c r="Z76" s="25"/>
      <c r="AA76" s="25"/>
      <c r="AB76" s="25"/>
      <c r="AC76" s="25"/>
      <c r="AD76" s="25"/>
      <c r="AE76" s="25"/>
      <c r="AF76" s="25" t="s">
        <v>1298</v>
      </c>
      <c r="AG76" s="25"/>
      <c r="AH76" s="25"/>
      <c r="AI76" s="41" t="s">
        <v>1299</v>
      </c>
      <c r="AJ76" s="25"/>
    </row>
    <row r="77" spans="1:36" ht="15.75" customHeight="1" x14ac:dyDescent="0.25">
      <c r="A77" s="14" t="s">
        <v>252</v>
      </c>
      <c r="B77" s="28" t="s">
        <v>1300</v>
      </c>
      <c r="C77" s="28" t="s">
        <v>818</v>
      </c>
      <c r="D77" s="17" t="s">
        <v>1301</v>
      </c>
      <c r="E77" s="90" t="s">
        <v>254</v>
      </c>
      <c r="F77" s="19"/>
      <c r="G77" s="20" t="s">
        <v>253</v>
      </c>
      <c r="H77" s="32" t="s">
        <v>254</v>
      </c>
      <c r="I77" s="30" t="s">
        <v>1302</v>
      </c>
      <c r="J77" s="30" t="s">
        <v>1302</v>
      </c>
      <c r="K77" s="25"/>
      <c r="L77" s="25"/>
      <c r="M77" s="25"/>
      <c r="N77" s="25"/>
      <c r="O77" s="25"/>
      <c r="P77" s="25"/>
      <c r="Q77" s="25"/>
      <c r="R77" s="25"/>
      <c r="S77" s="25"/>
      <c r="T77" s="25"/>
      <c r="U77" s="25"/>
      <c r="V77" s="25"/>
      <c r="W77" s="25"/>
      <c r="X77" s="25"/>
      <c r="Y77" s="25"/>
      <c r="Z77" s="25"/>
      <c r="AA77" s="25"/>
      <c r="AB77" s="25"/>
      <c r="AC77" s="25"/>
      <c r="AD77" s="25"/>
      <c r="AE77" s="25"/>
      <c r="AF77" s="25"/>
      <c r="AG77" s="25"/>
      <c r="AH77" s="25"/>
      <c r="AI77" s="25"/>
      <c r="AJ77" s="25"/>
    </row>
    <row r="78" spans="1:36" ht="15.75" customHeight="1" x14ac:dyDescent="0.25">
      <c r="A78" s="14" t="s">
        <v>255</v>
      </c>
      <c r="B78" s="51"/>
      <c r="C78" s="51"/>
      <c r="D78" s="17"/>
      <c r="E78" s="90" t="s">
        <v>1303</v>
      </c>
      <c r="F78" s="19"/>
      <c r="G78" s="20" t="s">
        <v>256</v>
      </c>
      <c r="H78" s="32" t="s">
        <v>257</v>
      </c>
      <c r="I78" s="25"/>
      <c r="J78" s="30" t="s">
        <v>1304</v>
      </c>
      <c r="K78" s="25"/>
      <c r="L78" s="25"/>
      <c r="M78" s="25"/>
      <c r="N78" s="25"/>
      <c r="O78" s="25"/>
      <c r="P78" s="25"/>
      <c r="Q78" s="25"/>
      <c r="R78" s="25"/>
      <c r="S78" s="25"/>
      <c r="T78" s="25"/>
      <c r="U78" s="25"/>
      <c r="V78" s="25"/>
      <c r="W78" s="25"/>
      <c r="X78" s="25"/>
      <c r="Y78" s="25"/>
      <c r="Z78" s="25"/>
      <c r="AA78" s="25"/>
      <c r="AB78" s="25"/>
      <c r="AC78" s="25"/>
      <c r="AD78" s="25"/>
      <c r="AE78" s="25"/>
      <c r="AF78" s="25"/>
      <c r="AG78" s="25"/>
      <c r="AH78" s="25"/>
      <c r="AI78" s="41" t="s">
        <v>1305</v>
      </c>
      <c r="AJ78" s="25"/>
    </row>
    <row r="79" spans="1:36" ht="15.75" customHeight="1" x14ac:dyDescent="0.25">
      <c r="A79" s="14" t="s">
        <v>258</v>
      </c>
      <c r="B79" s="28"/>
      <c r="C79" s="28" t="s">
        <v>1306</v>
      </c>
      <c r="D79" s="17"/>
      <c r="E79" s="90" t="s">
        <v>260</v>
      </c>
      <c r="F79" s="19"/>
      <c r="G79" s="20" t="s">
        <v>259</v>
      </c>
      <c r="H79" s="32" t="s">
        <v>260</v>
      </c>
      <c r="I79" s="25" t="s">
        <v>1307</v>
      </c>
      <c r="J79" s="30"/>
      <c r="K79" s="25"/>
      <c r="L79" s="25"/>
      <c r="M79" s="25"/>
      <c r="N79" s="25"/>
      <c r="O79" s="25"/>
      <c r="P79" s="25"/>
      <c r="Q79" s="25"/>
      <c r="R79" s="25"/>
      <c r="S79" s="25"/>
      <c r="T79" s="25"/>
      <c r="U79" s="25"/>
      <c r="V79" s="25"/>
      <c r="W79" s="25"/>
      <c r="X79" s="25"/>
      <c r="Y79" s="25"/>
      <c r="Z79" s="25"/>
      <c r="AA79" s="25"/>
      <c r="AB79" s="25"/>
      <c r="AC79" s="25"/>
      <c r="AD79" s="25"/>
      <c r="AE79" s="25"/>
      <c r="AF79" s="25"/>
      <c r="AG79" s="25"/>
      <c r="AH79" s="25"/>
      <c r="AI79" s="41" t="s">
        <v>1308</v>
      </c>
      <c r="AJ79" s="25"/>
    </row>
    <row r="80" spans="1:36" ht="15.75" customHeight="1" x14ac:dyDescent="0.25">
      <c r="A80" s="14" t="s">
        <v>261</v>
      </c>
      <c r="B80" s="28" t="s">
        <v>1309</v>
      </c>
      <c r="C80" s="28" t="s">
        <v>1310</v>
      </c>
      <c r="D80" s="17" t="s">
        <v>1311</v>
      </c>
      <c r="E80" s="90" t="s">
        <v>263</v>
      </c>
      <c r="F80" s="19"/>
      <c r="G80" s="20" t="s">
        <v>262</v>
      </c>
      <c r="H80" s="32" t="s">
        <v>263</v>
      </c>
      <c r="I80" s="25" t="s">
        <v>1309</v>
      </c>
      <c r="J80" s="30"/>
      <c r="K80" s="25"/>
      <c r="L80" s="25"/>
      <c r="M80" s="25"/>
      <c r="N80" s="25"/>
      <c r="O80" s="25" t="s">
        <v>1312</v>
      </c>
      <c r="P80" s="25"/>
      <c r="Q80" s="25"/>
      <c r="R80" s="25"/>
      <c r="S80" s="25"/>
      <c r="T80" s="25"/>
      <c r="U80" s="25"/>
      <c r="V80" s="25"/>
      <c r="W80" s="25"/>
      <c r="X80" s="25"/>
      <c r="Y80" s="25"/>
      <c r="Z80" s="25"/>
      <c r="AA80" s="25"/>
      <c r="AB80" s="25"/>
      <c r="AC80" s="25"/>
      <c r="AD80" s="25"/>
      <c r="AE80" s="25"/>
      <c r="AF80" s="25"/>
      <c r="AG80" s="25"/>
      <c r="AH80" s="25"/>
      <c r="AI80" s="25"/>
      <c r="AJ80" s="25"/>
    </row>
    <row r="81" spans="1:36" ht="15.75" customHeight="1" x14ac:dyDescent="0.25">
      <c r="A81" s="14" t="s">
        <v>264</v>
      </c>
      <c r="B81" s="28"/>
      <c r="C81" s="28" t="s">
        <v>1019</v>
      </c>
      <c r="D81" s="17" t="s">
        <v>1020</v>
      </c>
      <c r="E81" s="90" t="s">
        <v>266</v>
      </c>
      <c r="F81" s="19"/>
      <c r="G81" s="20" t="s">
        <v>265</v>
      </c>
      <c r="H81" s="32" t="s">
        <v>266</v>
      </c>
      <c r="I81" s="25"/>
      <c r="J81" s="30"/>
      <c r="K81" s="25"/>
      <c r="L81" s="25"/>
      <c r="M81" s="25"/>
      <c r="N81" s="25"/>
      <c r="O81" s="25"/>
      <c r="P81" s="25"/>
      <c r="Q81" s="25"/>
      <c r="R81" s="25"/>
      <c r="S81" s="25"/>
      <c r="T81" s="25"/>
      <c r="U81" s="25"/>
      <c r="V81" s="25"/>
      <c r="W81" s="25"/>
      <c r="X81" s="25"/>
      <c r="Y81" s="25"/>
      <c r="Z81" s="25"/>
      <c r="AA81" s="25"/>
      <c r="AB81" s="25"/>
      <c r="AC81" s="25"/>
      <c r="AD81" s="25"/>
      <c r="AE81" s="25"/>
      <c r="AF81" s="25"/>
      <c r="AG81" s="25"/>
      <c r="AH81" s="25"/>
      <c r="AI81" s="25"/>
      <c r="AJ81" s="25"/>
    </row>
    <row r="82" spans="1:36" ht="15.75" customHeight="1" x14ac:dyDescent="0.25">
      <c r="A82" s="14" t="s">
        <v>267</v>
      </c>
      <c r="B82" s="28">
        <v>16283</v>
      </c>
      <c r="C82" s="28" t="s">
        <v>818</v>
      </c>
      <c r="D82" s="17">
        <v>3838</v>
      </c>
      <c r="E82" s="90" t="s">
        <v>1313</v>
      </c>
      <c r="F82" s="19"/>
      <c r="G82" s="20" t="s">
        <v>268</v>
      </c>
      <c r="H82" s="32" t="s">
        <v>269</v>
      </c>
      <c r="I82" s="25"/>
      <c r="J82" s="30">
        <v>383816283</v>
      </c>
      <c r="K82" s="25"/>
      <c r="L82" s="25"/>
      <c r="M82" s="25"/>
      <c r="N82" s="25"/>
      <c r="O82" s="25"/>
      <c r="P82" s="25"/>
      <c r="Q82" s="25"/>
      <c r="R82" s="25"/>
      <c r="S82" s="25"/>
      <c r="T82" s="25"/>
      <c r="U82" s="25"/>
      <c r="V82" s="25"/>
      <c r="W82" s="25"/>
      <c r="X82" s="25"/>
      <c r="Y82" s="25"/>
      <c r="Z82" s="25"/>
      <c r="AA82" s="25"/>
      <c r="AB82" s="25"/>
      <c r="AC82" s="25"/>
      <c r="AD82" s="25"/>
      <c r="AE82" s="25"/>
      <c r="AF82" s="25"/>
      <c r="AG82" s="25"/>
      <c r="AH82" s="25"/>
      <c r="AI82" s="25"/>
      <c r="AJ82" s="25"/>
    </row>
    <row r="83" spans="1:36" ht="15.75" customHeight="1" x14ac:dyDescent="0.25">
      <c r="A83" s="14" t="s">
        <v>270</v>
      </c>
      <c r="B83" s="28">
        <v>7993201</v>
      </c>
      <c r="C83" s="28" t="s">
        <v>818</v>
      </c>
      <c r="D83" s="17">
        <v>3733</v>
      </c>
      <c r="E83" s="90" t="s">
        <v>1314</v>
      </c>
      <c r="F83" s="19"/>
      <c r="G83" s="20" t="s">
        <v>271</v>
      </c>
      <c r="H83" s="32" t="s">
        <v>269</v>
      </c>
      <c r="I83" s="25"/>
      <c r="J83" s="30">
        <v>37337993201</v>
      </c>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5"/>
      <c r="AJ83" s="25"/>
    </row>
    <row r="84" spans="1:36" ht="15.75" customHeight="1" x14ac:dyDescent="0.25">
      <c r="A84" s="14" t="s">
        <v>272</v>
      </c>
      <c r="B84" s="28" t="s">
        <v>1315</v>
      </c>
      <c r="C84" s="28" t="s">
        <v>1316</v>
      </c>
      <c r="D84" s="17">
        <v>3838</v>
      </c>
      <c r="E84" s="90" t="s">
        <v>1317</v>
      </c>
      <c r="F84" s="19"/>
      <c r="G84" s="20" t="s">
        <v>273</v>
      </c>
      <c r="H84" s="32" t="s">
        <v>269</v>
      </c>
      <c r="I84" s="25"/>
      <c r="J84" s="30">
        <v>383816284</v>
      </c>
      <c r="K84" s="25"/>
      <c r="L84" s="25"/>
      <c r="M84" s="25"/>
      <c r="N84" s="25"/>
      <c r="O84" s="25"/>
      <c r="P84" s="25"/>
      <c r="Q84" s="25"/>
      <c r="R84" s="25"/>
      <c r="S84" s="25"/>
      <c r="T84" s="25"/>
      <c r="U84" s="25"/>
      <c r="V84" s="25"/>
      <c r="W84" s="25"/>
      <c r="X84" s="25"/>
      <c r="Y84" s="25"/>
      <c r="Z84" s="25"/>
      <c r="AA84" s="25"/>
      <c r="AB84" s="25"/>
      <c r="AC84" s="25"/>
      <c r="AD84" s="25"/>
      <c r="AE84" s="25"/>
      <c r="AF84" s="25"/>
      <c r="AG84" s="53"/>
      <c r="AH84" s="53"/>
      <c r="AI84" s="53"/>
      <c r="AJ84" s="53"/>
    </row>
    <row r="85" spans="1:36" ht="15.75" customHeight="1" x14ac:dyDescent="0.25">
      <c r="A85" s="14" t="s">
        <v>274</v>
      </c>
      <c r="B85" s="28" t="s">
        <v>1318</v>
      </c>
      <c r="C85" s="28" t="s">
        <v>818</v>
      </c>
      <c r="D85" s="17">
        <v>3838</v>
      </c>
      <c r="E85" s="90" t="s">
        <v>1319</v>
      </c>
      <c r="F85" s="19"/>
      <c r="G85" s="20" t="s">
        <v>275</v>
      </c>
      <c r="H85" s="32" t="s">
        <v>269</v>
      </c>
      <c r="I85" s="25"/>
      <c r="J85" s="30">
        <v>383816286</v>
      </c>
      <c r="K85" s="25"/>
      <c r="L85" s="25"/>
      <c r="M85" s="25"/>
      <c r="N85" s="25"/>
      <c r="O85" s="25"/>
      <c r="P85" s="25"/>
      <c r="Q85" s="25"/>
      <c r="R85" s="25"/>
      <c r="S85" s="25"/>
      <c r="T85" s="25"/>
      <c r="U85" s="25"/>
      <c r="V85" s="25"/>
      <c r="W85" s="25"/>
      <c r="X85" s="25"/>
      <c r="Y85" s="25"/>
      <c r="Z85" s="25"/>
      <c r="AA85" s="25"/>
      <c r="AB85" s="25"/>
      <c r="AC85" s="25"/>
      <c r="AD85" s="25"/>
      <c r="AE85" s="25"/>
      <c r="AF85" s="25"/>
      <c r="AG85" s="53"/>
      <c r="AH85" s="53"/>
      <c r="AI85" s="53"/>
      <c r="AJ85" s="53"/>
    </row>
    <row r="86" spans="1:36" ht="15.75" customHeight="1" x14ac:dyDescent="0.25">
      <c r="A86" s="14" t="s">
        <v>276</v>
      </c>
      <c r="B86" s="28">
        <v>383818408</v>
      </c>
      <c r="C86" s="28" t="s">
        <v>1320</v>
      </c>
      <c r="D86" s="17">
        <v>3838</v>
      </c>
      <c r="E86" s="90" t="s">
        <v>1321</v>
      </c>
      <c r="F86" s="19"/>
      <c r="G86" s="20" t="s">
        <v>277</v>
      </c>
      <c r="H86" s="32" t="s">
        <v>269</v>
      </c>
      <c r="I86" s="25"/>
      <c r="J86" s="30">
        <v>383818408</v>
      </c>
      <c r="K86" s="25"/>
      <c r="L86" s="25"/>
      <c r="M86" s="25"/>
      <c r="N86" s="25"/>
      <c r="O86" s="25"/>
      <c r="P86" s="25"/>
      <c r="Q86" s="25"/>
      <c r="R86" s="25"/>
      <c r="S86" s="25"/>
      <c r="T86" s="25"/>
      <c r="U86" s="25"/>
      <c r="V86" s="25"/>
      <c r="W86" s="25"/>
      <c r="X86" s="25"/>
      <c r="Y86" s="25"/>
      <c r="Z86" s="25"/>
      <c r="AA86" s="25"/>
      <c r="AB86" s="25"/>
      <c r="AC86" s="25"/>
      <c r="AD86" s="25"/>
      <c r="AE86" s="25"/>
      <c r="AF86" s="25"/>
      <c r="AG86" s="53"/>
      <c r="AH86" s="53"/>
      <c r="AI86" s="53"/>
      <c r="AJ86" s="53"/>
    </row>
    <row r="87" spans="1:36" ht="15.75" customHeight="1" x14ac:dyDescent="0.25">
      <c r="A87" s="14" t="s">
        <v>278</v>
      </c>
      <c r="B87" s="28" t="s">
        <v>1322</v>
      </c>
      <c r="C87" s="28" t="s">
        <v>1323</v>
      </c>
      <c r="D87" s="52" t="s">
        <v>1324</v>
      </c>
      <c r="E87" s="90" t="s">
        <v>280</v>
      </c>
      <c r="F87" s="19"/>
      <c r="G87" s="20" t="s">
        <v>279</v>
      </c>
      <c r="H87" s="32" t="s">
        <v>280</v>
      </c>
      <c r="I87" s="33"/>
      <c r="J87" s="30"/>
      <c r="K87" s="25"/>
      <c r="L87" s="25"/>
      <c r="M87" s="25"/>
      <c r="N87" s="25"/>
      <c r="O87" s="25"/>
      <c r="P87" s="25"/>
      <c r="Q87" s="25"/>
      <c r="R87" s="25"/>
      <c r="S87" s="25"/>
      <c r="T87" s="25"/>
      <c r="U87" s="25"/>
      <c r="V87" s="25"/>
      <c r="W87" s="25"/>
      <c r="X87" s="25"/>
      <c r="Y87" s="25"/>
      <c r="Z87" s="25"/>
      <c r="AA87" s="25"/>
      <c r="AB87" s="25"/>
      <c r="AC87" s="25"/>
      <c r="AD87" s="25"/>
      <c r="AE87" s="25"/>
      <c r="AF87" s="25"/>
      <c r="AG87" s="53"/>
      <c r="AH87" s="53"/>
      <c r="AI87" s="53"/>
      <c r="AJ87" s="53"/>
    </row>
    <row r="88" spans="1:36" ht="15.75" customHeight="1" x14ac:dyDescent="0.25">
      <c r="A88" s="14" t="s">
        <v>281</v>
      </c>
      <c r="B88" s="28" t="s">
        <v>1325</v>
      </c>
      <c r="C88" s="28" t="s">
        <v>1323</v>
      </c>
      <c r="D88" s="17" t="s">
        <v>1326</v>
      </c>
      <c r="E88" s="90" t="s">
        <v>283</v>
      </c>
      <c r="F88" s="19"/>
      <c r="G88" s="20" t="s">
        <v>282</v>
      </c>
      <c r="H88" s="32" t="s">
        <v>283</v>
      </c>
      <c r="I88" s="33" t="s">
        <v>1327</v>
      </c>
      <c r="J88" s="30" t="s">
        <v>1327</v>
      </c>
      <c r="K88" s="25"/>
      <c r="L88" s="25"/>
      <c r="M88" s="25"/>
      <c r="N88" s="25"/>
      <c r="O88" s="25"/>
      <c r="P88" s="25"/>
      <c r="Q88" s="25"/>
      <c r="R88" s="25"/>
      <c r="S88" s="25"/>
      <c r="T88" s="25"/>
      <c r="U88" s="25"/>
      <c r="V88" s="25"/>
      <c r="W88" s="25"/>
      <c r="X88" s="25"/>
      <c r="Y88" s="25"/>
      <c r="Z88" s="25"/>
      <c r="AA88" s="25"/>
      <c r="AB88" s="25"/>
      <c r="AC88" s="25"/>
      <c r="AD88" s="25"/>
      <c r="AE88" s="25"/>
      <c r="AF88" s="25"/>
      <c r="AG88" s="53"/>
      <c r="AH88" s="53"/>
      <c r="AI88" s="53"/>
      <c r="AJ88" s="53"/>
    </row>
    <row r="89" spans="1:36" ht="15.75" customHeight="1" x14ac:dyDescent="0.25">
      <c r="A89" s="14" t="s">
        <v>284</v>
      </c>
      <c r="B89" s="63" t="s">
        <v>1328</v>
      </c>
      <c r="C89" s="28" t="s">
        <v>1328</v>
      </c>
      <c r="D89" s="17"/>
      <c r="E89" s="90" t="s">
        <v>286</v>
      </c>
      <c r="F89" s="19"/>
      <c r="G89" s="20" t="s">
        <v>285</v>
      </c>
      <c r="H89" s="32" t="s">
        <v>286</v>
      </c>
      <c r="I89" s="64"/>
      <c r="J89" s="56" t="s">
        <v>1329</v>
      </c>
      <c r="K89" s="25"/>
      <c r="L89" s="25"/>
      <c r="M89" s="25"/>
      <c r="N89" s="25"/>
      <c r="O89" s="25"/>
      <c r="P89" s="25"/>
      <c r="Q89" s="25"/>
      <c r="R89" s="25"/>
      <c r="S89" s="25"/>
      <c r="T89" s="25"/>
      <c r="U89" s="25"/>
      <c r="V89" s="25"/>
      <c r="W89" s="25"/>
      <c r="X89" s="25"/>
      <c r="Y89" s="25"/>
      <c r="Z89" s="25"/>
      <c r="AA89" s="25"/>
      <c r="AB89" s="25"/>
      <c r="AC89" s="25"/>
      <c r="AD89" s="25"/>
      <c r="AE89" s="25"/>
      <c r="AF89" s="25"/>
      <c r="AG89" s="53"/>
      <c r="AH89" s="53"/>
      <c r="AI89" s="41" t="s">
        <v>1330</v>
      </c>
      <c r="AJ89" s="25"/>
    </row>
    <row r="90" spans="1:36" ht="15.75" customHeight="1" x14ac:dyDescent="0.25">
      <c r="A90" s="14" t="s">
        <v>287</v>
      </c>
      <c r="B90" s="63"/>
      <c r="C90" s="28"/>
      <c r="D90" s="17"/>
      <c r="E90" s="90" t="s">
        <v>289</v>
      </c>
      <c r="F90" s="19"/>
      <c r="G90" s="20" t="s">
        <v>288</v>
      </c>
      <c r="H90" s="32" t="s">
        <v>289</v>
      </c>
      <c r="I90" s="64"/>
      <c r="J90" s="65" t="s">
        <v>1331</v>
      </c>
      <c r="K90" s="25"/>
      <c r="L90" s="25"/>
      <c r="M90" s="25"/>
      <c r="N90" s="25"/>
      <c r="O90" s="25"/>
      <c r="P90" s="25"/>
      <c r="Q90" s="25"/>
      <c r="R90" s="25"/>
      <c r="S90" s="25"/>
      <c r="T90" s="25"/>
      <c r="U90" s="25"/>
      <c r="V90" s="25"/>
      <c r="W90" s="25"/>
      <c r="X90" s="25"/>
      <c r="Y90" s="25"/>
      <c r="Z90" s="25"/>
      <c r="AA90" s="25"/>
      <c r="AB90" s="25"/>
      <c r="AC90" s="25"/>
      <c r="AD90" s="25"/>
      <c r="AE90" s="25"/>
      <c r="AF90" s="25"/>
      <c r="AG90" s="53"/>
      <c r="AH90" s="53"/>
      <c r="AI90" s="25"/>
      <c r="AJ90" s="25"/>
    </row>
    <row r="91" spans="1:36" ht="15.75" customHeight="1" x14ac:dyDescent="0.25">
      <c r="A91" s="14" t="s">
        <v>290</v>
      </c>
      <c r="B91" s="63"/>
      <c r="C91" s="28"/>
      <c r="D91" s="17"/>
      <c r="E91" s="90" t="s">
        <v>292</v>
      </c>
      <c r="F91" s="19"/>
      <c r="G91" s="20" t="s">
        <v>291</v>
      </c>
      <c r="H91" s="32" t="s">
        <v>292</v>
      </c>
      <c r="I91" s="66" t="s">
        <v>1332</v>
      </c>
      <c r="J91" s="67"/>
      <c r="K91" s="25"/>
      <c r="L91" s="25"/>
      <c r="M91" s="25"/>
      <c r="N91" s="25"/>
      <c r="O91" s="25"/>
      <c r="P91" s="25"/>
      <c r="Q91" s="25"/>
      <c r="R91" s="25"/>
      <c r="S91" s="25"/>
      <c r="T91" s="25"/>
      <c r="U91" s="25"/>
      <c r="V91" s="25"/>
      <c r="W91" s="25"/>
      <c r="X91" s="25"/>
      <c r="Y91" s="25"/>
      <c r="Z91" s="25"/>
      <c r="AA91" s="25"/>
      <c r="AB91" s="25"/>
      <c r="AC91" s="25"/>
      <c r="AD91" s="25"/>
      <c r="AE91" s="25"/>
      <c r="AF91" s="25"/>
      <c r="AG91" s="53"/>
      <c r="AH91" s="53"/>
      <c r="AI91" s="25"/>
      <c r="AJ91" s="25"/>
    </row>
    <row r="92" spans="1:36" ht="15.75" customHeight="1" x14ac:dyDescent="0.25">
      <c r="A92" s="14" t="s">
        <v>293</v>
      </c>
      <c r="B92" s="28"/>
      <c r="C92" s="28"/>
      <c r="D92" s="17"/>
      <c r="E92" s="90" t="s">
        <v>295</v>
      </c>
      <c r="F92" s="19"/>
      <c r="G92" s="20" t="s">
        <v>294</v>
      </c>
      <c r="H92" s="32" t="s">
        <v>295</v>
      </c>
      <c r="I92" s="66" t="s">
        <v>1333</v>
      </c>
      <c r="J92" s="56" t="s">
        <v>1333</v>
      </c>
      <c r="K92" s="25"/>
      <c r="L92" s="25"/>
      <c r="M92" s="25"/>
      <c r="N92" s="25"/>
      <c r="O92" s="25"/>
      <c r="P92" s="25"/>
      <c r="Q92" s="25"/>
      <c r="R92" s="25"/>
      <c r="S92" s="25"/>
      <c r="T92" s="25"/>
      <c r="U92" s="25"/>
      <c r="V92" s="25"/>
      <c r="W92" s="25"/>
      <c r="X92" s="25"/>
      <c r="Y92" s="25"/>
      <c r="Z92" s="25"/>
      <c r="AA92" s="25"/>
      <c r="AB92" s="25"/>
      <c r="AC92" s="25"/>
      <c r="AD92" s="25"/>
      <c r="AE92" s="25"/>
      <c r="AF92" s="25"/>
      <c r="AG92" s="53"/>
      <c r="AH92" s="53"/>
      <c r="AI92" s="33" t="s">
        <v>1334</v>
      </c>
      <c r="AJ92" s="33"/>
    </row>
    <row r="93" spans="1:36" ht="15.75" customHeight="1" x14ac:dyDescent="0.25">
      <c r="A93" s="14" t="s">
        <v>296</v>
      </c>
      <c r="B93" s="28"/>
      <c r="C93" s="28"/>
      <c r="D93" s="17"/>
      <c r="E93" s="90" t="s">
        <v>298</v>
      </c>
      <c r="F93" s="19"/>
      <c r="G93" s="20" t="s">
        <v>297</v>
      </c>
      <c r="H93" s="32" t="s">
        <v>298</v>
      </c>
      <c r="I93" s="33" t="s">
        <v>1335</v>
      </c>
      <c r="J93" s="67"/>
      <c r="K93" s="25"/>
      <c r="L93" s="25"/>
      <c r="M93" s="25"/>
      <c r="N93" s="25"/>
      <c r="O93" s="25"/>
      <c r="P93" s="25"/>
      <c r="Q93" s="25"/>
      <c r="R93" s="25"/>
      <c r="S93" s="25"/>
      <c r="T93" s="25"/>
      <c r="U93" s="25"/>
      <c r="V93" s="25"/>
      <c r="W93" s="25"/>
      <c r="X93" s="25"/>
      <c r="Y93" s="25"/>
      <c r="Z93" s="25"/>
      <c r="AA93" s="25"/>
      <c r="AB93" s="25"/>
      <c r="AC93" s="25"/>
      <c r="AD93" s="25"/>
      <c r="AE93" s="25"/>
      <c r="AF93" s="25"/>
      <c r="AG93" s="53"/>
      <c r="AH93" s="53"/>
      <c r="AI93" s="53"/>
      <c r="AJ93" s="53"/>
    </row>
    <row r="94" spans="1:36" ht="15.75" customHeight="1" x14ac:dyDescent="0.25">
      <c r="A94" s="14" t="s">
        <v>299</v>
      </c>
      <c r="B94" s="28"/>
      <c r="C94" s="28"/>
      <c r="D94" s="17"/>
      <c r="E94" s="90" t="s">
        <v>301</v>
      </c>
      <c r="F94" s="19"/>
      <c r="G94" s="20" t="s">
        <v>300</v>
      </c>
      <c r="H94" s="32" t="s">
        <v>301</v>
      </c>
      <c r="I94" s="33"/>
      <c r="J94" s="30" t="s">
        <v>1272</v>
      </c>
      <c r="K94" s="25"/>
      <c r="L94" s="25"/>
      <c r="M94" s="25"/>
      <c r="N94" s="25"/>
      <c r="O94" s="25"/>
      <c r="P94" s="25"/>
      <c r="Q94" s="25"/>
      <c r="R94" s="25"/>
      <c r="S94" s="25"/>
      <c r="T94" s="25"/>
      <c r="U94" s="25"/>
      <c r="V94" s="25"/>
      <c r="W94" s="25"/>
      <c r="X94" s="25"/>
      <c r="Y94" s="25"/>
      <c r="Z94" s="25"/>
      <c r="AA94" s="25"/>
      <c r="AB94" s="25"/>
      <c r="AC94" s="25"/>
      <c r="AD94" s="25"/>
      <c r="AE94" s="25"/>
      <c r="AF94" s="25"/>
      <c r="AG94" s="53"/>
      <c r="AH94" s="53"/>
      <c r="AI94" s="53"/>
      <c r="AJ94" s="53"/>
    </row>
    <row r="95" spans="1:36" ht="15.75" customHeight="1" x14ac:dyDescent="0.25">
      <c r="A95" s="14" t="s">
        <v>302</v>
      </c>
      <c r="B95" s="28"/>
      <c r="C95" s="28"/>
      <c r="D95" s="17" t="s">
        <v>1336</v>
      </c>
      <c r="E95" s="90" t="s">
        <v>304</v>
      </c>
      <c r="F95" s="19"/>
      <c r="G95" s="20" t="s">
        <v>303</v>
      </c>
      <c r="H95" s="32" t="s">
        <v>304</v>
      </c>
      <c r="I95" s="25"/>
      <c r="J95" s="30" t="s">
        <v>1337</v>
      </c>
      <c r="K95" s="25"/>
      <c r="L95" s="25"/>
      <c r="M95" s="25"/>
      <c r="N95" s="25"/>
      <c r="O95" s="25"/>
      <c r="P95" s="25"/>
      <c r="Q95" s="25"/>
      <c r="R95" s="25"/>
      <c r="S95" s="25"/>
      <c r="T95" s="25"/>
      <c r="U95" s="25"/>
      <c r="V95" s="25"/>
      <c r="W95" s="25"/>
      <c r="X95" s="25"/>
      <c r="Y95" s="25"/>
      <c r="Z95" s="25"/>
      <c r="AA95" s="25"/>
      <c r="AB95" s="25"/>
      <c r="AC95" s="25"/>
      <c r="AD95" s="25"/>
      <c r="AE95" s="25"/>
      <c r="AF95" s="25"/>
      <c r="AG95" s="53"/>
      <c r="AH95" s="53"/>
      <c r="AI95" s="53"/>
      <c r="AJ95" s="53"/>
    </row>
    <row r="96" spans="1:36" ht="15.75" customHeight="1" x14ac:dyDescent="0.25">
      <c r="A96" s="14" t="s">
        <v>305</v>
      </c>
      <c r="B96" s="28" t="s">
        <v>1338</v>
      </c>
      <c r="C96" s="28" t="s">
        <v>1339</v>
      </c>
      <c r="D96" s="17"/>
      <c r="E96" s="90" t="s">
        <v>307</v>
      </c>
      <c r="F96" s="19"/>
      <c r="G96" s="20" t="s">
        <v>306</v>
      </c>
      <c r="H96" s="32" t="s">
        <v>307</v>
      </c>
      <c r="I96" s="25"/>
      <c r="J96" s="30" t="s">
        <v>1338</v>
      </c>
      <c r="K96" s="25"/>
      <c r="L96" s="25"/>
      <c r="M96" s="25"/>
      <c r="N96" s="25"/>
      <c r="O96" s="25"/>
      <c r="P96" s="25"/>
      <c r="Q96" s="25"/>
      <c r="R96" s="25"/>
      <c r="S96" s="25"/>
      <c r="T96" s="25"/>
      <c r="U96" s="25"/>
      <c r="V96" s="25"/>
      <c r="W96" s="25"/>
      <c r="X96" s="25"/>
      <c r="Y96" s="25"/>
      <c r="Z96" s="25"/>
      <c r="AA96" s="25"/>
      <c r="AB96" s="25"/>
      <c r="AC96" s="25"/>
      <c r="AD96" s="25"/>
      <c r="AE96" s="25"/>
      <c r="AF96" s="25"/>
      <c r="AG96" s="53"/>
      <c r="AH96" s="53"/>
      <c r="AI96" s="53"/>
      <c r="AJ96" s="53"/>
    </row>
    <row r="97" spans="1:36" ht="15.75" customHeight="1" x14ac:dyDescent="0.25">
      <c r="A97" s="14" t="s">
        <v>308</v>
      </c>
      <c r="B97" s="28" t="s">
        <v>1340</v>
      </c>
      <c r="C97" s="28">
        <v>62589</v>
      </c>
      <c r="D97" s="17"/>
      <c r="E97" s="90" t="s">
        <v>310</v>
      </c>
      <c r="F97" s="19"/>
      <c r="G97" s="20" t="s">
        <v>309</v>
      </c>
      <c r="H97" s="32" t="s">
        <v>310</v>
      </c>
      <c r="I97" s="25"/>
      <c r="J97" s="30" t="s">
        <v>1340</v>
      </c>
      <c r="K97" s="25"/>
      <c r="L97" s="25"/>
      <c r="M97" s="38"/>
      <c r="N97" s="25"/>
      <c r="O97" s="25"/>
      <c r="P97" s="25"/>
      <c r="Q97" s="25"/>
      <c r="R97" s="25"/>
      <c r="S97" s="25"/>
      <c r="T97" s="25"/>
      <c r="U97" s="25"/>
      <c r="V97" s="25"/>
      <c r="W97" s="25"/>
      <c r="X97" s="25"/>
      <c r="Y97" s="25"/>
      <c r="Z97" s="25"/>
      <c r="AA97" s="25"/>
      <c r="AB97" s="25"/>
      <c r="AC97" s="25"/>
      <c r="AD97" s="25"/>
      <c r="AE97" s="25"/>
      <c r="AF97" s="25"/>
      <c r="AG97" s="53"/>
      <c r="AH97" s="53"/>
      <c r="AI97" s="53"/>
      <c r="AJ97" s="53"/>
    </row>
    <row r="98" spans="1:36" ht="15.75" customHeight="1" x14ac:dyDescent="0.25">
      <c r="A98" s="14" t="s">
        <v>311</v>
      </c>
      <c r="B98" s="28">
        <v>98114</v>
      </c>
      <c r="C98" s="28" t="s">
        <v>851</v>
      </c>
      <c r="D98" s="17"/>
      <c r="E98" s="90" t="s">
        <v>1341</v>
      </c>
      <c r="F98" s="19"/>
      <c r="G98" s="20" t="s">
        <v>312</v>
      </c>
      <c r="H98" s="32" t="s">
        <v>313</v>
      </c>
      <c r="I98" s="25"/>
      <c r="J98" s="30" t="s">
        <v>1342</v>
      </c>
      <c r="K98" s="25"/>
      <c r="L98" s="38" t="s">
        <v>1343</v>
      </c>
      <c r="M98" s="25"/>
      <c r="N98" s="25"/>
      <c r="O98" s="25"/>
      <c r="P98" s="25"/>
      <c r="Q98" s="25"/>
      <c r="R98" s="25"/>
      <c r="S98" s="25"/>
      <c r="T98" s="38"/>
      <c r="U98" s="25"/>
      <c r="V98" s="25"/>
      <c r="W98" s="25"/>
      <c r="X98" s="25"/>
      <c r="Y98" s="25"/>
      <c r="Z98" s="25"/>
      <c r="AA98" s="25"/>
      <c r="AB98" s="25"/>
      <c r="AC98" s="25"/>
      <c r="AD98" s="25"/>
      <c r="AE98" s="25"/>
      <c r="AF98" s="25"/>
      <c r="AG98" s="53"/>
      <c r="AH98" s="53"/>
      <c r="AI98" s="53"/>
      <c r="AJ98" s="53"/>
    </row>
    <row r="99" spans="1:36" ht="15.75" customHeight="1" x14ac:dyDescent="0.25">
      <c r="A99" s="14" t="s">
        <v>314</v>
      </c>
      <c r="B99" s="28">
        <v>98162</v>
      </c>
      <c r="C99" s="28" t="s">
        <v>851</v>
      </c>
      <c r="D99" s="17"/>
      <c r="E99" s="90" t="s">
        <v>1344</v>
      </c>
      <c r="F99" s="19"/>
      <c r="G99" s="20" t="s">
        <v>315</v>
      </c>
      <c r="H99" s="32" t="s">
        <v>316</v>
      </c>
      <c r="I99" s="25" t="s">
        <v>1345</v>
      </c>
      <c r="J99" s="30"/>
      <c r="K99" s="25"/>
      <c r="L99" s="38"/>
      <c r="M99" s="25"/>
      <c r="N99" s="25"/>
      <c r="O99" s="25"/>
      <c r="P99" s="25"/>
      <c r="Q99" s="25"/>
      <c r="R99" s="25"/>
      <c r="S99" s="25"/>
      <c r="T99" s="38"/>
      <c r="U99" s="25"/>
      <c r="V99" s="25"/>
      <c r="W99" s="25"/>
      <c r="X99" s="25"/>
      <c r="Y99" s="25"/>
      <c r="Z99" s="25"/>
      <c r="AA99" s="25"/>
      <c r="AB99" s="25"/>
      <c r="AC99" s="25"/>
      <c r="AD99" s="25"/>
      <c r="AE99" s="25"/>
      <c r="AF99" s="25"/>
      <c r="AG99" s="53"/>
      <c r="AH99" s="53"/>
      <c r="AI99" s="53"/>
      <c r="AJ99" s="53"/>
    </row>
    <row r="100" spans="1:36" ht="15.75" customHeight="1" x14ac:dyDescent="0.25">
      <c r="A100" s="14" t="s">
        <v>317</v>
      </c>
      <c r="B100" s="28">
        <v>98010</v>
      </c>
      <c r="C100" s="28" t="s">
        <v>1346</v>
      </c>
      <c r="D100" s="17"/>
      <c r="E100" s="90" t="s">
        <v>1347</v>
      </c>
      <c r="F100" s="19"/>
      <c r="G100" s="20" t="s">
        <v>318</v>
      </c>
      <c r="H100" s="32" t="s">
        <v>319</v>
      </c>
      <c r="I100" s="25"/>
      <c r="J100" s="30"/>
      <c r="K100" s="25"/>
      <c r="L100" s="25"/>
      <c r="M100" s="25"/>
      <c r="N100" s="25"/>
      <c r="O100" s="25"/>
      <c r="P100" s="25"/>
      <c r="Q100" s="25" t="s">
        <v>1348</v>
      </c>
      <c r="R100" s="25"/>
      <c r="S100" s="25"/>
      <c r="T100" s="25"/>
      <c r="U100" s="25"/>
      <c r="V100" s="25"/>
      <c r="W100" s="25"/>
      <c r="X100" s="25"/>
      <c r="Y100" s="25"/>
      <c r="Z100" s="25"/>
      <c r="AA100" s="25"/>
      <c r="AB100" s="25"/>
      <c r="AC100" s="25"/>
      <c r="AD100" s="25"/>
      <c r="AE100" s="25"/>
      <c r="AF100" s="25"/>
      <c r="AG100" s="53"/>
      <c r="AH100" s="53"/>
      <c r="AI100" s="53"/>
      <c r="AJ100" s="53"/>
    </row>
    <row r="101" spans="1:36" ht="15.75" customHeight="1" x14ac:dyDescent="0.25">
      <c r="A101" s="14" t="s">
        <v>320</v>
      </c>
      <c r="B101" s="28"/>
      <c r="C101" s="28"/>
      <c r="D101" s="17"/>
      <c r="E101" s="90" t="s">
        <v>322</v>
      </c>
      <c r="F101" s="19"/>
      <c r="G101" s="20" t="s">
        <v>321</v>
      </c>
      <c r="H101" s="32" t="s">
        <v>322</v>
      </c>
      <c r="I101" s="25"/>
      <c r="J101" s="30" t="s">
        <v>1349</v>
      </c>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53"/>
      <c r="AH101" s="53"/>
      <c r="AI101" s="53"/>
      <c r="AJ101" s="53"/>
    </row>
    <row r="102" spans="1:36" ht="15.75" customHeight="1" x14ac:dyDescent="0.25">
      <c r="A102" s="14" t="s">
        <v>323</v>
      </c>
      <c r="B102" s="28" t="s">
        <v>1350</v>
      </c>
      <c r="C102" s="28" t="s">
        <v>1351</v>
      </c>
      <c r="D102" s="17"/>
      <c r="E102" s="90" t="s">
        <v>325</v>
      </c>
      <c r="F102" s="19"/>
      <c r="G102" s="20" t="s">
        <v>324</v>
      </c>
      <c r="H102" s="32" t="s">
        <v>325</v>
      </c>
      <c r="I102" s="25"/>
      <c r="J102" s="30"/>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53"/>
      <c r="AH102" s="53"/>
      <c r="AI102" s="53"/>
      <c r="AJ102" s="53"/>
    </row>
    <row r="103" spans="1:36" ht="15.75" customHeight="1" x14ac:dyDescent="0.25">
      <c r="A103" s="14" t="s">
        <v>326</v>
      </c>
      <c r="B103" s="28" t="s">
        <v>1352</v>
      </c>
      <c r="C103" s="28" t="s">
        <v>1353</v>
      </c>
      <c r="D103" s="17"/>
      <c r="E103" s="90" t="s">
        <v>328</v>
      </c>
      <c r="F103" s="19"/>
      <c r="G103" s="20" t="s">
        <v>327</v>
      </c>
      <c r="H103" s="32" t="s">
        <v>328</v>
      </c>
      <c r="I103" s="25"/>
      <c r="J103" s="30"/>
      <c r="K103" s="25"/>
      <c r="L103" s="25"/>
      <c r="M103" s="25"/>
      <c r="N103" s="25"/>
      <c r="O103" s="25"/>
      <c r="P103" s="25"/>
      <c r="Q103" s="25"/>
      <c r="R103" s="25"/>
      <c r="S103" s="25"/>
      <c r="T103" s="25"/>
      <c r="U103" s="25"/>
      <c r="V103" s="25"/>
      <c r="W103" s="25"/>
      <c r="X103" s="25"/>
      <c r="Y103" s="25"/>
      <c r="Z103" s="25"/>
      <c r="AA103" s="25"/>
      <c r="AB103" s="25"/>
      <c r="AC103" s="25"/>
      <c r="AD103" s="25"/>
      <c r="AE103" s="25"/>
      <c r="AF103" s="25"/>
      <c r="AG103" s="53"/>
      <c r="AH103" s="53"/>
      <c r="AI103" s="53"/>
      <c r="AJ103" s="53"/>
    </row>
    <row r="104" spans="1:36" ht="15.75" customHeight="1" x14ac:dyDescent="0.25">
      <c r="A104" s="14" t="s">
        <v>329</v>
      </c>
      <c r="B104" s="28"/>
      <c r="C104" s="28" t="s">
        <v>1354</v>
      </c>
      <c r="D104" s="17"/>
      <c r="E104" s="90" t="s">
        <v>331</v>
      </c>
      <c r="F104" s="19"/>
      <c r="G104" s="20" t="s">
        <v>330</v>
      </c>
      <c r="H104" s="32" t="s">
        <v>331</v>
      </c>
      <c r="I104" s="25"/>
      <c r="J104" s="30"/>
      <c r="K104" s="25"/>
      <c r="L104" s="25"/>
      <c r="M104" s="25"/>
      <c r="N104" s="25"/>
      <c r="O104" s="25"/>
      <c r="P104" s="25"/>
      <c r="Q104" s="25"/>
      <c r="R104" s="25"/>
      <c r="S104" s="25"/>
      <c r="T104" s="25"/>
      <c r="U104" s="25"/>
      <c r="V104" s="25"/>
      <c r="W104" s="25"/>
      <c r="X104" s="25"/>
      <c r="Y104" s="25"/>
      <c r="Z104" s="25"/>
      <c r="AA104" s="25"/>
      <c r="AB104" s="25"/>
      <c r="AC104" s="25"/>
      <c r="AD104" s="25"/>
      <c r="AE104" s="25"/>
      <c r="AF104" s="25"/>
      <c r="AG104" s="53"/>
      <c r="AH104" s="53"/>
      <c r="AI104" s="53"/>
      <c r="AJ104" s="53"/>
    </row>
    <row r="105" spans="1:36" ht="15.75" customHeight="1" x14ac:dyDescent="0.25">
      <c r="A105" s="14" t="s">
        <v>335</v>
      </c>
      <c r="B105" s="28"/>
      <c r="C105" s="28"/>
      <c r="D105" s="17"/>
      <c r="E105" s="90" t="s">
        <v>1355</v>
      </c>
      <c r="F105" s="19"/>
      <c r="G105" s="20" t="s">
        <v>336</v>
      </c>
      <c r="H105" s="32" t="s">
        <v>337</v>
      </c>
      <c r="I105" s="25"/>
      <c r="J105" s="30" t="s">
        <v>1356</v>
      </c>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53"/>
      <c r="AH105" s="53"/>
      <c r="AI105" s="53"/>
      <c r="AJ105" s="53"/>
    </row>
    <row r="106" spans="1:36" ht="15.75" customHeight="1" x14ac:dyDescent="0.25">
      <c r="A106" s="14" t="s">
        <v>338</v>
      </c>
      <c r="B106" s="28" t="s">
        <v>1357</v>
      </c>
      <c r="C106" s="28" t="s">
        <v>1358</v>
      </c>
      <c r="D106" s="17"/>
      <c r="E106" s="90" t="s">
        <v>340</v>
      </c>
      <c r="F106" s="19"/>
      <c r="G106" s="20" t="s">
        <v>339</v>
      </c>
      <c r="H106" s="32" t="s">
        <v>340</v>
      </c>
      <c r="I106" s="25" t="s">
        <v>1359</v>
      </c>
      <c r="J106" s="30" t="s">
        <v>1359</v>
      </c>
      <c r="K106" s="25"/>
      <c r="L106" s="61"/>
      <c r="M106" s="61"/>
      <c r="N106" s="25"/>
      <c r="O106" s="25"/>
      <c r="P106" s="62"/>
      <c r="Q106" s="62"/>
      <c r="R106" s="25"/>
      <c r="S106" s="25"/>
      <c r="T106" s="25"/>
      <c r="U106" s="25"/>
      <c r="V106" s="25"/>
      <c r="W106" s="25"/>
      <c r="X106" s="25"/>
      <c r="Y106" s="25"/>
      <c r="Z106" s="25"/>
      <c r="AA106" s="25"/>
      <c r="AB106" s="25"/>
      <c r="AC106" s="25"/>
      <c r="AD106" s="25"/>
      <c r="AE106" s="25"/>
      <c r="AF106" s="25"/>
      <c r="AG106" s="25"/>
      <c r="AH106" s="25"/>
      <c r="AI106" s="25"/>
      <c r="AJ106" s="25"/>
    </row>
    <row r="107" spans="1:36" ht="15.75" customHeight="1" x14ac:dyDescent="0.25">
      <c r="A107" s="14" t="s">
        <v>341</v>
      </c>
      <c r="B107" s="28"/>
      <c r="C107" s="28"/>
      <c r="D107" s="17"/>
      <c r="E107" s="90" t="s">
        <v>343</v>
      </c>
      <c r="F107" s="19"/>
      <c r="G107" s="20" t="s">
        <v>342</v>
      </c>
      <c r="H107" s="32" t="s">
        <v>343</v>
      </c>
      <c r="I107" s="38" t="s">
        <v>1360</v>
      </c>
      <c r="J107" s="30"/>
      <c r="K107" s="25"/>
      <c r="L107" s="33" t="s">
        <v>1361</v>
      </c>
      <c r="M107" s="33"/>
      <c r="N107" s="25"/>
      <c r="O107" s="25"/>
      <c r="P107" s="25"/>
      <c r="Q107" s="25"/>
      <c r="R107" s="25"/>
      <c r="S107" s="25"/>
      <c r="T107" s="25"/>
      <c r="U107" s="25"/>
      <c r="V107" s="25"/>
      <c r="W107" s="25"/>
      <c r="X107" s="25"/>
      <c r="Y107" s="25"/>
      <c r="Z107" s="25"/>
      <c r="AA107" s="25"/>
      <c r="AB107" s="25"/>
      <c r="AC107" s="25"/>
      <c r="AD107" s="25"/>
      <c r="AE107" s="25"/>
      <c r="AF107" s="25"/>
      <c r="AG107" s="53"/>
      <c r="AH107" s="53"/>
      <c r="AI107" s="53"/>
      <c r="AJ107" s="53"/>
    </row>
    <row r="108" spans="1:36" ht="15.75" customHeight="1" x14ac:dyDescent="0.25">
      <c r="A108" s="14" t="s">
        <v>344</v>
      </c>
      <c r="B108" s="28"/>
      <c r="C108" s="28"/>
      <c r="D108" s="17"/>
      <c r="E108" s="90" t="s">
        <v>346</v>
      </c>
      <c r="F108" s="19"/>
      <c r="G108" s="20" t="s">
        <v>345</v>
      </c>
      <c r="H108" s="32" t="s">
        <v>346</v>
      </c>
      <c r="I108" s="33" t="s">
        <v>1362</v>
      </c>
      <c r="J108" s="30" t="s">
        <v>1362</v>
      </c>
      <c r="K108" s="68"/>
      <c r="L108" s="68" t="s">
        <v>1363</v>
      </c>
      <c r="M108" s="68"/>
      <c r="N108" s="68"/>
      <c r="O108" s="25"/>
      <c r="P108" s="68"/>
      <c r="Q108" s="68"/>
      <c r="R108" s="68"/>
      <c r="S108" s="68"/>
      <c r="T108" s="68"/>
      <c r="U108" s="68"/>
      <c r="V108" s="68"/>
      <c r="W108" s="68"/>
      <c r="X108" s="68"/>
      <c r="Y108" s="68"/>
      <c r="Z108" s="68"/>
      <c r="AA108" s="68"/>
      <c r="AB108" s="68"/>
      <c r="AC108" s="68"/>
      <c r="AD108" s="68"/>
      <c r="AE108" s="68"/>
      <c r="AF108" s="68"/>
      <c r="AG108" s="53"/>
      <c r="AH108" s="53"/>
      <c r="AI108" s="53"/>
      <c r="AJ108" s="53"/>
    </row>
    <row r="109" spans="1:36" ht="15.75" customHeight="1" x14ac:dyDescent="0.25">
      <c r="A109" s="14" t="s">
        <v>347</v>
      </c>
      <c r="B109" s="28" t="s">
        <v>1364</v>
      </c>
      <c r="C109" s="28" t="s">
        <v>1353</v>
      </c>
      <c r="D109" s="17" t="s">
        <v>1365</v>
      </c>
      <c r="E109" s="90" t="s">
        <v>349</v>
      </c>
      <c r="F109" s="19"/>
      <c r="G109" s="20" t="s">
        <v>348</v>
      </c>
      <c r="H109" s="32" t="s">
        <v>349</v>
      </c>
      <c r="I109" s="25" t="s">
        <v>1366</v>
      </c>
      <c r="J109" s="30" t="s">
        <v>1366</v>
      </c>
      <c r="K109" s="25"/>
      <c r="L109" s="33" t="s">
        <v>1367</v>
      </c>
      <c r="M109" s="33"/>
      <c r="N109" s="25"/>
      <c r="O109" s="37"/>
      <c r="P109" s="25"/>
      <c r="Q109" s="25"/>
      <c r="R109" s="25"/>
      <c r="S109" s="25"/>
      <c r="T109" s="25"/>
      <c r="U109" s="25"/>
      <c r="V109" s="25"/>
      <c r="W109" s="25"/>
      <c r="X109" s="25"/>
      <c r="Y109" s="25"/>
      <c r="Z109" s="25"/>
      <c r="AA109" s="25"/>
      <c r="AB109" s="25"/>
      <c r="AC109" s="25"/>
      <c r="AD109" s="25"/>
      <c r="AE109" s="25"/>
      <c r="AF109" s="25"/>
      <c r="AG109" s="53"/>
      <c r="AH109" s="53"/>
      <c r="AI109" s="53"/>
      <c r="AJ109" s="53"/>
    </row>
    <row r="110" spans="1:36" ht="15.75" customHeight="1" x14ac:dyDescent="0.25">
      <c r="A110" s="14" t="s">
        <v>350</v>
      </c>
      <c r="B110" s="28">
        <v>3638</v>
      </c>
      <c r="C110" s="28" t="s">
        <v>1368</v>
      </c>
      <c r="D110" s="17" t="s">
        <v>1068</v>
      </c>
      <c r="E110" s="90" t="s">
        <v>352</v>
      </c>
      <c r="F110" s="19"/>
      <c r="G110" s="20" t="s">
        <v>351</v>
      </c>
      <c r="H110" s="32" t="s">
        <v>352</v>
      </c>
      <c r="I110" s="25" t="s">
        <v>1369</v>
      </c>
      <c r="J110" s="33" t="s">
        <v>739</v>
      </c>
      <c r="K110" s="25"/>
      <c r="L110" s="33"/>
      <c r="M110" s="33"/>
      <c r="N110" s="25"/>
      <c r="O110" s="25"/>
      <c r="P110" s="25"/>
      <c r="Q110" s="25"/>
      <c r="R110" s="25"/>
      <c r="S110" s="25"/>
      <c r="T110" s="25"/>
      <c r="U110" s="25"/>
      <c r="V110" s="25"/>
      <c r="W110" s="25"/>
      <c r="X110" s="25"/>
      <c r="Y110" s="25"/>
      <c r="Z110" s="25"/>
      <c r="AA110" s="25"/>
      <c r="AB110" s="25"/>
      <c r="AC110" s="25"/>
      <c r="AD110" s="25"/>
      <c r="AE110" s="25"/>
      <c r="AF110" s="25"/>
      <c r="AG110" s="53"/>
      <c r="AH110" s="53"/>
      <c r="AI110" s="53"/>
      <c r="AJ110" s="53"/>
    </row>
    <row r="111" spans="1:36" ht="15.75" customHeight="1" x14ac:dyDescent="0.25">
      <c r="A111" s="14" t="s">
        <v>353</v>
      </c>
      <c r="B111" s="28"/>
      <c r="C111" s="28" t="s">
        <v>959</v>
      </c>
      <c r="D111" s="17"/>
      <c r="E111" s="90" t="s">
        <v>934</v>
      </c>
      <c r="F111" s="19"/>
      <c r="G111" s="20" t="s">
        <v>354</v>
      </c>
      <c r="H111" s="32" t="s">
        <v>355</v>
      </c>
      <c r="I111" s="33" t="s">
        <v>1370</v>
      </c>
      <c r="J111" s="30" t="s">
        <v>1370</v>
      </c>
      <c r="K111" s="25"/>
      <c r="L111" s="69" t="s">
        <v>1371</v>
      </c>
      <c r="M111" s="33"/>
      <c r="N111" s="69" t="s">
        <v>1372</v>
      </c>
      <c r="O111" s="33"/>
      <c r="P111" s="25"/>
      <c r="Q111" s="25"/>
      <c r="R111" s="25"/>
      <c r="S111" s="25"/>
      <c r="T111" s="69" t="s">
        <v>1373</v>
      </c>
      <c r="U111" s="25"/>
      <c r="V111" s="25"/>
      <c r="W111" s="25"/>
      <c r="X111" s="25"/>
      <c r="Y111" s="25"/>
      <c r="Z111" s="25"/>
      <c r="AA111" s="25"/>
      <c r="AB111" s="25"/>
      <c r="AC111" s="25"/>
      <c r="AD111" s="25"/>
      <c r="AE111" s="25"/>
      <c r="AF111" s="25"/>
      <c r="AG111" s="53"/>
      <c r="AH111" s="53"/>
      <c r="AI111" s="69" t="s">
        <v>1374</v>
      </c>
      <c r="AJ111" s="69"/>
    </row>
    <row r="112" spans="1:36" ht="15.75" customHeight="1" x14ac:dyDescent="0.25">
      <c r="A112" s="14" t="s">
        <v>356</v>
      </c>
      <c r="B112" s="28"/>
      <c r="C112" s="28"/>
      <c r="D112" s="17"/>
      <c r="E112" s="90" t="s">
        <v>358</v>
      </c>
      <c r="F112" s="19"/>
      <c r="G112" s="20" t="s">
        <v>357</v>
      </c>
      <c r="H112" s="32" t="s">
        <v>358</v>
      </c>
      <c r="I112" s="33" t="s">
        <v>1375</v>
      </c>
      <c r="J112" s="56" t="s">
        <v>1376</v>
      </c>
      <c r="K112" s="25"/>
      <c r="L112" s="25"/>
      <c r="M112" s="25"/>
      <c r="N112" s="25"/>
      <c r="O112" s="25"/>
      <c r="P112" s="25"/>
      <c r="Q112" s="25"/>
      <c r="R112" s="25"/>
      <c r="S112" s="25"/>
      <c r="T112" s="25"/>
      <c r="U112" s="25"/>
      <c r="V112" s="25"/>
      <c r="W112" s="25"/>
      <c r="X112" s="25"/>
      <c r="Y112" s="25"/>
      <c r="Z112" s="25"/>
      <c r="AA112" s="25"/>
      <c r="AB112" s="25"/>
      <c r="AC112" s="25"/>
      <c r="AD112" s="25"/>
      <c r="AE112" s="25"/>
      <c r="AF112" s="25"/>
      <c r="AG112" s="53"/>
      <c r="AH112" s="53"/>
      <c r="AI112" s="53"/>
      <c r="AJ112" s="53"/>
    </row>
    <row r="113" spans="1:36" ht="15.75" customHeight="1" x14ac:dyDescent="0.25">
      <c r="A113" s="14" t="s">
        <v>359</v>
      </c>
      <c r="B113" s="28"/>
      <c r="C113" s="28"/>
      <c r="D113" s="17"/>
      <c r="E113" s="90" t="s">
        <v>361</v>
      </c>
      <c r="F113" s="19"/>
      <c r="G113" s="20" t="s">
        <v>360</v>
      </c>
      <c r="H113" s="32" t="s">
        <v>361</v>
      </c>
      <c r="I113" s="25" t="s">
        <v>1377</v>
      </c>
      <c r="J113" s="30" t="s">
        <v>1378</v>
      </c>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53"/>
      <c r="AH113" s="53"/>
      <c r="AI113" s="53">
        <v>53527000</v>
      </c>
      <c r="AJ113" s="53"/>
    </row>
    <row r="114" spans="1:36" ht="15.75" customHeight="1" x14ac:dyDescent="0.25">
      <c r="A114" s="14" t="s">
        <v>362</v>
      </c>
      <c r="B114" s="28"/>
      <c r="C114" s="28"/>
      <c r="D114" s="17"/>
      <c r="E114" s="90" t="s">
        <v>364</v>
      </c>
      <c r="F114" s="19"/>
      <c r="G114" s="20" t="s">
        <v>363</v>
      </c>
      <c r="H114" s="32" t="s">
        <v>364</v>
      </c>
      <c r="I114" s="25"/>
      <c r="J114" s="30" t="s">
        <v>1379</v>
      </c>
      <c r="K114" s="25"/>
      <c r="L114" s="25"/>
      <c r="M114" s="25"/>
      <c r="N114" s="25"/>
      <c r="O114" s="25"/>
      <c r="P114" s="25"/>
      <c r="Q114" s="25"/>
      <c r="R114" s="25"/>
      <c r="S114" s="25"/>
      <c r="T114" s="25"/>
      <c r="U114" s="25"/>
      <c r="V114" s="25"/>
      <c r="W114" s="25"/>
      <c r="X114" s="25"/>
      <c r="Y114" s="25"/>
      <c r="Z114" s="25"/>
      <c r="AA114" s="25"/>
      <c r="AB114" s="25"/>
      <c r="AC114" s="25"/>
      <c r="AD114" s="25"/>
      <c r="AE114" s="25"/>
      <c r="AF114" s="25"/>
      <c r="AG114" s="53"/>
      <c r="AH114" s="53"/>
      <c r="AI114" s="53"/>
      <c r="AJ114" s="53"/>
    </row>
    <row r="115" spans="1:36" ht="15.75" customHeight="1" x14ac:dyDescent="0.25">
      <c r="A115" s="14" t="s">
        <v>365</v>
      </c>
      <c r="B115" s="28" t="s">
        <v>1380</v>
      </c>
      <c r="C115" s="28" t="s">
        <v>1381</v>
      </c>
      <c r="D115" s="17" t="s">
        <v>1070</v>
      </c>
      <c r="E115" s="90" t="s">
        <v>367</v>
      </c>
      <c r="F115" s="19"/>
      <c r="G115" s="20" t="s">
        <v>366</v>
      </c>
      <c r="H115" s="32" t="s">
        <v>367</v>
      </c>
      <c r="I115" s="25"/>
      <c r="J115" s="30" t="s">
        <v>1382</v>
      </c>
      <c r="K115" s="25"/>
      <c r="L115" s="25"/>
      <c r="M115" s="25"/>
      <c r="N115" s="25"/>
      <c r="O115" s="25"/>
      <c r="P115" s="25"/>
      <c r="Q115" s="25"/>
      <c r="R115" s="25"/>
      <c r="S115" s="25"/>
      <c r="T115" s="25"/>
      <c r="U115" s="25"/>
      <c r="V115" s="25"/>
      <c r="W115" s="25"/>
      <c r="X115" s="25"/>
      <c r="Y115" s="25"/>
      <c r="Z115" s="25"/>
      <c r="AA115" s="25"/>
      <c r="AB115" s="25"/>
      <c r="AC115" s="25"/>
      <c r="AD115" s="25"/>
      <c r="AE115" s="25"/>
      <c r="AF115" s="25"/>
      <c r="AG115" s="53"/>
      <c r="AH115" s="53"/>
      <c r="AI115" s="53"/>
      <c r="AJ115" s="53"/>
    </row>
    <row r="116" spans="1:36" ht="15.75" customHeight="1" x14ac:dyDescent="0.25">
      <c r="A116" s="14" t="s">
        <v>368</v>
      </c>
      <c r="B116" s="28">
        <v>1200468</v>
      </c>
      <c r="C116" s="28">
        <v>1200468</v>
      </c>
      <c r="D116" s="17"/>
      <c r="E116" s="90" t="s">
        <v>370</v>
      </c>
      <c r="F116" s="19"/>
      <c r="G116" s="20" t="s">
        <v>369</v>
      </c>
      <c r="H116" s="32" t="s">
        <v>370</v>
      </c>
      <c r="I116" s="25"/>
      <c r="J116" s="30" t="s">
        <v>1382</v>
      </c>
      <c r="K116" s="25"/>
      <c r="L116" s="25"/>
      <c r="M116" s="25"/>
      <c r="N116" s="25"/>
      <c r="O116" s="25"/>
      <c r="P116" s="25"/>
      <c r="Q116" s="25"/>
      <c r="R116" s="25"/>
      <c r="S116" s="25"/>
      <c r="T116" s="25"/>
      <c r="U116" s="25"/>
      <c r="V116" s="25"/>
      <c r="W116" s="25"/>
      <c r="X116" s="25"/>
      <c r="Y116" s="25"/>
      <c r="Z116" s="25"/>
      <c r="AA116" s="25"/>
      <c r="AB116" s="25"/>
      <c r="AC116" s="25"/>
      <c r="AD116" s="25"/>
      <c r="AE116" s="25"/>
      <c r="AF116" s="25"/>
      <c r="AG116" s="53"/>
      <c r="AH116" s="53"/>
      <c r="AI116" s="53"/>
      <c r="AJ116" s="53"/>
    </row>
    <row r="117" spans="1:36" ht="15.75" customHeight="1" x14ac:dyDescent="0.25">
      <c r="A117" s="14" t="s">
        <v>371</v>
      </c>
      <c r="B117" s="28">
        <v>3365483</v>
      </c>
      <c r="C117" s="28">
        <v>3365483</v>
      </c>
      <c r="D117" s="17" t="s">
        <v>1383</v>
      </c>
      <c r="E117" s="90" t="s">
        <v>373</v>
      </c>
      <c r="F117" s="19"/>
      <c r="G117" s="20" t="s">
        <v>372</v>
      </c>
      <c r="H117" s="32" t="s">
        <v>373</v>
      </c>
      <c r="I117" s="25"/>
      <c r="J117" s="30" t="s">
        <v>1382</v>
      </c>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53"/>
      <c r="AH117" s="53"/>
      <c r="AI117" s="53"/>
      <c r="AJ117" s="53"/>
    </row>
    <row r="118" spans="1:36" ht="15.75" customHeight="1" x14ac:dyDescent="0.25">
      <c r="A118" s="14" t="s">
        <v>374</v>
      </c>
      <c r="B118" s="28"/>
      <c r="C118" s="28"/>
      <c r="D118" s="17"/>
      <c r="E118" s="18"/>
      <c r="F118" s="19"/>
      <c r="G118" s="20"/>
      <c r="H118" s="32" t="s">
        <v>375</v>
      </c>
      <c r="I118" s="34"/>
      <c r="J118" s="70" t="s">
        <v>1384</v>
      </c>
      <c r="K118" s="25"/>
      <c r="L118" s="25"/>
      <c r="M118" s="25"/>
      <c r="N118" s="25"/>
      <c r="O118" s="25"/>
      <c r="P118" s="25"/>
      <c r="Q118" s="25"/>
      <c r="R118" s="25"/>
      <c r="S118" s="25"/>
      <c r="T118" s="25"/>
      <c r="U118" s="25"/>
      <c r="V118" s="25"/>
      <c r="W118" s="25"/>
      <c r="X118" s="25"/>
      <c r="Y118" s="25"/>
      <c r="Z118" s="25"/>
      <c r="AA118" s="25"/>
      <c r="AB118" s="25"/>
      <c r="AC118" s="25"/>
      <c r="AD118" s="25"/>
      <c r="AE118" s="25"/>
      <c r="AF118" s="25"/>
      <c r="AG118" s="53"/>
      <c r="AH118" s="53"/>
      <c r="AI118" s="53"/>
      <c r="AJ118" s="53"/>
    </row>
    <row r="119" spans="1:36" ht="15.75" customHeight="1" x14ac:dyDescent="0.25">
      <c r="A119" s="14" t="s">
        <v>376</v>
      </c>
      <c r="B119" s="28"/>
      <c r="C119" s="28"/>
      <c r="D119" s="17" t="s">
        <v>1385</v>
      </c>
      <c r="E119" s="18"/>
      <c r="F119" s="19"/>
      <c r="G119" s="20"/>
      <c r="H119" s="32" t="s">
        <v>377</v>
      </c>
      <c r="I119" s="30" t="s">
        <v>1386</v>
      </c>
      <c r="K119" s="25"/>
      <c r="L119" s="25"/>
      <c r="M119" s="25"/>
      <c r="N119" s="25"/>
      <c r="O119" s="25"/>
      <c r="P119" s="25"/>
      <c r="Q119" s="25"/>
      <c r="R119" s="25"/>
      <c r="S119" s="25"/>
      <c r="T119" s="25"/>
      <c r="U119" s="25"/>
      <c r="V119" s="25"/>
      <c r="W119" s="25"/>
      <c r="X119" s="25"/>
      <c r="Y119" s="25"/>
      <c r="Z119" s="25"/>
      <c r="AA119" s="25"/>
      <c r="AB119" s="25"/>
      <c r="AC119" s="25"/>
      <c r="AD119" s="25"/>
      <c r="AE119" s="25"/>
      <c r="AF119" s="25"/>
      <c r="AG119" s="53"/>
      <c r="AH119" s="53"/>
      <c r="AI119" s="53"/>
      <c r="AJ119" s="53"/>
    </row>
    <row r="120" spans="1:36" ht="15.75" customHeight="1" x14ac:dyDescent="0.25">
      <c r="A120" s="14" t="s">
        <v>378</v>
      </c>
      <c r="B120" s="28" t="s">
        <v>1071</v>
      </c>
      <c r="C120" s="28" t="s">
        <v>1387</v>
      </c>
      <c r="D120" s="17"/>
      <c r="E120" s="90" t="s">
        <v>380</v>
      </c>
      <c r="F120" s="19"/>
      <c r="G120" s="20" t="s">
        <v>379</v>
      </c>
      <c r="H120" s="32" t="s">
        <v>380</v>
      </c>
      <c r="I120" s="30" t="s">
        <v>1388</v>
      </c>
      <c r="J120" s="30" t="s">
        <v>1389</v>
      </c>
      <c r="K120" s="25"/>
      <c r="L120" s="25" t="s">
        <v>1390</v>
      </c>
      <c r="M120" s="25"/>
      <c r="N120" s="25"/>
      <c r="O120" s="25"/>
      <c r="P120" s="25"/>
      <c r="Q120" s="25"/>
      <c r="R120" s="25"/>
      <c r="S120" s="25"/>
      <c r="T120" s="25"/>
      <c r="U120" s="25"/>
      <c r="V120" s="25"/>
      <c r="W120" s="25"/>
      <c r="X120" s="25"/>
      <c r="Y120" s="25"/>
      <c r="Z120" s="25"/>
      <c r="AA120" s="25"/>
      <c r="AB120" s="25"/>
      <c r="AC120" s="25"/>
      <c r="AD120" s="25"/>
      <c r="AE120" s="25"/>
      <c r="AF120" s="25" t="s">
        <v>1391</v>
      </c>
      <c r="AG120" s="53"/>
      <c r="AH120" s="53"/>
      <c r="AI120" s="53"/>
      <c r="AJ120" s="53"/>
    </row>
    <row r="121" spans="1:36" ht="15.75" customHeight="1" x14ac:dyDescent="0.25">
      <c r="A121" s="14" t="s">
        <v>381</v>
      </c>
      <c r="B121" s="28" t="s">
        <v>1071</v>
      </c>
      <c r="C121" s="28" t="s">
        <v>1387</v>
      </c>
      <c r="D121" s="17"/>
      <c r="E121" s="90" t="s">
        <v>383</v>
      </c>
      <c r="F121" s="19"/>
      <c r="G121" s="20" t="s">
        <v>382</v>
      </c>
      <c r="H121" s="32" t="s">
        <v>383</v>
      </c>
      <c r="I121" s="25" t="s">
        <v>1392</v>
      </c>
      <c r="J121" s="30" t="s">
        <v>1393</v>
      </c>
      <c r="K121" s="25"/>
      <c r="L121" s="25"/>
      <c r="M121" s="25"/>
      <c r="N121" s="25"/>
      <c r="O121" s="25" t="s">
        <v>1394</v>
      </c>
      <c r="P121" s="25"/>
      <c r="Q121" s="25"/>
      <c r="R121" s="25"/>
      <c r="S121" s="25"/>
      <c r="T121" s="25"/>
      <c r="U121" s="25"/>
      <c r="V121" s="25"/>
      <c r="W121" s="25"/>
      <c r="X121" s="25"/>
      <c r="Y121" s="25"/>
      <c r="Z121" s="25"/>
      <c r="AA121" s="25"/>
      <c r="AB121" s="25"/>
      <c r="AC121" s="25"/>
      <c r="AD121" s="25"/>
      <c r="AE121" s="25"/>
      <c r="AF121" s="25"/>
      <c r="AG121" s="53"/>
      <c r="AH121" s="53"/>
      <c r="AI121" s="53"/>
      <c r="AJ121" s="53"/>
    </row>
    <row r="122" spans="1:36" ht="15.75" customHeight="1" x14ac:dyDescent="0.25">
      <c r="A122" s="14"/>
      <c r="B122" s="28"/>
      <c r="C122" s="28"/>
      <c r="D122" s="17"/>
      <c r="E122" s="18"/>
      <c r="F122" s="19"/>
      <c r="G122" s="20"/>
      <c r="H122" s="32" t="s">
        <v>384</v>
      </c>
      <c r="I122" s="34"/>
      <c r="J122" s="30" t="s">
        <v>1395</v>
      </c>
      <c r="K122" s="25"/>
      <c r="L122" s="25"/>
      <c r="M122" s="25"/>
      <c r="N122" s="25"/>
      <c r="O122" s="25"/>
      <c r="P122" s="25"/>
      <c r="Q122" s="25"/>
      <c r="R122" s="25"/>
      <c r="S122" s="25"/>
      <c r="T122" s="25"/>
      <c r="U122" s="25"/>
      <c r="V122" s="25"/>
      <c r="W122" s="25"/>
      <c r="X122" s="25"/>
      <c r="Y122" s="25"/>
      <c r="Z122" s="25"/>
      <c r="AA122" s="25"/>
      <c r="AB122" s="25"/>
      <c r="AC122" s="25"/>
      <c r="AD122" s="25"/>
      <c r="AE122" s="25"/>
      <c r="AF122" s="25"/>
      <c r="AG122" s="53"/>
      <c r="AH122" s="53"/>
      <c r="AI122" s="53"/>
      <c r="AJ122" s="53"/>
    </row>
    <row r="123" spans="1:36" ht="15.75" customHeight="1" x14ac:dyDescent="0.25">
      <c r="A123" s="14" t="s">
        <v>385</v>
      </c>
      <c r="B123" s="28">
        <v>7001606741</v>
      </c>
      <c r="C123" s="28" t="s">
        <v>1396</v>
      </c>
      <c r="D123" s="17" t="s">
        <v>1397</v>
      </c>
      <c r="E123" s="90" t="s">
        <v>387</v>
      </c>
      <c r="F123" s="19"/>
      <c r="G123" s="20" t="s">
        <v>386</v>
      </c>
      <c r="H123" s="32" t="s">
        <v>387</v>
      </c>
      <c r="I123" s="34"/>
      <c r="J123" s="30" t="s">
        <v>1398</v>
      </c>
      <c r="K123" s="25"/>
      <c r="L123" s="25"/>
      <c r="M123" s="25"/>
      <c r="N123" s="25"/>
      <c r="O123" s="25"/>
      <c r="P123" s="25"/>
      <c r="Q123" s="25"/>
      <c r="R123" s="25"/>
      <c r="S123" s="25"/>
      <c r="T123" s="25"/>
      <c r="U123" s="25"/>
      <c r="V123" s="25"/>
      <c r="W123" s="25"/>
      <c r="X123" s="25"/>
      <c r="Y123" s="25"/>
      <c r="Z123" s="25"/>
      <c r="AA123" s="25"/>
      <c r="AB123" s="25"/>
      <c r="AC123" s="25"/>
      <c r="AD123" s="25"/>
      <c r="AE123" s="25"/>
      <c r="AF123" s="25"/>
      <c r="AG123" s="53"/>
      <c r="AH123" s="53"/>
      <c r="AI123" s="33">
        <v>2015243</v>
      </c>
      <c r="AJ123" s="33"/>
    </row>
    <row r="124" spans="1:36" ht="15.75" customHeight="1" x14ac:dyDescent="0.25">
      <c r="A124" s="14" t="s">
        <v>388</v>
      </c>
      <c r="B124" s="28">
        <v>2003532</v>
      </c>
      <c r="C124" s="28" t="s">
        <v>829</v>
      </c>
      <c r="D124" s="17"/>
      <c r="E124" s="90" t="s">
        <v>390</v>
      </c>
      <c r="F124" s="19"/>
      <c r="G124" s="20" t="s">
        <v>389</v>
      </c>
      <c r="H124" s="32" t="s">
        <v>390</v>
      </c>
      <c r="I124" s="30" t="s">
        <v>1399</v>
      </c>
      <c r="J124" s="30" t="s">
        <v>1399</v>
      </c>
      <c r="K124" s="25"/>
      <c r="L124" s="25"/>
      <c r="M124" s="25"/>
      <c r="N124" s="25"/>
      <c r="O124" s="25"/>
      <c r="P124" s="25"/>
      <c r="Q124" s="25"/>
      <c r="R124" s="25"/>
      <c r="S124" s="25"/>
      <c r="T124" s="25"/>
      <c r="U124" s="25"/>
      <c r="V124" s="25"/>
      <c r="W124" s="25"/>
      <c r="X124" s="25"/>
      <c r="Y124" s="25"/>
      <c r="Z124" s="25"/>
      <c r="AA124" s="25"/>
      <c r="AB124" s="25"/>
      <c r="AC124" s="25"/>
      <c r="AD124" s="25"/>
      <c r="AE124" s="25"/>
      <c r="AF124" s="25"/>
      <c r="AG124" s="53"/>
      <c r="AH124" s="53"/>
      <c r="AI124" s="53"/>
      <c r="AJ124" s="53"/>
    </row>
    <row r="125" spans="1:36" ht="15.75" customHeight="1" x14ac:dyDescent="0.25">
      <c r="A125" s="14" t="s">
        <v>391</v>
      </c>
      <c r="B125" s="28"/>
      <c r="C125" s="28"/>
      <c r="D125" s="17"/>
      <c r="E125" s="90" t="s">
        <v>393</v>
      </c>
      <c r="F125" s="19"/>
      <c r="G125" s="20" t="s">
        <v>392</v>
      </c>
      <c r="H125" s="32" t="s">
        <v>393</v>
      </c>
      <c r="I125" s="33" t="s">
        <v>1400</v>
      </c>
      <c r="J125" s="30"/>
      <c r="K125" s="25"/>
      <c r="L125" s="25"/>
      <c r="M125" s="25"/>
      <c r="N125" s="25"/>
      <c r="O125" s="25"/>
      <c r="P125" s="25"/>
      <c r="Q125" s="25"/>
      <c r="R125" s="25"/>
      <c r="S125" s="25"/>
      <c r="T125" s="25"/>
      <c r="U125" s="25"/>
      <c r="V125" s="25"/>
      <c r="W125" s="25"/>
      <c r="X125" s="25"/>
      <c r="Y125" s="25"/>
      <c r="Z125" s="25"/>
      <c r="AA125" s="25"/>
      <c r="AB125" s="25"/>
      <c r="AC125" s="25"/>
      <c r="AD125" s="25"/>
      <c r="AE125" s="25"/>
      <c r="AF125" s="25"/>
      <c r="AG125" s="53"/>
      <c r="AH125" s="53"/>
      <c r="AI125" s="53"/>
      <c r="AJ125" s="53"/>
    </row>
    <row r="126" spans="1:36" ht="15.75" customHeight="1" x14ac:dyDescent="0.25">
      <c r="A126" s="14" t="s">
        <v>394</v>
      </c>
      <c r="B126" s="28"/>
      <c r="C126" s="28"/>
      <c r="D126" s="17"/>
      <c r="E126" s="90" t="s">
        <v>396</v>
      </c>
      <c r="F126" s="19"/>
      <c r="G126" s="20" t="s">
        <v>395</v>
      </c>
      <c r="H126" s="32" t="s">
        <v>396</v>
      </c>
      <c r="I126" s="25"/>
      <c r="J126" s="30" t="s">
        <v>1401</v>
      </c>
      <c r="K126" s="25"/>
      <c r="L126" s="25"/>
      <c r="M126" s="25"/>
      <c r="N126" s="25"/>
      <c r="O126" s="25"/>
      <c r="P126" s="25"/>
      <c r="Q126" s="25"/>
      <c r="R126" s="25"/>
      <c r="S126" s="25"/>
      <c r="T126" s="25"/>
      <c r="U126" s="25"/>
      <c r="V126" s="25"/>
      <c r="W126" s="25"/>
      <c r="X126" s="25"/>
      <c r="Y126" s="25"/>
      <c r="Z126" s="25"/>
      <c r="AA126" s="25"/>
      <c r="AB126" s="25"/>
      <c r="AC126" s="25"/>
      <c r="AD126" s="25"/>
      <c r="AE126" s="25"/>
      <c r="AF126" s="25"/>
      <c r="AG126" s="37"/>
      <c r="AH126" s="37"/>
      <c r="AI126" s="37"/>
      <c r="AJ126" s="37"/>
    </row>
    <row r="127" spans="1:36" ht="15.75" customHeight="1" x14ac:dyDescent="0.25">
      <c r="A127" s="14" t="s">
        <v>397</v>
      </c>
      <c r="B127" s="43" t="s">
        <v>1402</v>
      </c>
      <c r="C127" s="28" t="s">
        <v>1403</v>
      </c>
      <c r="D127" s="17"/>
      <c r="E127" s="90" t="s">
        <v>402</v>
      </c>
      <c r="F127" s="19"/>
      <c r="G127" s="20" t="s">
        <v>401</v>
      </c>
      <c r="H127" s="32" t="s">
        <v>402</v>
      </c>
      <c r="I127" s="33" t="s">
        <v>1402</v>
      </c>
      <c r="J127" s="30" t="s">
        <v>1402</v>
      </c>
      <c r="K127" s="25"/>
      <c r="L127" s="34"/>
      <c r="M127" s="34"/>
      <c r="N127" s="25"/>
      <c r="O127" s="25"/>
      <c r="P127" s="25"/>
      <c r="Q127" s="25"/>
      <c r="R127" s="25"/>
      <c r="S127" s="25"/>
      <c r="T127" s="25"/>
      <c r="U127" s="25"/>
      <c r="V127" s="25"/>
      <c r="W127" s="25"/>
      <c r="X127" s="25"/>
      <c r="Y127" s="25"/>
      <c r="Z127" s="25"/>
      <c r="AA127" s="25"/>
      <c r="AB127" s="25"/>
      <c r="AC127" s="25"/>
      <c r="AD127" s="25"/>
      <c r="AE127" s="25"/>
      <c r="AF127" s="25" t="s">
        <v>403</v>
      </c>
      <c r="AG127" s="37"/>
      <c r="AH127" s="37"/>
      <c r="AI127" s="37"/>
      <c r="AJ127" s="37"/>
    </row>
    <row r="128" spans="1:36" ht="15.75" customHeight="1" x14ac:dyDescent="0.25">
      <c r="A128" s="14" t="s">
        <v>404</v>
      </c>
      <c r="B128" s="71"/>
      <c r="C128" s="51"/>
      <c r="D128" s="17"/>
      <c r="E128" s="90" t="s">
        <v>406</v>
      </c>
      <c r="F128" s="19"/>
      <c r="G128" s="20" t="s">
        <v>405</v>
      </c>
      <c r="H128" s="44" t="s">
        <v>406</v>
      </c>
      <c r="I128" s="33"/>
      <c r="J128" s="30"/>
      <c r="K128" s="25"/>
      <c r="L128" s="34"/>
      <c r="M128" s="34"/>
      <c r="N128" s="25"/>
      <c r="O128" s="25"/>
      <c r="P128" s="25"/>
      <c r="Q128" s="25"/>
      <c r="R128" s="25"/>
      <c r="S128" s="25"/>
      <c r="T128" s="25"/>
      <c r="U128" s="25"/>
      <c r="V128" s="25"/>
      <c r="W128" s="25"/>
      <c r="X128" s="25"/>
      <c r="Y128" s="25"/>
      <c r="Z128" s="25"/>
      <c r="AA128" s="25"/>
      <c r="AB128" s="25"/>
      <c r="AC128" s="25"/>
      <c r="AD128" s="25"/>
      <c r="AE128" s="25"/>
      <c r="AF128" s="25"/>
      <c r="AG128" s="37"/>
      <c r="AH128" s="37"/>
      <c r="AI128" s="37"/>
      <c r="AJ128" s="37"/>
    </row>
    <row r="129" spans="1:36" ht="15.75" customHeight="1" x14ac:dyDescent="0.25">
      <c r="A129" s="14" t="s">
        <v>407</v>
      </c>
      <c r="B129" s="28" t="s">
        <v>1404</v>
      </c>
      <c r="C129" s="28" t="s">
        <v>851</v>
      </c>
      <c r="D129" s="17" t="s">
        <v>1405</v>
      </c>
      <c r="E129" s="90" t="s">
        <v>409</v>
      </c>
      <c r="F129" s="19"/>
      <c r="G129" s="20" t="s">
        <v>408</v>
      </c>
      <c r="H129" s="32" t="s">
        <v>409</v>
      </c>
      <c r="I129" s="33" t="s">
        <v>410</v>
      </c>
      <c r="J129" s="30" t="s">
        <v>410</v>
      </c>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37"/>
      <c r="AH129" s="37"/>
      <c r="AI129" s="25">
        <v>631119</v>
      </c>
      <c r="AJ129" s="25"/>
    </row>
    <row r="130" spans="1:36" ht="15.75" customHeight="1" x14ac:dyDescent="0.25">
      <c r="A130" s="14" t="s">
        <v>411</v>
      </c>
      <c r="B130" s="28" t="s">
        <v>1406</v>
      </c>
      <c r="C130" s="28" t="s">
        <v>851</v>
      </c>
      <c r="D130" s="17" t="s">
        <v>1407</v>
      </c>
      <c r="E130" s="90" t="s">
        <v>413</v>
      </c>
      <c r="F130" s="19"/>
      <c r="G130" s="20" t="s">
        <v>412</v>
      </c>
      <c r="H130" s="32" t="s">
        <v>413</v>
      </c>
      <c r="I130" s="25" t="s">
        <v>414</v>
      </c>
      <c r="J130" s="30" t="s">
        <v>415</v>
      </c>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37"/>
      <c r="AH130" s="37"/>
      <c r="AI130" s="37"/>
      <c r="AJ130" s="37"/>
    </row>
    <row r="131" spans="1:36" ht="15.75" customHeight="1" x14ac:dyDescent="0.25">
      <c r="A131" s="14" t="s">
        <v>416</v>
      </c>
      <c r="B131" s="28">
        <v>7171692</v>
      </c>
      <c r="C131" s="28" t="s">
        <v>1408</v>
      </c>
      <c r="D131" s="17" t="s">
        <v>1409</v>
      </c>
      <c r="E131" s="90" t="s">
        <v>1410</v>
      </c>
      <c r="F131" s="95" t="s">
        <v>1411</v>
      </c>
      <c r="G131" s="20" t="s">
        <v>417</v>
      </c>
      <c r="H131" s="32" t="s">
        <v>418</v>
      </c>
      <c r="I131" s="25" t="s">
        <v>419</v>
      </c>
      <c r="J131" s="30">
        <v>28632</v>
      </c>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37"/>
      <c r="AH131" s="37"/>
      <c r="AI131" s="25">
        <v>30720</v>
      </c>
      <c r="AJ131" s="25"/>
    </row>
    <row r="132" spans="1:36" ht="15.75" customHeight="1" x14ac:dyDescent="0.25">
      <c r="A132" s="14" t="s">
        <v>420</v>
      </c>
      <c r="B132" s="28">
        <v>7171692</v>
      </c>
      <c r="C132" s="28">
        <v>359322</v>
      </c>
      <c r="D132" s="52" t="s">
        <v>1412</v>
      </c>
      <c r="E132" s="90" t="s">
        <v>1413</v>
      </c>
      <c r="F132" s="95" t="s">
        <v>1411</v>
      </c>
      <c r="G132" s="20" t="s">
        <v>421</v>
      </c>
      <c r="H132" s="32" t="s">
        <v>422</v>
      </c>
      <c r="I132" s="25" t="s">
        <v>423</v>
      </c>
      <c r="J132" s="39" t="s">
        <v>424</v>
      </c>
      <c r="K132" s="25"/>
      <c r="L132" s="38" t="s">
        <v>425</v>
      </c>
      <c r="M132" s="25"/>
      <c r="N132" s="25"/>
      <c r="O132" s="25"/>
      <c r="P132" s="25"/>
      <c r="Q132" s="25"/>
      <c r="R132" s="25"/>
      <c r="S132" s="25"/>
      <c r="T132" s="25"/>
      <c r="U132" s="25"/>
      <c r="V132" s="25"/>
      <c r="W132" s="25"/>
      <c r="X132" s="25"/>
      <c r="Y132" s="25"/>
      <c r="Z132" s="25"/>
      <c r="AA132" s="25"/>
      <c r="AB132" s="25"/>
      <c r="AC132" s="25"/>
      <c r="AD132" s="25"/>
      <c r="AE132" s="25"/>
      <c r="AF132" s="25" t="s">
        <v>426</v>
      </c>
      <c r="AG132" s="37"/>
      <c r="AH132" s="37"/>
      <c r="AI132" s="25" t="s">
        <v>427</v>
      </c>
      <c r="AJ132" s="25"/>
    </row>
    <row r="133" spans="1:36" ht="15.75" customHeight="1" x14ac:dyDescent="0.25">
      <c r="A133" s="14" t="s">
        <v>428</v>
      </c>
      <c r="B133" s="28"/>
      <c r="C133" s="28"/>
      <c r="D133" s="17"/>
      <c r="E133" s="90" t="s">
        <v>1414</v>
      </c>
      <c r="F133" s="19"/>
      <c r="G133" s="20" t="s">
        <v>429</v>
      </c>
      <c r="H133" s="32" t="s">
        <v>11</v>
      </c>
      <c r="I133" s="25"/>
      <c r="J133" s="30"/>
      <c r="K133" s="25"/>
      <c r="L133" s="25"/>
      <c r="M133" s="25"/>
      <c r="N133" s="25"/>
      <c r="O133" s="25"/>
      <c r="P133" s="25"/>
      <c r="Q133" s="25"/>
      <c r="R133" s="25"/>
      <c r="S133" s="25"/>
      <c r="T133" s="25"/>
      <c r="U133" s="25"/>
      <c r="V133" s="25"/>
      <c r="W133" s="25"/>
      <c r="X133" s="25"/>
      <c r="Y133" s="25"/>
      <c r="Z133" s="25"/>
      <c r="AA133" s="25"/>
      <c r="AB133" s="25"/>
      <c r="AC133" s="25"/>
      <c r="AD133" s="25"/>
      <c r="AE133" s="25"/>
      <c r="AF133" s="25"/>
      <c r="AG133" s="37"/>
      <c r="AH133" s="37"/>
      <c r="AI133" s="37"/>
      <c r="AJ133" s="37"/>
    </row>
    <row r="134" spans="1:36" ht="15.75" customHeight="1" x14ac:dyDescent="0.25">
      <c r="A134" s="14" t="s">
        <v>430</v>
      </c>
      <c r="B134" s="28" t="s">
        <v>1415</v>
      </c>
      <c r="C134" s="28" t="s">
        <v>1416</v>
      </c>
      <c r="D134" s="17"/>
      <c r="E134" s="90" t="s">
        <v>1417</v>
      </c>
      <c r="F134" s="19"/>
      <c r="G134" s="20" t="s">
        <v>431</v>
      </c>
      <c r="H134" s="32" t="s">
        <v>11</v>
      </c>
      <c r="I134" s="25"/>
      <c r="J134" s="30"/>
      <c r="K134" s="25"/>
      <c r="L134" s="25"/>
      <c r="M134" s="25"/>
      <c r="N134" s="25"/>
      <c r="O134" s="25"/>
      <c r="P134" s="25"/>
      <c r="Q134" s="25"/>
      <c r="R134" s="25"/>
      <c r="S134" s="25"/>
      <c r="T134" s="25"/>
      <c r="U134" s="25"/>
      <c r="V134" s="25"/>
      <c r="W134" s="25"/>
      <c r="X134" s="25"/>
      <c r="Y134" s="25"/>
      <c r="Z134" s="25"/>
      <c r="AA134" s="25"/>
      <c r="AB134" s="25"/>
      <c r="AC134" s="25"/>
      <c r="AD134" s="25"/>
      <c r="AE134" s="25"/>
      <c r="AF134" s="25"/>
      <c r="AG134" s="37"/>
      <c r="AH134" s="37"/>
      <c r="AI134" s="37"/>
      <c r="AJ134" s="37"/>
    </row>
    <row r="135" spans="1:36" ht="15.75" customHeight="1" x14ac:dyDescent="0.25">
      <c r="A135" s="14" t="s">
        <v>432</v>
      </c>
      <c r="B135" s="28">
        <v>7993201</v>
      </c>
      <c r="C135" s="28" t="s">
        <v>818</v>
      </c>
      <c r="D135" s="17"/>
      <c r="E135" s="90" t="s">
        <v>11</v>
      </c>
      <c r="F135" s="19"/>
      <c r="G135" s="20" t="s">
        <v>433</v>
      </c>
      <c r="H135" s="32" t="s">
        <v>434</v>
      </c>
      <c r="I135" s="25"/>
      <c r="J135" s="30">
        <v>7993201</v>
      </c>
      <c r="K135" s="25"/>
      <c r="L135" s="25"/>
      <c r="M135" s="25"/>
      <c r="N135" s="25"/>
      <c r="O135" s="25"/>
      <c r="P135" s="25" t="s">
        <v>435</v>
      </c>
      <c r="Q135" s="25" t="s">
        <v>436</v>
      </c>
      <c r="R135" s="25" t="s">
        <v>437</v>
      </c>
      <c r="S135" s="25"/>
      <c r="T135" s="25" t="s">
        <v>438</v>
      </c>
      <c r="U135" s="25" t="s">
        <v>439</v>
      </c>
      <c r="V135" s="25" t="s">
        <v>440</v>
      </c>
      <c r="W135" s="25"/>
      <c r="X135" s="25"/>
      <c r="Y135" s="25" t="s">
        <v>441</v>
      </c>
      <c r="Z135" s="25" t="s">
        <v>442</v>
      </c>
      <c r="AA135" s="25"/>
      <c r="AB135" s="25"/>
      <c r="AC135" s="25"/>
      <c r="AD135" s="25"/>
      <c r="AE135" s="25"/>
      <c r="AF135" s="25"/>
      <c r="AG135" s="37"/>
      <c r="AH135" s="37"/>
      <c r="AI135" s="25" t="s">
        <v>443</v>
      </c>
      <c r="AJ135" s="25"/>
    </row>
    <row r="136" spans="1:36" ht="15.75" customHeight="1" x14ac:dyDescent="0.25">
      <c r="A136" s="14" t="s">
        <v>444</v>
      </c>
      <c r="B136" s="28">
        <v>7993201</v>
      </c>
      <c r="C136" s="28" t="s">
        <v>818</v>
      </c>
      <c r="D136" s="17"/>
      <c r="E136" s="90" t="s">
        <v>1418</v>
      </c>
      <c r="F136" s="19"/>
      <c r="G136" s="20" t="s">
        <v>445</v>
      </c>
      <c r="H136" s="32" t="s">
        <v>446</v>
      </c>
      <c r="I136" s="25"/>
      <c r="J136" s="30">
        <v>9900133692</v>
      </c>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37"/>
      <c r="AH136" s="37"/>
      <c r="AI136" s="37"/>
      <c r="AJ136" s="37"/>
    </row>
    <row r="137" spans="1:36" ht="15.75" customHeight="1" x14ac:dyDescent="0.25">
      <c r="A137" s="14" t="s">
        <v>447</v>
      </c>
      <c r="B137" s="28" t="s">
        <v>1419</v>
      </c>
      <c r="C137" s="28" t="s">
        <v>818</v>
      </c>
      <c r="D137" s="17"/>
      <c r="E137" s="90" t="s">
        <v>1420</v>
      </c>
      <c r="F137" s="19"/>
      <c r="G137" s="20" t="s">
        <v>448</v>
      </c>
      <c r="H137" s="32" t="s">
        <v>449</v>
      </c>
      <c r="I137" s="25"/>
      <c r="J137" s="30" t="s">
        <v>450</v>
      </c>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37"/>
      <c r="AH137" s="37"/>
      <c r="AI137" s="37"/>
      <c r="AJ137" s="37"/>
    </row>
    <row r="138" spans="1:36" ht="15.75" customHeight="1" x14ac:dyDescent="0.25">
      <c r="A138" s="14" t="s">
        <v>451</v>
      </c>
      <c r="B138" s="28">
        <v>6776</v>
      </c>
      <c r="C138" s="43" t="s">
        <v>1421</v>
      </c>
      <c r="D138" s="17"/>
      <c r="E138" s="90" t="s">
        <v>452</v>
      </c>
      <c r="F138" s="19">
        <v>24019171003</v>
      </c>
      <c r="G138" s="20" t="s">
        <v>453</v>
      </c>
      <c r="H138" s="32" t="s">
        <v>452</v>
      </c>
      <c r="I138" s="25" t="s">
        <v>462</v>
      </c>
      <c r="J138" s="30">
        <v>6776</v>
      </c>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37"/>
      <c r="AH138" s="37"/>
      <c r="AI138" s="25">
        <v>4459</v>
      </c>
      <c r="AJ138" s="25" t="s">
        <v>454</v>
      </c>
    </row>
    <row r="139" spans="1:36" ht="15.75" customHeight="1" x14ac:dyDescent="0.25">
      <c r="A139" s="14" t="s">
        <v>455</v>
      </c>
      <c r="B139" s="28">
        <v>94830001</v>
      </c>
      <c r="C139" s="28" t="s">
        <v>1422</v>
      </c>
      <c r="D139" s="17"/>
      <c r="E139" s="90" t="s">
        <v>1423</v>
      </c>
      <c r="F139" s="19"/>
      <c r="G139" s="20" t="s">
        <v>456</v>
      </c>
      <c r="H139" s="32" t="s">
        <v>457</v>
      </c>
      <c r="I139" s="25"/>
      <c r="J139" s="30" t="s">
        <v>458</v>
      </c>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37"/>
      <c r="AH139" s="37"/>
      <c r="AI139" s="37"/>
      <c r="AJ139" s="37"/>
    </row>
    <row r="140" spans="1:36" ht="15.75" customHeight="1" x14ac:dyDescent="0.25">
      <c r="A140" s="14" t="s">
        <v>459</v>
      </c>
      <c r="B140" s="28">
        <v>580678001</v>
      </c>
      <c r="C140" s="43" t="s">
        <v>1424</v>
      </c>
      <c r="D140" s="17"/>
      <c r="E140" s="90" t="s">
        <v>461</v>
      </c>
      <c r="F140" s="19"/>
      <c r="G140" s="20" t="s">
        <v>460</v>
      </c>
      <c r="H140" s="32" t="s">
        <v>461</v>
      </c>
      <c r="I140" s="25" t="s">
        <v>462</v>
      </c>
      <c r="J140" s="30" t="s">
        <v>463</v>
      </c>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37"/>
      <c r="AH140" s="37"/>
      <c r="AI140" s="37"/>
      <c r="AJ140" s="37"/>
    </row>
    <row r="141" spans="1:36" ht="15.75" customHeight="1" x14ac:dyDescent="0.25">
      <c r="A141" s="14" t="s">
        <v>464</v>
      </c>
      <c r="B141" s="28" t="s">
        <v>1425</v>
      </c>
      <c r="C141" s="28" t="s">
        <v>1426</v>
      </c>
      <c r="D141" s="17" t="s">
        <v>1427</v>
      </c>
      <c r="E141" s="90" t="s">
        <v>1075</v>
      </c>
      <c r="F141" s="19"/>
      <c r="G141" s="20" t="s">
        <v>465</v>
      </c>
      <c r="H141" s="32" t="s">
        <v>466</v>
      </c>
      <c r="I141" s="25" t="s">
        <v>467</v>
      </c>
      <c r="J141" s="30" t="s">
        <v>467</v>
      </c>
      <c r="K141" s="25"/>
      <c r="L141" s="33" t="s">
        <v>468</v>
      </c>
      <c r="M141" s="33"/>
      <c r="N141" s="25"/>
      <c r="O141" s="25"/>
      <c r="P141" s="25"/>
      <c r="Q141" s="25"/>
      <c r="R141" s="25"/>
      <c r="S141" s="25"/>
      <c r="T141" s="25"/>
      <c r="U141" s="25"/>
      <c r="V141" s="25"/>
      <c r="W141" s="25"/>
      <c r="X141" s="25"/>
      <c r="Y141" s="25"/>
      <c r="Z141" s="25"/>
      <c r="AA141" s="25"/>
      <c r="AB141" s="25"/>
      <c r="AC141" s="25"/>
      <c r="AD141" s="25"/>
      <c r="AE141" s="25"/>
      <c r="AF141" s="25"/>
      <c r="AG141" s="37"/>
      <c r="AH141" s="37"/>
      <c r="AI141" s="33">
        <v>62950579</v>
      </c>
      <c r="AJ141" s="33" t="s">
        <v>469</v>
      </c>
    </row>
    <row r="142" spans="1:36" ht="15.75" customHeight="1" x14ac:dyDescent="0.25">
      <c r="A142" s="14" t="s">
        <v>470</v>
      </c>
      <c r="B142" s="28">
        <v>16283</v>
      </c>
      <c r="C142" s="28" t="s">
        <v>954</v>
      </c>
      <c r="D142" s="17"/>
      <c r="E142" s="90" t="s">
        <v>1428</v>
      </c>
      <c r="F142" s="19"/>
      <c r="G142" s="20" t="s">
        <v>471</v>
      </c>
      <c r="H142" s="32" t="s">
        <v>12</v>
      </c>
      <c r="I142" s="25"/>
      <c r="J142" s="30" t="s">
        <v>472</v>
      </c>
      <c r="K142" s="25"/>
      <c r="L142" s="25"/>
      <c r="M142" s="25"/>
      <c r="N142" s="25"/>
      <c r="O142" s="25"/>
      <c r="P142" s="25" t="s">
        <v>473</v>
      </c>
      <c r="Q142" s="25"/>
      <c r="R142" s="25"/>
      <c r="S142" s="25" t="s">
        <v>474</v>
      </c>
      <c r="T142" s="25"/>
      <c r="U142" s="25"/>
      <c r="V142" s="25"/>
      <c r="W142" s="25"/>
      <c r="X142" s="25"/>
      <c r="Y142" s="25"/>
      <c r="Z142" s="25"/>
      <c r="AA142" s="25"/>
      <c r="AB142" s="25"/>
      <c r="AC142" s="25"/>
      <c r="AD142" s="25"/>
      <c r="AE142" s="25"/>
      <c r="AF142" s="25"/>
      <c r="AG142" s="37"/>
      <c r="AH142" s="37"/>
      <c r="AI142" s="25">
        <v>18408</v>
      </c>
      <c r="AJ142" s="25"/>
    </row>
    <row r="143" spans="1:36" ht="15.75" customHeight="1" x14ac:dyDescent="0.25">
      <c r="A143" s="14" t="s">
        <v>475</v>
      </c>
      <c r="B143" s="72">
        <v>4808</v>
      </c>
      <c r="C143" s="72" t="s">
        <v>1316</v>
      </c>
      <c r="D143" s="17"/>
      <c r="E143" s="90" t="s">
        <v>1429</v>
      </c>
      <c r="F143" s="19"/>
      <c r="G143" s="20" t="s">
        <v>476</v>
      </c>
      <c r="H143" s="32" t="s">
        <v>12</v>
      </c>
      <c r="I143" s="25"/>
      <c r="J143" s="30"/>
      <c r="K143" s="25"/>
      <c r="L143" s="25"/>
      <c r="M143" s="25"/>
      <c r="N143" s="25"/>
      <c r="O143" s="25"/>
      <c r="P143" s="25"/>
      <c r="Q143" s="25"/>
      <c r="R143" s="25"/>
      <c r="S143" s="25" t="s">
        <v>477</v>
      </c>
      <c r="T143" s="25"/>
      <c r="U143" s="25"/>
      <c r="V143" s="25"/>
      <c r="W143" s="25"/>
      <c r="X143" s="25"/>
      <c r="Y143" s="25"/>
      <c r="Z143" s="25"/>
      <c r="AA143" s="25"/>
      <c r="AB143" s="25"/>
      <c r="AC143" s="25"/>
      <c r="AD143" s="25"/>
      <c r="AE143" s="25"/>
      <c r="AF143" s="25"/>
      <c r="AG143" s="37"/>
      <c r="AH143" s="37"/>
      <c r="AI143" s="37"/>
      <c r="AJ143" s="37"/>
    </row>
    <row r="144" spans="1:36" ht="15.75" customHeight="1" x14ac:dyDescent="0.25">
      <c r="A144" s="14" t="s">
        <v>478</v>
      </c>
      <c r="B144" s="28">
        <v>11642</v>
      </c>
      <c r="C144" s="28" t="s">
        <v>818</v>
      </c>
      <c r="D144" s="17"/>
      <c r="E144" s="90" t="s">
        <v>1430</v>
      </c>
      <c r="F144" s="19"/>
      <c r="G144" s="20" t="s">
        <v>479</v>
      </c>
      <c r="H144" s="32" t="s">
        <v>12</v>
      </c>
      <c r="I144" s="25"/>
      <c r="J144" s="30"/>
      <c r="K144" s="25"/>
      <c r="L144" s="25"/>
      <c r="M144" s="25"/>
      <c r="N144" s="25"/>
      <c r="O144" s="25"/>
      <c r="P144" s="28">
        <v>11642</v>
      </c>
      <c r="Q144" s="25"/>
      <c r="R144" s="25"/>
      <c r="S144" s="25"/>
      <c r="T144" s="25"/>
      <c r="U144" s="25"/>
      <c r="V144" s="25"/>
      <c r="W144" s="25"/>
      <c r="X144" s="25"/>
      <c r="Y144" s="25"/>
      <c r="Z144" s="25"/>
      <c r="AA144" s="25"/>
      <c r="AB144" s="25"/>
      <c r="AC144" s="25"/>
      <c r="AD144" s="25"/>
      <c r="AE144" s="25"/>
      <c r="AF144" s="25"/>
      <c r="AG144" s="37"/>
      <c r="AH144" s="37"/>
      <c r="AI144" s="37"/>
      <c r="AJ144" s="37"/>
    </row>
    <row r="145" spans="1:43" ht="15.75" customHeight="1" x14ac:dyDescent="0.25">
      <c r="A145" s="14" t="s">
        <v>480</v>
      </c>
      <c r="B145" s="28">
        <v>16284</v>
      </c>
      <c r="C145" s="28" t="s">
        <v>954</v>
      </c>
      <c r="D145" s="17"/>
      <c r="E145" s="90" t="s">
        <v>1431</v>
      </c>
      <c r="F145" s="19"/>
      <c r="G145" s="20" t="s">
        <v>481</v>
      </c>
      <c r="H145" s="32" t="s">
        <v>12</v>
      </c>
      <c r="I145" s="25"/>
      <c r="J145" s="30"/>
      <c r="K145" s="25"/>
      <c r="L145" s="25"/>
      <c r="M145" s="25"/>
      <c r="N145" s="25"/>
      <c r="O145" s="25"/>
      <c r="P145" s="25"/>
      <c r="Q145" s="25"/>
      <c r="R145" s="25"/>
      <c r="S145" s="28">
        <v>16284</v>
      </c>
      <c r="T145" s="25"/>
      <c r="U145" s="25"/>
      <c r="V145" s="25"/>
      <c r="W145" s="25"/>
      <c r="X145" s="25"/>
      <c r="Y145" s="25"/>
      <c r="Z145" s="25"/>
      <c r="AA145" s="25"/>
      <c r="AB145" s="25"/>
      <c r="AC145" s="25"/>
      <c r="AD145" s="25"/>
      <c r="AE145" s="25"/>
      <c r="AF145" s="25"/>
      <c r="AG145" s="37"/>
      <c r="AH145" s="37"/>
      <c r="AI145" s="37"/>
      <c r="AJ145" s="37"/>
    </row>
    <row r="146" spans="1:43" ht="15.75" customHeight="1" x14ac:dyDescent="0.25">
      <c r="A146" s="14" t="s">
        <v>482</v>
      </c>
      <c r="B146" s="28">
        <v>16286</v>
      </c>
      <c r="C146" s="28" t="s">
        <v>954</v>
      </c>
      <c r="D146" s="17"/>
      <c r="E146" s="90" t="s">
        <v>1432</v>
      </c>
      <c r="F146" s="19"/>
      <c r="G146" s="20" t="s">
        <v>483</v>
      </c>
      <c r="H146" s="32" t="s">
        <v>12</v>
      </c>
      <c r="I146" s="25"/>
      <c r="J146" s="30"/>
      <c r="K146" s="25"/>
      <c r="L146" s="25"/>
      <c r="M146" s="25"/>
      <c r="N146" s="25"/>
      <c r="O146" s="25"/>
      <c r="P146" s="28">
        <v>16286</v>
      </c>
      <c r="Q146" s="25"/>
      <c r="R146" s="25"/>
      <c r="S146" s="25"/>
      <c r="T146" s="25"/>
      <c r="U146" s="25"/>
      <c r="V146" s="25"/>
      <c r="W146" s="25"/>
      <c r="X146" s="25"/>
      <c r="Y146" s="25"/>
      <c r="Z146" s="25"/>
      <c r="AA146" s="25"/>
      <c r="AB146" s="25"/>
      <c r="AC146" s="25"/>
      <c r="AD146" s="25"/>
      <c r="AE146" s="25"/>
      <c r="AF146" s="25"/>
      <c r="AG146" s="37"/>
      <c r="AH146" s="37"/>
      <c r="AI146" s="37"/>
      <c r="AJ146" s="37"/>
    </row>
    <row r="147" spans="1:43" ht="15.75" customHeight="1" x14ac:dyDescent="0.25">
      <c r="A147" s="14" t="s">
        <v>484</v>
      </c>
      <c r="B147" s="28">
        <v>18408</v>
      </c>
      <c r="C147" s="28" t="s">
        <v>954</v>
      </c>
      <c r="D147" s="17"/>
      <c r="E147" s="90" t="s">
        <v>1433</v>
      </c>
      <c r="F147" s="19"/>
      <c r="G147" s="20" t="s">
        <v>485</v>
      </c>
      <c r="H147" s="32" t="s">
        <v>12</v>
      </c>
      <c r="I147" s="25"/>
      <c r="J147" s="30"/>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37"/>
      <c r="AH147" s="37"/>
      <c r="AI147" s="28">
        <v>18408</v>
      </c>
      <c r="AJ147" s="37"/>
    </row>
    <row r="148" spans="1:43" ht="15.75" customHeight="1" x14ac:dyDescent="0.25">
      <c r="A148" s="14" t="s">
        <v>486</v>
      </c>
      <c r="B148" s="28" t="s">
        <v>1434</v>
      </c>
      <c r="C148" s="28" t="s">
        <v>1435</v>
      </c>
      <c r="D148" s="17" t="s">
        <v>1436</v>
      </c>
      <c r="E148" s="90" t="s">
        <v>1437</v>
      </c>
      <c r="F148" s="19"/>
      <c r="G148" s="20" t="s">
        <v>487</v>
      </c>
      <c r="H148" s="32" t="s">
        <v>488</v>
      </c>
      <c r="I148" s="25"/>
      <c r="J148" s="30"/>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37"/>
      <c r="AH148" s="37"/>
      <c r="AI148" s="28"/>
      <c r="AJ148" s="37"/>
    </row>
    <row r="149" spans="1:43" ht="15.75" customHeight="1" x14ac:dyDescent="0.25">
      <c r="A149" s="14" t="s">
        <v>489</v>
      </c>
      <c r="B149" s="28">
        <v>192163</v>
      </c>
      <c r="C149" s="28" t="s">
        <v>1438</v>
      </c>
      <c r="D149" s="17" t="s">
        <v>1439</v>
      </c>
      <c r="E149" s="90" t="s">
        <v>1440</v>
      </c>
      <c r="F149" s="19"/>
      <c r="G149" s="20" t="s">
        <v>490</v>
      </c>
      <c r="H149" s="32" t="s">
        <v>491</v>
      </c>
      <c r="I149" s="25"/>
      <c r="J149" s="30" t="s">
        <v>492</v>
      </c>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37"/>
      <c r="AH149" s="37"/>
      <c r="AI149" s="28"/>
      <c r="AJ149" s="37"/>
    </row>
    <row r="150" spans="1:43" ht="15.75" customHeight="1" x14ac:dyDescent="0.25">
      <c r="A150" s="14" t="s">
        <v>493</v>
      </c>
      <c r="B150" s="28" t="s">
        <v>984</v>
      </c>
      <c r="C150" s="28">
        <v>98527</v>
      </c>
      <c r="D150" s="17" t="s">
        <v>985</v>
      </c>
      <c r="E150" s="90" t="s">
        <v>495</v>
      </c>
      <c r="F150" s="19"/>
      <c r="G150" s="20" t="s">
        <v>494</v>
      </c>
      <c r="H150" s="32" t="s">
        <v>495</v>
      </c>
      <c r="I150" s="25"/>
      <c r="J150" s="30" t="s">
        <v>496</v>
      </c>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37"/>
      <c r="AH150" s="37"/>
      <c r="AI150" s="37"/>
      <c r="AJ150" s="37"/>
    </row>
    <row r="151" spans="1:43" ht="15.75" customHeight="1" x14ac:dyDescent="0.25">
      <c r="A151" s="14" t="s">
        <v>497</v>
      </c>
      <c r="B151" s="28">
        <v>27776</v>
      </c>
      <c r="C151" s="28" t="s">
        <v>851</v>
      </c>
      <c r="D151" s="17"/>
      <c r="E151" s="90" t="s">
        <v>938</v>
      </c>
      <c r="F151" s="19"/>
      <c r="G151" s="20" t="s">
        <v>498</v>
      </c>
      <c r="H151" s="32" t="s">
        <v>499</v>
      </c>
      <c r="I151" s="25" t="s">
        <v>500</v>
      </c>
      <c r="J151" s="30"/>
      <c r="K151" s="25"/>
      <c r="L151" s="25"/>
      <c r="M151" s="25"/>
      <c r="N151" s="25"/>
      <c r="O151" s="25"/>
      <c r="P151" s="25"/>
      <c r="Q151" s="25"/>
      <c r="R151" s="25"/>
      <c r="S151" s="25"/>
      <c r="T151" s="25"/>
      <c r="U151" s="25"/>
      <c r="V151" s="25"/>
      <c r="W151" s="25"/>
      <c r="X151" s="25"/>
      <c r="Y151" s="25"/>
      <c r="Z151" s="25"/>
      <c r="AA151" s="25"/>
      <c r="AB151" s="25"/>
      <c r="AC151" s="25"/>
      <c r="AD151" s="25"/>
      <c r="AE151" s="25"/>
      <c r="AF151" s="25"/>
      <c r="AG151" s="37"/>
      <c r="AH151" s="37"/>
      <c r="AI151" s="25">
        <v>11982</v>
      </c>
      <c r="AJ151" s="25"/>
    </row>
    <row r="152" spans="1:43" ht="15.75" customHeight="1" x14ac:dyDescent="0.25">
      <c r="A152" s="14" t="s">
        <v>501</v>
      </c>
      <c r="B152" s="28" t="s">
        <v>988</v>
      </c>
      <c r="C152" s="28" t="s">
        <v>1089</v>
      </c>
      <c r="D152" s="17"/>
      <c r="E152" s="90" t="s">
        <v>503</v>
      </c>
      <c r="F152" s="19"/>
      <c r="G152" s="20" t="s">
        <v>502</v>
      </c>
      <c r="H152" s="32" t="s">
        <v>503</v>
      </c>
      <c r="I152" s="25" t="s">
        <v>504</v>
      </c>
      <c r="J152" s="30" t="s">
        <v>505</v>
      </c>
      <c r="K152" s="25"/>
      <c r="L152" s="25"/>
      <c r="M152" s="25"/>
      <c r="N152" s="25"/>
      <c r="O152" s="25"/>
      <c r="P152" s="25"/>
      <c r="Q152" s="25"/>
      <c r="R152" s="25"/>
      <c r="S152" s="25"/>
      <c r="T152" s="25"/>
      <c r="U152" s="25" t="s">
        <v>506</v>
      </c>
      <c r="V152" s="25"/>
      <c r="W152" s="25"/>
      <c r="X152" s="25"/>
      <c r="Y152" s="25" t="s">
        <v>507</v>
      </c>
      <c r="Z152" s="25" t="s">
        <v>508</v>
      </c>
      <c r="AA152" s="25" t="s">
        <v>509</v>
      </c>
      <c r="AB152" s="25"/>
      <c r="AC152" s="25" t="s">
        <v>510</v>
      </c>
      <c r="AD152" s="25"/>
      <c r="AE152" s="25"/>
      <c r="AF152" s="25"/>
      <c r="AG152" s="25"/>
      <c r="AH152" s="25"/>
      <c r="AI152" s="25" t="s">
        <v>511</v>
      </c>
      <c r="AJ152" s="25"/>
    </row>
    <row r="153" spans="1:43" ht="15.75" customHeight="1" x14ac:dyDescent="0.25">
      <c r="A153" s="14" t="s">
        <v>512</v>
      </c>
      <c r="B153" s="28" t="s">
        <v>1441</v>
      </c>
      <c r="C153" s="28" t="s">
        <v>1442</v>
      </c>
      <c r="D153" s="17" t="s">
        <v>1443</v>
      </c>
      <c r="E153" s="90" t="s">
        <v>514</v>
      </c>
      <c r="F153" s="19"/>
      <c r="G153" s="20" t="s">
        <v>513</v>
      </c>
      <c r="H153" s="32" t="s">
        <v>514</v>
      </c>
      <c r="I153" s="25"/>
      <c r="J153" s="30"/>
      <c r="K153" s="25"/>
      <c r="L153" s="25"/>
      <c r="M153" s="25"/>
      <c r="N153" s="25"/>
      <c r="O153" s="25"/>
      <c r="P153" s="25"/>
      <c r="Q153" s="25"/>
      <c r="R153" s="25"/>
      <c r="S153" s="25"/>
      <c r="T153" s="25"/>
      <c r="U153" s="25"/>
      <c r="V153" s="25"/>
      <c r="W153" s="25"/>
      <c r="X153" s="25"/>
      <c r="Y153" s="25"/>
      <c r="Z153" s="25"/>
      <c r="AA153" s="25"/>
      <c r="AB153" s="25"/>
      <c r="AC153" s="25"/>
      <c r="AD153" s="25"/>
      <c r="AE153" s="25"/>
      <c r="AF153" s="25"/>
      <c r="AG153" s="25" t="s">
        <v>515</v>
      </c>
      <c r="AH153" s="25"/>
      <c r="AI153" s="25"/>
      <c r="AJ153" s="25"/>
    </row>
    <row r="154" spans="1:43" ht="15.75" customHeight="1" x14ac:dyDescent="0.25">
      <c r="A154" s="14" t="s">
        <v>516</v>
      </c>
      <c r="B154" s="28" t="s">
        <v>1444</v>
      </c>
      <c r="C154" s="28" t="s">
        <v>1141</v>
      </c>
      <c r="D154" s="17"/>
      <c r="E154" s="90" t="s">
        <v>518</v>
      </c>
      <c r="F154" s="19"/>
      <c r="G154" s="20" t="s">
        <v>517</v>
      </c>
      <c r="H154" s="32" t="s">
        <v>518</v>
      </c>
      <c r="I154" s="25"/>
      <c r="J154" s="30" t="s">
        <v>519</v>
      </c>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37"/>
      <c r="AH154" s="37"/>
      <c r="AI154" s="37"/>
      <c r="AJ154" s="37"/>
    </row>
    <row r="155" spans="1:43" ht="15.75" customHeight="1" x14ac:dyDescent="0.25">
      <c r="A155" s="14" t="s">
        <v>520</v>
      </c>
      <c r="B155" s="28">
        <v>28883</v>
      </c>
      <c r="C155" s="28" t="s">
        <v>1445</v>
      </c>
      <c r="D155" s="17"/>
      <c r="E155" s="90" t="s">
        <v>1446</v>
      </c>
      <c r="F155" s="19"/>
      <c r="G155" s="20" t="s">
        <v>521</v>
      </c>
      <c r="H155" s="32" t="s">
        <v>522</v>
      </c>
      <c r="I155" s="25" t="s">
        <v>523</v>
      </c>
      <c r="J155" s="30" t="s">
        <v>524</v>
      </c>
      <c r="K155" s="25"/>
      <c r="L155" s="25"/>
      <c r="M155" s="25"/>
      <c r="N155" s="25"/>
      <c r="O155" s="25"/>
      <c r="P155" s="25"/>
      <c r="Q155" s="25"/>
      <c r="R155" s="25"/>
      <c r="S155" s="25"/>
      <c r="T155" s="25"/>
      <c r="U155" s="25"/>
      <c r="V155" s="25"/>
      <c r="W155" s="25"/>
      <c r="X155" s="25"/>
      <c r="Y155" s="25"/>
      <c r="Z155" s="25"/>
      <c r="AA155" s="25" t="s">
        <v>525</v>
      </c>
      <c r="AB155" s="25"/>
      <c r="AC155" s="25"/>
      <c r="AD155" s="25"/>
      <c r="AE155" s="25"/>
      <c r="AF155" s="25" t="s">
        <v>526</v>
      </c>
      <c r="AG155" s="37"/>
      <c r="AH155" s="37"/>
      <c r="AI155" s="34" t="s">
        <v>527</v>
      </c>
      <c r="AJ155" s="34"/>
    </row>
    <row r="156" spans="1:43" ht="15.75" customHeight="1" x14ac:dyDescent="0.25">
      <c r="A156" s="14" t="s">
        <v>528</v>
      </c>
      <c r="B156" s="73" t="s">
        <v>1122</v>
      </c>
      <c r="C156" s="28" t="s">
        <v>818</v>
      </c>
      <c r="D156" s="17" t="s">
        <v>1447</v>
      </c>
      <c r="E156" s="90" t="s">
        <v>530</v>
      </c>
      <c r="F156" s="19"/>
      <c r="G156" s="20" t="s">
        <v>529</v>
      </c>
      <c r="H156" s="32" t="s">
        <v>530</v>
      </c>
      <c r="I156" s="25"/>
      <c r="J156" s="30" t="s">
        <v>531</v>
      </c>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37"/>
      <c r="AH156" s="37"/>
      <c r="AI156" s="30">
        <v>120734</v>
      </c>
      <c r="AJ156" s="30"/>
    </row>
    <row r="157" spans="1:43" ht="15.75" customHeight="1" x14ac:dyDescent="0.25">
      <c r="A157" s="14" t="s">
        <v>532</v>
      </c>
      <c r="B157" s="73"/>
      <c r="C157" s="28"/>
      <c r="D157" s="17"/>
      <c r="E157" s="90" t="s">
        <v>534</v>
      </c>
      <c r="F157" s="19"/>
      <c r="G157" s="20" t="s">
        <v>533</v>
      </c>
      <c r="H157" s="32" t="s">
        <v>534</v>
      </c>
      <c r="I157" s="25"/>
      <c r="J157" s="30" t="s">
        <v>535</v>
      </c>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37"/>
      <c r="AH157" s="37"/>
      <c r="AI157" s="37"/>
      <c r="AJ157" s="37"/>
    </row>
    <row r="158" spans="1:43" ht="15.75" customHeight="1" x14ac:dyDescent="0.25">
      <c r="A158" s="14" t="s">
        <v>536</v>
      </c>
      <c r="B158" s="28" t="s">
        <v>1448</v>
      </c>
      <c r="C158" s="28" t="s">
        <v>818</v>
      </c>
      <c r="D158" s="17"/>
      <c r="E158" s="90" t="s">
        <v>1449</v>
      </c>
      <c r="F158" s="19"/>
      <c r="G158" s="20" t="s">
        <v>537</v>
      </c>
      <c r="H158" s="32" t="s">
        <v>538</v>
      </c>
      <c r="I158" s="25"/>
      <c r="J158" s="30"/>
      <c r="K158" s="25"/>
      <c r="L158" s="25"/>
      <c r="M158" s="25"/>
      <c r="N158" s="25"/>
      <c r="O158" s="25"/>
      <c r="P158" s="25"/>
      <c r="Q158" s="25"/>
      <c r="R158" s="25"/>
      <c r="S158" s="25"/>
      <c r="T158" s="25"/>
      <c r="U158" s="25"/>
      <c r="V158" s="25"/>
      <c r="W158" s="25"/>
      <c r="X158" s="25"/>
      <c r="Y158" s="25"/>
      <c r="Z158" s="25"/>
      <c r="AA158" s="25"/>
      <c r="AB158" s="25"/>
      <c r="AC158" s="25"/>
      <c r="AD158" s="25"/>
      <c r="AE158" s="25"/>
      <c r="AF158" s="25"/>
      <c r="AG158" s="53"/>
      <c r="AH158" s="53"/>
      <c r="AI158" s="53"/>
      <c r="AJ158" s="53"/>
      <c r="AK158" s="74"/>
      <c r="AL158" s="74"/>
      <c r="AM158" s="74"/>
      <c r="AN158" s="74"/>
      <c r="AO158" s="74"/>
      <c r="AP158" s="74"/>
      <c r="AQ158" s="74"/>
    </row>
    <row r="159" spans="1:43" ht="15.75" customHeight="1" x14ac:dyDescent="0.25">
      <c r="A159" s="14" t="s">
        <v>539</v>
      </c>
      <c r="B159" s="28"/>
      <c r="C159" s="28"/>
      <c r="D159" s="17"/>
      <c r="E159" s="90" t="s">
        <v>541</v>
      </c>
      <c r="F159" s="19"/>
      <c r="G159" s="20" t="s">
        <v>540</v>
      </c>
      <c r="H159" s="32" t="s">
        <v>541</v>
      </c>
      <c r="I159" s="25" t="s">
        <v>542</v>
      </c>
      <c r="J159" s="30" t="s">
        <v>543</v>
      </c>
      <c r="K159" s="25"/>
      <c r="L159" s="25"/>
      <c r="M159" s="25"/>
      <c r="N159" s="25"/>
      <c r="O159" s="25"/>
      <c r="P159" s="25"/>
      <c r="Q159" s="25"/>
      <c r="R159" s="25"/>
      <c r="S159" s="25"/>
      <c r="T159" s="25"/>
      <c r="U159" s="25"/>
      <c r="V159" s="25"/>
      <c r="W159" s="25"/>
      <c r="X159" s="25"/>
      <c r="Y159" s="25"/>
      <c r="Z159" s="25"/>
      <c r="AA159" s="25"/>
      <c r="AB159" s="25"/>
      <c r="AC159" s="25"/>
      <c r="AD159" s="25"/>
      <c r="AE159" s="25"/>
      <c r="AF159" s="25"/>
      <c r="AG159" s="37"/>
      <c r="AH159" s="37"/>
      <c r="AI159" s="37"/>
      <c r="AJ159" s="37"/>
    </row>
    <row r="160" spans="1:43" ht="15.75" customHeight="1" x14ac:dyDescent="0.25">
      <c r="A160" s="14" t="s">
        <v>544</v>
      </c>
      <c r="B160" s="28">
        <v>4794877</v>
      </c>
      <c r="C160" s="28" t="s">
        <v>1450</v>
      </c>
      <c r="D160" s="17"/>
      <c r="E160" s="90" t="s">
        <v>546</v>
      </c>
      <c r="F160" s="19"/>
      <c r="G160" s="20" t="s">
        <v>545</v>
      </c>
      <c r="H160" s="32" t="s">
        <v>546</v>
      </c>
      <c r="I160" s="25" t="s">
        <v>547</v>
      </c>
      <c r="J160" s="30" t="s">
        <v>548</v>
      </c>
      <c r="K160" s="25"/>
      <c r="L160" s="33" t="s">
        <v>549</v>
      </c>
      <c r="M160" s="33"/>
      <c r="N160" s="25"/>
      <c r="O160" s="25"/>
      <c r="P160" s="25"/>
      <c r="Q160" s="25"/>
      <c r="R160" s="25"/>
      <c r="S160" s="25"/>
      <c r="T160" s="25"/>
      <c r="U160" s="25"/>
      <c r="V160" s="25"/>
      <c r="W160" s="25"/>
      <c r="X160" s="25"/>
      <c r="Y160" s="25"/>
      <c r="Z160" s="25"/>
      <c r="AA160" s="25"/>
      <c r="AB160" s="25"/>
      <c r="AC160" s="25"/>
      <c r="AD160" s="25"/>
      <c r="AE160" s="25"/>
      <c r="AF160" s="25"/>
      <c r="AG160" s="37"/>
      <c r="AH160" s="37"/>
      <c r="AI160" s="33" t="s">
        <v>550</v>
      </c>
      <c r="AJ160" s="33"/>
    </row>
    <row r="161" spans="1:43" ht="15.75" customHeight="1" x14ac:dyDescent="0.25">
      <c r="A161" s="14" t="s">
        <v>551</v>
      </c>
      <c r="B161" s="42" t="s">
        <v>1122</v>
      </c>
      <c r="C161" s="28" t="s">
        <v>1138</v>
      </c>
      <c r="D161" s="52" t="s">
        <v>1451</v>
      </c>
      <c r="E161" s="90" t="s">
        <v>554</v>
      </c>
      <c r="F161" s="19"/>
      <c r="G161" s="20" t="s">
        <v>553</v>
      </c>
      <c r="H161" s="32" t="s">
        <v>554</v>
      </c>
      <c r="I161" s="25" t="s">
        <v>555</v>
      </c>
      <c r="J161" s="30" t="s">
        <v>555</v>
      </c>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37"/>
      <c r="AH161" s="37"/>
      <c r="AI161" s="25"/>
      <c r="AJ161" s="25"/>
    </row>
    <row r="162" spans="1:43" ht="15.75" customHeight="1" x14ac:dyDescent="0.25">
      <c r="A162" s="14" t="s">
        <v>556</v>
      </c>
      <c r="B162" s="28" t="s">
        <v>977</v>
      </c>
      <c r="C162" s="28" t="s">
        <v>818</v>
      </c>
      <c r="D162" s="17"/>
      <c r="E162" s="90" t="s">
        <v>558</v>
      </c>
      <c r="F162" s="19"/>
      <c r="G162" s="20" t="s">
        <v>557</v>
      </c>
      <c r="H162" s="32" t="s">
        <v>558</v>
      </c>
      <c r="I162" s="25"/>
      <c r="J162" s="30" t="s">
        <v>559</v>
      </c>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37"/>
      <c r="AH162" s="37"/>
      <c r="AI162" s="76"/>
      <c r="AJ162" s="76"/>
    </row>
    <row r="163" spans="1:43" ht="15.75" customHeight="1" x14ac:dyDescent="0.25">
      <c r="A163" s="14" t="s">
        <v>560</v>
      </c>
      <c r="B163" s="28"/>
      <c r="C163" s="28"/>
      <c r="D163" s="17"/>
      <c r="E163" s="90" t="s">
        <v>562</v>
      </c>
      <c r="F163" s="19"/>
      <c r="G163" s="20" t="s">
        <v>561</v>
      </c>
      <c r="H163" s="32" t="s">
        <v>562</v>
      </c>
      <c r="I163" s="25"/>
      <c r="J163" s="30" t="s">
        <v>563</v>
      </c>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37"/>
      <c r="AH163" s="37"/>
      <c r="AI163" s="37"/>
      <c r="AJ163" s="37"/>
    </row>
    <row r="164" spans="1:43" ht="15.75" customHeight="1" x14ac:dyDescent="0.25">
      <c r="A164" s="14" t="s">
        <v>564</v>
      </c>
      <c r="B164" s="28" t="s">
        <v>1452</v>
      </c>
      <c r="C164" s="28" t="s">
        <v>1453</v>
      </c>
      <c r="D164" s="17"/>
      <c r="E164" s="90" t="s">
        <v>566</v>
      </c>
      <c r="F164" s="19"/>
      <c r="G164" s="20" t="s">
        <v>565</v>
      </c>
      <c r="H164" s="32" t="s">
        <v>566</v>
      </c>
      <c r="I164" s="25"/>
      <c r="J164" s="30" t="s">
        <v>567</v>
      </c>
      <c r="K164" s="25"/>
      <c r="L164" s="25"/>
      <c r="M164" s="25"/>
      <c r="N164" s="25"/>
      <c r="O164" s="25"/>
      <c r="P164" s="25"/>
      <c r="Q164" s="25"/>
      <c r="R164" s="25"/>
      <c r="S164" s="25"/>
      <c r="T164" s="25"/>
      <c r="U164" s="25"/>
      <c r="V164" s="25"/>
      <c r="W164" s="25"/>
      <c r="X164" s="25"/>
      <c r="Y164" s="25"/>
      <c r="Z164" s="25"/>
      <c r="AA164" s="25"/>
      <c r="AB164" s="25"/>
      <c r="AC164" s="25"/>
      <c r="AD164" s="25"/>
      <c r="AE164" s="25"/>
      <c r="AF164" s="25"/>
      <c r="AG164" s="37"/>
      <c r="AH164" s="37"/>
      <c r="AI164" s="30" t="s">
        <v>568</v>
      </c>
      <c r="AJ164" s="30"/>
    </row>
    <row r="165" spans="1:43" ht="15.75" customHeight="1" x14ac:dyDescent="0.25">
      <c r="A165" s="14" t="s">
        <v>569</v>
      </c>
      <c r="B165" s="28"/>
      <c r="C165" s="28"/>
      <c r="D165" s="17"/>
      <c r="E165" s="90" t="s">
        <v>571</v>
      </c>
      <c r="F165" s="19"/>
      <c r="G165" s="20" t="s">
        <v>570</v>
      </c>
      <c r="H165" s="32" t="s">
        <v>571</v>
      </c>
      <c r="I165" s="25"/>
      <c r="J165" s="30" t="s">
        <v>572</v>
      </c>
      <c r="K165" s="25"/>
      <c r="L165" s="25"/>
      <c r="M165" s="25"/>
      <c r="N165" s="25"/>
      <c r="O165" s="25"/>
      <c r="P165" s="25"/>
      <c r="Q165" s="25"/>
      <c r="R165" s="25"/>
      <c r="S165" s="25"/>
      <c r="T165" s="25"/>
      <c r="U165" s="25"/>
      <c r="V165" s="25"/>
      <c r="W165" s="25"/>
      <c r="X165" s="25"/>
      <c r="Y165" s="25"/>
      <c r="Z165" s="25"/>
      <c r="AA165" s="25"/>
      <c r="AB165" s="25"/>
      <c r="AC165" s="25"/>
      <c r="AD165" s="25"/>
      <c r="AE165" s="25"/>
      <c r="AF165" s="25"/>
      <c r="AG165" s="37"/>
      <c r="AH165" s="37"/>
      <c r="AI165" s="37"/>
      <c r="AJ165" s="37"/>
    </row>
    <row r="166" spans="1:43" ht="15.75" customHeight="1" x14ac:dyDescent="0.25">
      <c r="A166" s="14" t="s">
        <v>573</v>
      </c>
      <c r="B166" s="42" t="s">
        <v>1073</v>
      </c>
      <c r="C166" s="28" t="s">
        <v>1454</v>
      </c>
      <c r="D166" s="52" t="s">
        <v>1455</v>
      </c>
      <c r="E166" s="90" t="s">
        <v>575</v>
      </c>
      <c r="F166" s="19"/>
      <c r="G166" s="20" t="s">
        <v>574</v>
      </c>
      <c r="H166" s="32" t="s">
        <v>575</v>
      </c>
      <c r="I166" s="25"/>
      <c r="J166" s="30" t="s">
        <v>576</v>
      </c>
      <c r="K166" s="25"/>
      <c r="L166" s="25"/>
      <c r="M166" s="25"/>
      <c r="N166" s="33" t="s">
        <v>577</v>
      </c>
      <c r="O166" s="33"/>
      <c r="P166" s="25"/>
      <c r="Q166" s="25"/>
      <c r="R166" s="25"/>
      <c r="S166" s="25"/>
      <c r="T166" s="25"/>
      <c r="U166" s="25"/>
      <c r="V166" s="25"/>
      <c r="W166" s="25"/>
      <c r="X166" s="25"/>
      <c r="Y166" s="25"/>
      <c r="Z166" s="25"/>
      <c r="AA166" s="25"/>
      <c r="AB166" s="25"/>
      <c r="AC166" s="25"/>
      <c r="AD166" s="25"/>
      <c r="AE166" s="25"/>
      <c r="AF166" s="25"/>
      <c r="AG166" s="37"/>
      <c r="AH166" s="37"/>
      <c r="AI166" s="33">
        <v>77543</v>
      </c>
      <c r="AJ166" s="33"/>
    </row>
    <row r="167" spans="1:43" ht="15.75" customHeight="1" x14ac:dyDescent="0.25">
      <c r="A167" s="14" t="s">
        <v>578</v>
      </c>
      <c r="B167" s="42" t="s">
        <v>1122</v>
      </c>
      <c r="C167" s="28" t="s">
        <v>1456</v>
      </c>
      <c r="D167" s="52" t="s">
        <v>1455</v>
      </c>
      <c r="E167" s="90" t="s">
        <v>575</v>
      </c>
      <c r="F167" s="19"/>
      <c r="G167" s="20" t="s">
        <v>579</v>
      </c>
      <c r="H167" s="32" t="s">
        <v>575</v>
      </c>
      <c r="I167" s="25" t="s">
        <v>580</v>
      </c>
      <c r="J167" s="30"/>
      <c r="K167" s="25"/>
      <c r="L167" s="25"/>
      <c r="M167" s="25"/>
      <c r="N167" s="33" t="s">
        <v>577</v>
      </c>
      <c r="O167" s="33"/>
      <c r="P167" s="25"/>
      <c r="Q167" s="25"/>
      <c r="R167" s="25"/>
      <c r="S167" s="25"/>
      <c r="T167" s="25"/>
      <c r="U167" s="25"/>
      <c r="V167" s="25"/>
      <c r="W167" s="25"/>
      <c r="X167" s="25"/>
      <c r="Y167" s="25"/>
      <c r="Z167" s="25"/>
      <c r="AA167" s="25"/>
      <c r="AB167" s="25"/>
      <c r="AC167" s="25"/>
      <c r="AD167" s="25"/>
      <c r="AE167" s="25"/>
      <c r="AF167" s="25"/>
      <c r="AG167" s="37"/>
      <c r="AH167" s="37"/>
      <c r="AI167" s="33">
        <v>77543</v>
      </c>
      <c r="AJ167" s="33"/>
    </row>
    <row r="168" spans="1:43" ht="15.75" customHeight="1" x14ac:dyDescent="0.25">
      <c r="A168" s="14" t="s">
        <v>581</v>
      </c>
      <c r="B168" s="28"/>
      <c r="C168" s="28"/>
      <c r="D168" s="17"/>
      <c r="E168" s="90" t="s">
        <v>583</v>
      </c>
      <c r="F168" s="19"/>
      <c r="G168" s="20" t="s">
        <v>582</v>
      </c>
      <c r="H168" s="32" t="s">
        <v>583</v>
      </c>
      <c r="I168" s="25"/>
      <c r="J168" s="30" t="s">
        <v>584</v>
      </c>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37"/>
      <c r="AH168" s="37"/>
      <c r="AI168" s="37"/>
      <c r="AJ168" s="37"/>
    </row>
    <row r="169" spans="1:43" ht="15.75" customHeight="1" x14ac:dyDescent="0.25">
      <c r="A169" s="14" t="s">
        <v>585</v>
      </c>
      <c r="B169" s="28"/>
      <c r="C169" s="28"/>
      <c r="D169" s="17"/>
      <c r="E169" s="90" t="s">
        <v>587</v>
      </c>
      <c r="F169" s="19"/>
      <c r="G169" s="20" t="s">
        <v>586</v>
      </c>
      <c r="H169" s="32" t="s">
        <v>587</v>
      </c>
      <c r="I169" s="25"/>
      <c r="J169" s="30" t="s">
        <v>588</v>
      </c>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37"/>
      <c r="AH169" s="37"/>
      <c r="AI169" s="37"/>
      <c r="AJ169" s="37"/>
      <c r="AK169" s="74"/>
      <c r="AL169" s="74"/>
      <c r="AM169" s="74"/>
      <c r="AN169" s="74"/>
      <c r="AO169" s="74"/>
      <c r="AP169" s="74"/>
      <c r="AQ169" s="74"/>
    </row>
    <row r="170" spans="1:43" ht="15.75" customHeight="1" x14ac:dyDescent="0.25">
      <c r="A170" s="14" t="s">
        <v>589</v>
      </c>
      <c r="B170" s="28"/>
      <c r="C170" s="28"/>
      <c r="D170" s="17"/>
      <c r="E170" s="90" t="s">
        <v>591</v>
      </c>
      <c r="F170" s="19"/>
      <c r="G170" s="20" t="s">
        <v>590</v>
      </c>
      <c r="H170" s="32" t="s">
        <v>591</v>
      </c>
      <c r="I170" s="25"/>
      <c r="J170" s="30"/>
      <c r="K170" s="25"/>
      <c r="L170" s="25"/>
      <c r="M170" s="25"/>
      <c r="N170" s="25"/>
      <c r="O170" s="25"/>
      <c r="P170" s="25"/>
      <c r="Q170" s="25"/>
      <c r="R170" s="25"/>
      <c r="S170" s="25"/>
      <c r="T170" s="25"/>
      <c r="U170" s="25"/>
      <c r="V170" s="25"/>
      <c r="W170" s="25"/>
      <c r="X170" s="25"/>
      <c r="Y170" s="25"/>
      <c r="Z170" s="25"/>
      <c r="AA170" s="25"/>
      <c r="AB170" s="25"/>
      <c r="AC170" s="25"/>
      <c r="AD170" s="25"/>
      <c r="AE170" s="25"/>
      <c r="AF170" s="25"/>
      <c r="AG170" s="53"/>
      <c r="AH170" s="53"/>
      <c r="AI170" s="33" t="s">
        <v>592</v>
      </c>
      <c r="AJ170" s="33"/>
      <c r="AK170" s="74"/>
      <c r="AL170" s="74"/>
      <c r="AM170" s="74"/>
      <c r="AN170" s="74"/>
      <c r="AO170" s="74"/>
      <c r="AP170" s="74"/>
      <c r="AQ170" s="74"/>
    </row>
    <row r="171" spans="1:43" ht="15.75" customHeight="1" x14ac:dyDescent="0.25">
      <c r="A171" s="14" t="s">
        <v>593</v>
      </c>
      <c r="B171" s="28">
        <v>1240842</v>
      </c>
      <c r="C171" s="28" t="s">
        <v>1457</v>
      </c>
      <c r="D171" s="17" t="s">
        <v>1458</v>
      </c>
      <c r="E171" s="90" t="s">
        <v>595</v>
      </c>
      <c r="F171" s="19"/>
      <c r="G171" s="20" t="s">
        <v>594</v>
      </c>
      <c r="H171" s="32" t="s">
        <v>595</v>
      </c>
      <c r="I171" s="25" t="s">
        <v>596</v>
      </c>
      <c r="J171" s="30" t="s">
        <v>596</v>
      </c>
      <c r="K171" s="25"/>
      <c r="L171" s="25"/>
      <c r="M171" s="25"/>
      <c r="N171" s="25"/>
      <c r="O171" s="25"/>
      <c r="P171" s="25"/>
      <c r="Q171" s="25"/>
      <c r="R171" s="25"/>
      <c r="S171" s="25"/>
      <c r="T171" s="25"/>
      <c r="U171" s="25"/>
      <c r="V171" s="25"/>
      <c r="W171" s="25"/>
      <c r="X171" s="25"/>
      <c r="Y171" s="25"/>
      <c r="Z171" s="25"/>
      <c r="AA171" s="25"/>
      <c r="AB171" s="25"/>
      <c r="AC171" s="25"/>
      <c r="AD171" s="25"/>
      <c r="AE171" s="25"/>
      <c r="AF171" s="25"/>
      <c r="AG171" s="37"/>
      <c r="AH171" s="37"/>
      <c r="AI171" s="37"/>
      <c r="AJ171" s="37"/>
      <c r="AK171" s="74"/>
      <c r="AL171" s="74"/>
      <c r="AM171" s="74"/>
      <c r="AN171" s="74"/>
      <c r="AO171" s="74"/>
      <c r="AP171" s="74"/>
      <c r="AQ171" s="74"/>
    </row>
    <row r="172" spans="1:43" ht="15.75" customHeight="1" x14ac:dyDescent="0.25">
      <c r="A172" s="14" t="s">
        <v>597</v>
      </c>
      <c r="B172" s="28">
        <v>1240842</v>
      </c>
      <c r="C172" s="28" t="s">
        <v>1457</v>
      </c>
      <c r="D172" s="17" t="s">
        <v>1459</v>
      </c>
      <c r="E172" s="90" t="s">
        <v>595</v>
      </c>
      <c r="F172" s="19"/>
      <c r="G172" s="20" t="s">
        <v>598</v>
      </c>
      <c r="H172" s="32" t="s">
        <v>595</v>
      </c>
      <c r="I172" s="25" t="s">
        <v>596</v>
      </c>
      <c r="J172" s="30" t="s">
        <v>596</v>
      </c>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53"/>
      <c r="AH172" s="53"/>
      <c r="AI172" s="53"/>
      <c r="AJ172" s="53"/>
      <c r="AK172" s="74"/>
      <c r="AL172" s="74"/>
      <c r="AM172" s="74"/>
      <c r="AN172" s="74"/>
      <c r="AO172" s="74"/>
      <c r="AP172" s="74"/>
      <c r="AQ172" s="74"/>
    </row>
    <row r="173" spans="1:43" ht="15.75" customHeight="1" x14ac:dyDescent="0.25">
      <c r="A173" s="14" t="s">
        <v>599</v>
      </c>
      <c r="B173" s="28"/>
      <c r="C173" s="28"/>
      <c r="D173" s="17"/>
      <c r="E173" s="90" t="s">
        <v>601</v>
      </c>
      <c r="F173" s="19"/>
      <c r="G173" s="20" t="s">
        <v>600</v>
      </c>
      <c r="H173" s="32" t="s">
        <v>601</v>
      </c>
      <c r="I173" s="25"/>
      <c r="J173" s="30"/>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53"/>
      <c r="AH173" s="53"/>
      <c r="AI173" s="33" t="s">
        <v>602</v>
      </c>
      <c r="AJ173" s="33"/>
      <c r="AK173" s="74"/>
      <c r="AL173" s="74"/>
      <c r="AM173" s="74"/>
      <c r="AN173" s="74"/>
      <c r="AO173" s="74"/>
      <c r="AP173" s="74"/>
      <c r="AQ173" s="74"/>
    </row>
    <row r="174" spans="1:43" ht="15.75" customHeight="1" x14ac:dyDescent="0.25">
      <c r="A174" s="14" t="s">
        <v>603</v>
      </c>
      <c r="B174" s="28" t="s">
        <v>1460</v>
      </c>
      <c r="C174" s="28" t="s">
        <v>818</v>
      </c>
      <c r="D174" s="17"/>
      <c r="E174" s="90" t="s">
        <v>605</v>
      </c>
      <c r="F174" s="19"/>
      <c r="G174" s="20" t="s">
        <v>604</v>
      </c>
      <c r="H174" s="32" t="s">
        <v>605</v>
      </c>
      <c r="I174" s="25"/>
      <c r="J174" s="30" t="s">
        <v>606</v>
      </c>
      <c r="K174" s="25"/>
      <c r="L174" s="25"/>
      <c r="M174" s="25"/>
      <c r="N174" s="25"/>
      <c r="O174" s="25"/>
      <c r="P174" s="25"/>
      <c r="Q174" s="25"/>
      <c r="R174" s="25"/>
      <c r="S174" s="25"/>
      <c r="T174" s="25"/>
      <c r="U174" s="25"/>
      <c r="V174" s="25"/>
      <c r="W174" s="25" t="s">
        <v>607</v>
      </c>
      <c r="X174" s="25"/>
      <c r="Y174" s="25"/>
      <c r="Z174" s="25"/>
      <c r="AA174" s="25"/>
      <c r="AB174" s="25"/>
      <c r="AC174" s="25"/>
      <c r="AD174" s="25"/>
      <c r="AE174" s="25"/>
      <c r="AF174" s="25"/>
      <c r="AG174" s="53"/>
      <c r="AH174" s="53"/>
      <c r="AI174" s="53"/>
      <c r="AJ174" s="53"/>
      <c r="AK174" s="74"/>
      <c r="AL174" s="74"/>
      <c r="AM174" s="74"/>
      <c r="AN174" s="74"/>
      <c r="AO174" s="74"/>
      <c r="AP174" s="74"/>
      <c r="AQ174" s="74"/>
    </row>
    <row r="175" spans="1:43" ht="15.75" customHeight="1" x14ac:dyDescent="0.25">
      <c r="A175" s="14" t="s">
        <v>608</v>
      </c>
      <c r="B175" s="28"/>
      <c r="C175" s="28"/>
      <c r="D175" s="17"/>
      <c r="E175" s="90" t="s">
        <v>610</v>
      </c>
      <c r="F175" s="19"/>
      <c r="G175" s="20" t="s">
        <v>609</v>
      </c>
      <c r="H175" s="32" t="s">
        <v>610</v>
      </c>
      <c r="I175" s="25"/>
      <c r="J175" s="30" t="s">
        <v>611</v>
      </c>
      <c r="K175" s="25"/>
      <c r="L175" s="25"/>
      <c r="M175" s="25"/>
      <c r="N175" s="25"/>
      <c r="O175" s="25"/>
      <c r="P175" s="25"/>
      <c r="Q175" s="25"/>
      <c r="R175" s="25"/>
      <c r="S175" s="25"/>
      <c r="T175" s="25"/>
      <c r="U175" s="25"/>
      <c r="V175" s="25"/>
      <c r="W175" s="25"/>
      <c r="X175" s="25"/>
      <c r="Y175" s="25"/>
      <c r="Z175" s="25"/>
      <c r="AA175" s="25"/>
      <c r="AB175" s="25"/>
      <c r="AC175" s="25"/>
      <c r="AD175" s="25"/>
      <c r="AE175" s="25"/>
      <c r="AF175" s="25"/>
      <c r="AG175" s="53"/>
      <c r="AH175" s="53"/>
      <c r="AI175" s="53"/>
      <c r="AJ175" s="53"/>
      <c r="AK175" s="74"/>
      <c r="AL175" s="74"/>
      <c r="AM175" s="74"/>
      <c r="AN175" s="74"/>
      <c r="AO175" s="74"/>
      <c r="AP175" s="74"/>
      <c r="AQ175" s="74"/>
    </row>
    <row r="176" spans="1:43" ht="15.75" customHeight="1" x14ac:dyDescent="0.25">
      <c r="A176" s="14" t="s">
        <v>612</v>
      </c>
      <c r="B176" s="28"/>
      <c r="C176" s="28"/>
      <c r="D176" s="17"/>
      <c r="E176" s="90" t="s">
        <v>614</v>
      </c>
      <c r="F176" s="19"/>
      <c r="G176" s="20" t="s">
        <v>613</v>
      </c>
      <c r="H176" s="32" t="s">
        <v>614</v>
      </c>
      <c r="I176" s="25"/>
      <c r="J176" s="30"/>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53"/>
      <c r="AH176" s="53"/>
      <c r="AI176" s="53"/>
      <c r="AJ176" s="53"/>
      <c r="AK176" s="74"/>
      <c r="AL176" s="74"/>
      <c r="AM176" s="74"/>
      <c r="AN176" s="74"/>
      <c r="AO176" s="74"/>
      <c r="AP176" s="74"/>
      <c r="AQ176" s="74"/>
    </row>
    <row r="177" spans="1:1025" ht="15.75" customHeight="1" x14ac:dyDescent="0.25">
      <c r="A177" s="14"/>
      <c r="B177" s="28"/>
      <c r="C177" s="28"/>
      <c r="D177" s="17"/>
      <c r="E177" s="18"/>
      <c r="F177" s="19"/>
      <c r="G177" s="20"/>
      <c r="H177" s="32" t="s">
        <v>615</v>
      </c>
      <c r="I177" s="25" t="s">
        <v>616</v>
      </c>
      <c r="J177" s="30"/>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53"/>
      <c r="AH177" s="53"/>
      <c r="AI177" s="53"/>
      <c r="AJ177" s="53"/>
      <c r="AK177" s="74"/>
      <c r="AL177" s="74"/>
      <c r="AM177" s="74"/>
      <c r="AN177" s="74"/>
      <c r="AO177" s="74"/>
      <c r="AP177" s="74"/>
      <c r="AQ177" s="74"/>
    </row>
    <row r="178" spans="1:1025" ht="15.75" customHeight="1" x14ac:dyDescent="0.25">
      <c r="A178" s="14" t="s">
        <v>617</v>
      </c>
      <c r="B178" s="28" t="s">
        <v>1461</v>
      </c>
      <c r="C178" s="28" t="s">
        <v>818</v>
      </c>
      <c r="D178" s="17"/>
      <c r="E178" s="90" t="s">
        <v>619</v>
      </c>
      <c r="F178" s="19"/>
      <c r="G178" s="20" t="s">
        <v>618</v>
      </c>
      <c r="H178" s="32" t="s">
        <v>619</v>
      </c>
      <c r="I178" s="33"/>
      <c r="J178" s="30" t="s">
        <v>620</v>
      </c>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53"/>
      <c r="AH178" s="53"/>
      <c r="AI178" s="53"/>
      <c r="AJ178" s="53"/>
      <c r="AK178" s="74"/>
      <c r="AL178" s="74"/>
      <c r="AM178" s="74"/>
      <c r="AN178" s="74"/>
      <c r="AO178" s="74"/>
      <c r="AP178" s="74"/>
      <c r="AQ178" s="74"/>
    </row>
    <row r="179" spans="1:1025" ht="15.75" customHeight="1" x14ac:dyDescent="0.25">
      <c r="A179" s="14" t="s">
        <v>621</v>
      </c>
      <c r="B179" s="28" t="s">
        <v>1462</v>
      </c>
      <c r="C179" s="28" t="s">
        <v>1463</v>
      </c>
      <c r="D179" s="17" t="s">
        <v>1464</v>
      </c>
      <c r="E179" s="90" t="s">
        <v>622</v>
      </c>
      <c r="F179" s="19"/>
      <c r="G179" s="20" t="s">
        <v>623</v>
      </c>
      <c r="H179" s="32" t="s">
        <v>624</v>
      </c>
      <c r="I179" s="33">
        <v>152053992</v>
      </c>
      <c r="J179" s="30" t="s">
        <v>620</v>
      </c>
      <c r="K179" s="25"/>
      <c r="L179" s="25"/>
      <c r="M179" s="25"/>
      <c r="N179" s="25"/>
      <c r="O179" s="25"/>
      <c r="P179" s="25"/>
      <c r="Q179" s="25"/>
      <c r="R179" s="25"/>
      <c r="S179" s="25"/>
      <c r="T179" s="25"/>
      <c r="U179" s="25"/>
      <c r="V179" s="25"/>
      <c r="W179" s="25"/>
      <c r="X179" s="25"/>
      <c r="Y179" s="25"/>
      <c r="Z179" s="25"/>
      <c r="AA179" s="25"/>
      <c r="AB179" s="25"/>
      <c r="AC179" s="25"/>
      <c r="AD179" s="25"/>
      <c r="AE179" s="25"/>
      <c r="AF179" s="25"/>
      <c r="AG179" s="53"/>
      <c r="AH179" s="53"/>
      <c r="AI179" s="33">
        <v>152052339</v>
      </c>
      <c r="AJ179" s="33"/>
      <c r="AK179" s="74"/>
      <c r="AL179" s="74"/>
      <c r="AM179" s="74"/>
      <c r="AN179" s="74"/>
      <c r="AO179" s="74"/>
      <c r="AP179" s="74"/>
      <c r="AQ179" s="74"/>
    </row>
    <row r="180" spans="1:1025" ht="15.75" customHeight="1" x14ac:dyDescent="0.25">
      <c r="A180" s="14" t="s">
        <v>626</v>
      </c>
      <c r="B180" s="28"/>
      <c r="C180" s="28" t="s">
        <v>1465</v>
      </c>
      <c r="D180" s="17"/>
      <c r="E180" s="90" t="s">
        <v>1466</v>
      </c>
      <c r="F180" s="19"/>
      <c r="G180" s="20" t="s">
        <v>627</v>
      </c>
      <c r="H180" s="32" t="s">
        <v>624</v>
      </c>
      <c r="I180" s="33"/>
      <c r="J180" s="30"/>
      <c r="K180" s="25"/>
      <c r="L180" s="25"/>
      <c r="M180" s="25"/>
      <c r="N180" s="25"/>
      <c r="O180" s="25"/>
      <c r="P180" s="25"/>
      <c r="Q180" s="25"/>
      <c r="R180" s="25"/>
      <c r="S180" s="25"/>
      <c r="T180" s="25"/>
      <c r="U180" s="25"/>
      <c r="V180" s="25"/>
      <c r="W180" s="25"/>
      <c r="X180" s="25"/>
      <c r="Y180" s="25"/>
      <c r="Z180" s="25"/>
      <c r="AA180" s="25"/>
      <c r="AB180" s="25"/>
      <c r="AC180" s="25"/>
      <c r="AD180" s="25"/>
      <c r="AE180" s="25"/>
      <c r="AF180" s="25"/>
      <c r="AG180" s="53"/>
      <c r="AH180" s="53"/>
      <c r="AI180" s="53"/>
      <c r="AJ180" s="53"/>
      <c r="AK180" s="74"/>
      <c r="AL180" s="74"/>
      <c r="AM180" s="74"/>
      <c r="AN180" s="74"/>
      <c r="AO180" s="74"/>
      <c r="AP180" s="74"/>
      <c r="AQ180" s="74"/>
    </row>
    <row r="181" spans="1:1025" ht="15.75" customHeight="1" x14ac:dyDescent="0.25">
      <c r="A181" s="14" t="s">
        <v>628</v>
      </c>
      <c r="B181" s="28" t="s">
        <v>1467</v>
      </c>
      <c r="C181" s="28" t="s">
        <v>1468</v>
      </c>
      <c r="D181" s="17" t="s">
        <v>1469</v>
      </c>
      <c r="E181" s="90" t="s">
        <v>630</v>
      </c>
      <c r="F181" s="19"/>
      <c r="G181" s="20" t="s">
        <v>629</v>
      </c>
      <c r="H181" s="32" t="s">
        <v>630</v>
      </c>
      <c r="I181" s="33" t="s">
        <v>631</v>
      </c>
      <c r="J181" s="30" t="s">
        <v>631</v>
      </c>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53"/>
      <c r="AH181" s="53"/>
      <c r="AI181" s="53"/>
      <c r="AJ181" s="53"/>
      <c r="AK181" s="74"/>
      <c r="AL181" s="74"/>
      <c r="AM181" s="74"/>
      <c r="AN181" s="74"/>
      <c r="AO181" s="74"/>
      <c r="AP181" s="74"/>
      <c r="AQ181" s="74"/>
    </row>
    <row r="182" spans="1:1025" ht="15.75" customHeight="1" x14ac:dyDescent="0.25">
      <c r="A182" s="14" t="s">
        <v>632</v>
      </c>
      <c r="B182" s="28" t="s">
        <v>1470</v>
      </c>
      <c r="C182" s="28" t="s">
        <v>1471</v>
      </c>
      <c r="D182" s="17" t="s">
        <v>1469</v>
      </c>
      <c r="E182" s="90" t="s">
        <v>634</v>
      </c>
      <c r="F182" s="19"/>
      <c r="G182" s="20" t="s">
        <v>633</v>
      </c>
      <c r="H182" s="32" t="s">
        <v>634</v>
      </c>
      <c r="K182" s="25"/>
      <c r="L182" s="25" t="s">
        <v>635</v>
      </c>
      <c r="M182" s="25"/>
      <c r="N182" s="25"/>
      <c r="O182" s="25"/>
      <c r="P182" s="25"/>
      <c r="Q182" s="25"/>
      <c r="R182" s="25"/>
      <c r="S182" s="25"/>
      <c r="T182" s="25"/>
      <c r="U182" s="25"/>
      <c r="V182" s="25"/>
      <c r="W182" s="25"/>
      <c r="X182" s="25"/>
      <c r="Y182" s="25"/>
      <c r="Z182" s="25"/>
      <c r="AA182" s="25"/>
      <c r="AB182" s="25"/>
      <c r="AC182" s="25"/>
      <c r="AD182" s="25"/>
      <c r="AE182" s="25"/>
      <c r="AF182" s="25"/>
      <c r="AG182" s="53"/>
      <c r="AH182" s="53"/>
      <c r="AI182" s="53"/>
      <c r="AJ182" s="53"/>
      <c r="AK182" s="74"/>
      <c r="AL182" s="74"/>
      <c r="AM182" s="74"/>
      <c r="AN182" s="74"/>
      <c r="AO182" s="74"/>
      <c r="AP182" s="74"/>
      <c r="AQ182" s="74"/>
    </row>
    <row r="183" spans="1:1025" ht="15.75" customHeight="1" x14ac:dyDescent="0.25">
      <c r="A183" s="14" t="s">
        <v>636</v>
      </c>
      <c r="B183" s="28" t="s">
        <v>1472</v>
      </c>
      <c r="C183" s="28" t="s">
        <v>818</v>
      </c>
      <c r="D183" s="17" t="s">
        <v>1473</v>
      </c>
      <c r="E183" s="90" t="s">
        <v>638</v>
      </c>
      <c r="F183" s="19"/>
      <c r="G183" s="20" t="s">
        <v>637</v>
      </c>
      <c r="H183" s="32" t="s">
        <v>638</v>
      </c>
      <c r="I183" s="30">
        <v>790451</v>
      </c>
      <c r="J183" s="30" t="s">
        <v>639</v>
      </c>
      <c r="K183" s="25"/>
      <c r="L183" s="25"/>
      <c r="M183" s="25"/>
      <c r="N183" s="25"/>
      <c r="O183" s="25"/>
      <c r="P183" s="25" t="s">
        <v>640</v>
      </c>
      <c r="Q183" s="25"/>
      <c r="R183" s="25"/>
      <c r="S183" s="25"/>
      <c r="T183" s="25"/>
      <c r="U183" s="25"/>
      <c r="V183" s="25"/>
      <c r="W183" s="25"/>
      <c r="X183" s="25"/>
      <c r="Y183" s="25"/>
      <c r="Z183" s="25"/>
      <c r="AA183" s="25"/>
      <c r="AB183" s="25"/>
      <c r="AC183" s="25"/>
      <c r="AD183" s="25"/>
      <c r="AE183" s="25"/>
      <c r="AF183" s="25"/>
      <c r="AG183" s="37"/>
      <c r="AH183" s="37"/>
      <c r="AI183" s="37"/>
      <c r="AJ183" s="37"/>
    </row>
    <row r="184" spans="1:1025" ht="15.75" customHeight="1" x14ac:dyDescent="0.25">
      <c r="A184" s="14" t="s">
        <v>641</v>
      </c>
      <c r="B184" s="28">
        <v>2500242</v>
      </c>
      <c r="C184" s="28" t="s">
        <v>1215</v>
      </c>
      <c r="D184" s="17" t="s">
        <v>1474</v>
      </c>
      <c r="E184" s="90" t="s">
        <v>643</v>
      </c>
      <c r="F184" s="19"/>
      <c r="G184" s="20" t="s">
        <v>642</v>
      </c>
      <c r="H184" s="32" t="s">
        <v>643</v>
      </c>
      <c r="I184" s="33" t="s">
        <v>644</v>
      </c>
      <c r="J184" s="77"/>
      <c r="K184" s="25"/>
      <c r="L184" s="33" t="s">
        <v>645</v>
      </c>
      <c r="M184" s="33"/>
      <c r="N184" s="25"/>
      <c r="O184" s="25"/>
      <c r="P184" s="25"/>
      <c r="Q184" s="25"/>
      <c r="R184" s="25"/>
      <c r="S184" s="25"/>
      <c r="T184" s="25"/>
      <c r="U184" s="25"/>
      <c r="V184" s="25"/>
      <c r="W184" s="25"/>
      <c r="X184" s="25"/>
      <c r="Y184" s="25"/>
      <c r="Z184" s="25"/>
      <c r="AA184" s="25"/>
      <c r="AB184" s="25"/>
      <c r="AC184" s="25"/>
      <c r="AD184" s="25"/>
      <c r="AE184" s="25"/>
      <c r="AF184" s="25"/>
      <c r="AG184" s="53"/>
      <c r="AH184" s="53"/>
      <c r="AI184" s="53"/>
      <c r="AJ184" s="53"/>
      <c r="AK184" s="78"/>
      <c r="AL184" s="78"/>
      <c r="AM184" s="78"/>
      <c r="AN184" s="78"/>
      <c r="AO184" s="78"/>
      <c r="AP184" s="78"/>
      <c r="AQ184" s="78"/>
    </row>
    <row r="185" spans="1:1025" ht="15.75" customHeight="1" x14ac:dyDescent="0.25">
      <c r="A185" s="14" t="s">
        <v>646</v>
      </c>
      <c r="B185" s="28">
        <v>8800706</v>
      </c>
      <c r="C185" s="28" t="s">
        <v>818</v>
      </c>
      <c r="D185" s="17" t="s">
        <v>1475</v>
      </c>
      <c r="E185" s="90" t="s">
        <v>648</v>
      </c>
      <c r="F185" s="19"/>
      <c r="G185" s="20" t="s">
        <v>647</v>
      </c>
      <c r="H185" s="32" t="s">
        <v>648</v>
      </c>
      <c r="I185" s="25"/>
      <c r="J185" s="30" t="s">
        <v>649</v>
      </c>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53"/>
      <c r="AH185" s="53"/>
      <c r="AI185" s="53"/>
      <c r="AJ185" s="53"/>
    </row>
    <row r="186" spans="1:1025" ht="15.75" customHeight="1" x14ac:dyDescent="0.25">
      <c r="A186" s="14" t="s">
        <v>650</v>
      </c>
      <c r="B186" s="28">
        <v>7993201</v>
      </c>
      <c r="C186" s="28" t="s">
        <v>818</v>
      </c>
      <c r="D186" s="17" t="s">
        <v>1475</v>
      </c>
      <c r="E186" s="90" t="s">
        <v>648</v>
      </c>
      <c r="F186" s="19"/>
      <c r="G186" s="20" t="s">
        <v>651</v>
      </c>
      <c r="H186" s="32" t="s">
        <v>648</v>
      </c>
      <c r="I186" s="25"/>
      <c r="J186" s="30"/>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53"/>
      <c r="AH186" s="53"/>
      <c r="AI186" s="53"/>
      <c r="AJ186" s="53"/>
    </row>
    <row r="187" spans="1:1025" ht="15.75" customHeight="1" x14ac:dyDescent="0.25">
      <c r="A187" s="14" t="s">
        <v>652</v>
      </c>
      <c r="B187" s="28">
        <v>1611079</v>
      </c>
      <c r="C187" s="28" t="s">
        <v>1476</v>
      </c>
      <c r="D187" s="17" t="s">
        <v>1475</v>
      </c>
      <c r="E187" s="90" t="s">
        <v>648</v>
      </c>
      <c r="F187" s="19"/>
      <c r="G187" s="20" t="s">
        <v>653</v>
      </c>
      <c r="H187" s="32" t="s">
        <v>648</v>
      </c>
      <c r="I187" s="25"/>
      <c r="J187" s="30"/>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53"/>
      <c r="AH187" s="53"/>
      <c r="AI187" s="79"/>
      <c r="AJ187" s="79"/>
    </row>
    <row r="188" spans="1:1025" ht="15.75" customHeight="1" x14ac:dyDescent="0.25">
      <c r="A188" s="14" t="s">
        <v>654</v>
      </c>
      <c r="B188" s="28" t="s">
        <v>977</v>
      </c>
      <c r="C188" s="28" t="s">
        <v>994</v>
      </c>
      <c r="D188" s="17"/>
      <c r="E188" s="90" t="s">
        <v>656</v>
      </c>
      <c r="F188" s="19"/>
      <c r="G188" s="20" t="s">
        <v>655</v>
      </c>
      <c r="H188" s="32" t="s">
        <v>656</v>
      </c>
      <c r="I188" s="25"/>
      <c r="J188" s="30" t="s">
        <v>657</v>
      </c>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53"/>
      <c r="AH188" s="53"/>
      <c r="AI188" s="33">
        <v>614395</v>
      </c>
      <c r="AJ188" s="33"/>
    </row>
    <row r="189" spans="1:1025" s="112" customFormat="1" ht="15.75" customHeight="1" x14ac:dyDescent="0.2">
      <c r="A189" s="14" t="s">
        <v>658</v>
      </c>
      <c r="B189" s="28" t="s">
        <v>1477</v>
      </c>
      <c r="C189" s="28" t="s">
        <v>1478</v>
      </c>
      <c r="D189" s="17" t="s">
        <v>1479</v>
      </c>
      <c r="E189" s="90" t="s">
        <v>1480</v>
      </c>
      <c r="F189" s="19"/>
      <c r="G189" s="20" t="s">
        <v>659</v>
      </c>
      <c r="H189" s="32" t="s">
        <v>660</v>
      </c>
      <c r="I189" s="33"/>
      <c r="J189" s="30"/>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37"/>
      <c r="AH189" s="37"/>
      <c r="AI189" s="37"/>
      <c r="AJ189" s="37"/>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c r="IN189" s="1"/>
      <c r="IO189" s="1"/>
      <c r="IP189" s="1"/>
      <c r="IQ189" s="1"/>
      <c r="IR189" s="1"/>
      <c r="IS189" s="1"/>
      <c r="IT189" s="1"/>
      <c r="IU189" s="1"/>
      <c r="IV189" s="1"/>
      <c r="IW189" s="1"/>
      <c r="IX189" s="1"/>
      <c r="IY189" s="1"/>
      <c r="IZ189" s="1"/>
      <c r="JA189" s="1"/>
      <c r="JB189" s="1"/>
      <c r="JC189" s="1"/>
      <c r="JD189" s="1"/>
      <c r="JE189" s="1"/>
      <c r="JF189" s="1"/>
      <c r="JG189" s="1"/>
      <c r="JH189" s="1"/>
      <c r="JI189" s="1"/>
      <c r="JJ189" s="1"/>
      <c r="JK189" s="1"/>
      <c r="JL189" s="1"/>
      <c r="JM189" s="1"/>
      <c r="JN189" s="1"/>
      <c r="JO189" s="1"/>
      <c r="JP189" s="1"/>
      <c r="JQ189" s="1"/>
      <c r="JR189" s="1"/>
      <c r="JS189" s="1"/>
      <c r="JT189" s="1"/>
      <c r="JU189" s="1"/>
      <c r="JV189" s="1"/>
      <c r="JW189" s="1"/>
      <c r="JX189" s="1"/>
      <c r="JY189" s="1"/>
      <c r="JZ189" s="1"/>
      <c r="KA189" s="1"/>
      <c r="KB189" s="1"/>
      <c r="KC189" s="1"/>
      <c r="KD189" s="1"/>
      <c r="KE189" s="1"/>
      <c r="KF189" s="1"/>
      <c r="KG189" s="1"/>
      <c r="KH189" s="1"/>
      <c r="KI189" s="1"/>
      <c r="KJ189" s="1"/>
      <c r="KK189" s="1"/>
      <c r="KL189" s="1"/>
      <c r="KM189" s="1"/>
      <c r="KN189" s="1"/>
      <c r="KO189" s="1"/>
      <c r="KP189" s="1"/>
      <c r="KQ189" s="1"/>
      <c r="KR189" s="1"/>
      <c r="KS189" s="1"/>
      <c r="KT189" s="1"/>
      <c r="KU189" s="1"/>
      <c r="KV189" s="1"/>
      <c r="KW189" s="1"/>
      <c r="KX189" s="1"/>
      <c r="KY189" s="1"/>
      <c r="KZ189" s="1"/>
      <c r="LA189" s="1"/>
      <c r="LB189" s="1"/>
      <c r="LC189" s="1"/>
      <c r="LD189" s="1"/>
      <c r="LE189" s="1"/>
      <c r="LF189" s="1"/>
      <c r="LG189" s="1"/>
      <c r="LH189" s="1"/>
      <c r="LI189" s="1"/>
      <c r="LJ189" s="1"/>
      <c r="LK189" s="1"/>
      <c r="LL189" s="1"/>
      <c r="LM189" s="1"/>
      <c r="LN189" s="1"/>
      <c r="LO189" s="1"/>
      <c r="LP189" s="1"/>
      <c r="LQ189" s="1"/>
      <c r="LR189" s="1"/>
      <c r="LS189" s="1"/>
      <c r="LT189" s="1"/>
      <c r="LU189" s="1"/>
      <c r="LV189" s="1"/>
      <c r="LW189" s="1"/>
      <c r="LX189" s="1"/>
      <c r="LY189" s="1"/>
      <c r="LZ189" s="1"/>
      <c r="MA189" s="1"/>
      <c r="MB189" s="1"/>
      <c r="MC189" s="1"/>
      <c r="MD189" s="1"/>
      <c r="ME189" s="1"/>
      <c r="MF189" s="1"/>
      <c r="MG189" s="1"/>
      <c r="MH189" s="1"/>
      <c r="MI189" s="1"/>
      <c r="MJ189" s="1"/>
      <c r="MK189" s="1"/>
      <c r="ML189" s="1"/>
      <c r="MM189" s="1"/>
      <c r="MN189" s="1"/>
      <c r="MO189" s="1"/>
      <c r="MP189" s="1"/>
      <c r="MQ189" s="1"/>
      <c r="MR189" s="1"/>
      <c r="MS189" s="1"/>
      <c r="MT189" s="1"/>
      <c r="MU189" s="1"/>
      <c r="MV189" s="1"/>
      <c r="MW189" s="1"/>
      <c r="MX189" s="1"/>
      <c r="MY189" s="1"/>
      <c r="MZ189" s="1"/>
      <c r="NA189" s="1"/>
      <c r="NB189" s="1"/>
      <c r="NC189" s="1"/>
      <c r="ND189" s="1"/>
      <c r="NE189" s="1"/>
      <c r="NF189" s="1"/>
      <c r="NG189" s="1"/>
      <c r="NH189" s="1"/>
      <c r="NI189" s="1"/>
      <c r="NJ189" s="1"/>
      <c r="NK189" s="1"/>
      <c r="NL189" s="1"/>
      <c r="NM189" s="1"/>
      <c r="NN189" s="1"/>
      <c r="NO189" s="1"/>
      <c r="NP189" s="1"/>
      <c r="NQ189" s="1"/>
      <c r="NR189" s="1"/>
      <c r="NS189" s="1"/>
      <c r="NT189" s="1"/>
      <c r="NU189" s="1"/>
      <c r="NV189" s="1"/>
      <c r="NW189" s="1"/>
      <c r="NX189" s="1"/>
      <c r="NY189" s="1"/>
      <c r="NZ189" s="1"/>
      <c r="OA189" s="1"/>
      <c r="OB189" s="1"/>
      <c r="OC189" s="1"/>
      <c r="OD189" s="1"/>
      <c r="OE189" s="1"/>
      <c r="OF189" s="1"/>
      <c r="OG189" s="1"/>
      <c r="OH189" s="1"/>
      <c r="OI189" s="1"/>
      <c r="OJ189" s="1"/>
      <c r="OK189" s="1"/>
      <c r="OL189" s="1"/>
      <c r="OM189" s="1"/>
      <c r="ON189" s="1"/>
      <c r="OO189" s="1"/>
      <c r="OP189" s="1"/>
      <c r="OQ189" s="1"/>
      <c r="OR189" s="1"/>
      <c r="OS189" s="1"/>
      <c r="OT189" s="1"/>
      <c r="OU189" s="1"/>
      <c r="OV189" s="1"/>
      <c r="OW189" s="1"/>
      <c r="OX189" s="1"/>
      <c r="OY189" s="1"/>
      <c r="OZ189" s="1"/>
      <c r="PA189" s="1"/>
      <c r="PB189" s="1"/>
      <c r="PC189" s="1"/>
      <c r="PD189" s="1"/>
      <c r="PE189" s="1"/>
      <c r="PF189" s="1"/>
      <c r="PG189" s="1"/>
      <c r="PH189" s="1"/>
      <c r="PI189" s="1"/>
      <c r="PJ189" s="1"/>
      <c r="PK189" s="1"/>
      <c r="PL189" s="1"/>
      <c r="PM189" s="1"/>
      <c r="PN189" s="1"/>
      <c r="PO189" s="1"/>
      <c r="PP189" s="1"/>
      <c r="PQ189" s="1"/>
      <c r="PR189" s="1"/>
      <c r="PS189" s="1"/>
      <c r="PT189" s="1"/>
      <c r="PU189" s="1"/>
      <c r="PV189" s="1"/>
      <c r="PW189" s="1"/>
      <c r="PX189" s="1"/>
      <c r="PY189" s="1"/>
      <c r="PZ189" s="1"/>
      <c r="QA189" s="1"/>
      <c r="QB189" s="1"/>
      <c r="QC189" s="1"/>
      <c r="QD189" s="1"/>
      <c r="QE189" s="1"/>
      <c r="QF189" s="1"/>
      <c r="QG189" s="1"/>
      <c r="QH189" s="1"/>
      <c r="QI189" s="1"/>
      <c r="QJ189" s="1"/>
      <c r="QK189" s="1"/>
      <c r="QL189" s="1"/>
      <c r="QM189" s="1"/>
      <c r="QN189" s="1"/>
      <c r="QO189" s="1"/>
      <c r="QP189" s="1"/>
      <c r="QQ189" s="1"/>
      <c r="QR189" s="1"/>
      <c r="QS189" s="1"/>
      <c r="QT189" s="1"/>
      <c r="QU189" s="1"/>
      <c r="QV189" s="1"/>
      <c r="QW189" s="1"/>
      <c r="QX189" s="1"/>
      <c r="QY189" s="1"/>
      <c r="QZ189" s="1"/>
      <c r="RA189" s="1"/>
      <c r="RB189" s="1"/>
      <c r="RC189" s="1"/>
      <c r="RD189" s="1"/>
      <c r="RE189" s="1"/>
      <c r="RF189" s="1"/>
      <c r="RG189" s="1"/>
      <c r="RH189" s="1"/>
      <c r="RI189" s="1"/>
      <c r="RJ189" s="1"/>
      <c r="RK189" s="1"/>
      <c r="RL189" s="1"/>
      <c r="RM189" s="1"/>
      <c r="RN189" s="1"/>
      <c r="RO189" s="1"/>
      <c r="RP189" s="1"/>
      <c r="RQ189" s="1"/>
      <c r="RR189" s="1"/>
      <c r="RS189" s="1"/>
      <c r="RT189" s="1"/>
      <c r="RU189" s="1"/>
      <c r="RV189" s="1"/>
      <c r="RW189" s="1"/>
      <c r="RX189" s="1"/>
      <c r="RY189" s="1"/>
      <c r="RZ189" s="1"/>
      <c r="SA189" s="1"/>
      <c r="SB189" s="1"/>
      <c r="SC189" s="1"/>
      <c r="SD189" s="1"/>
      <c r="SE189" s="1"/>
      <c r="SF189" s="1"/>
      <c r="SG189" s="1"/>
      <c r="SH189" s="1"/>
      <c r="SI189" s="1"/>
      <c r="SJ189" s="1"/>
      <c r="SK189" s="1"/>
      <c r="SL189" s="1"/>
      <c r="SM189" s="1"/>
      <c r="SN189" s="1"/>
      <c r="SO189" s="1"/>
      <c r="SP189" s="1"/>
      <c r="SQ189" s="1"/>
      <c r="SR189" s="1"/>
      <c r="SS189" s="1"/>
      <c r="ST189" s="1"/>
      <c r="SU189" s="1"/>
      <c r="SV189" s="1"/>
      <c r="SW189" s="1"/>
      <c r="SX189" s="1"/>
      <c r="SY189" s="1"/>
      <c r="SZ189" s="1"/>
      <c r="TA189" s="1"/>
      <c r="TB189" s="1"/>
      <c r="TC189" s="1"/>
      <c r="TD189" s="1"/>
      <c r="TE189" s="1"/>
      <c r="TF189" s="1"/>
      <c r="TG189" s="1"/>
      <c r="TH189" s="1"/>
      <c r="TI189" s="1"/>
      <c r="TJ189" s="1"/>
      <c r="TK189" s="1"/>
      <c r="TL189" s="1"/>
      <c r="TM189" s="1"/>
      <c r="TN189" s="1"/>
      <c r="TO189" s="1"/>
      <c r="TP189" s="1"/>
      <c r="TQ189" s="1"/>
      <c r="TR189" s="1"/>
      <c r="TS189" s="1"/>
      <c r="TT189" s="1"/>
      <c r="TU189" s="1"/>
      <c r="TV189" s="1"/>
      <c r="TW189" s="1"/>
      <c r="TX189" s="1"/>
      <c r="TY189" s="1"/>
      <c r="TZ189" s="1"/>
      <c r="UA189" s="1"/>
      <c r="UB189" s="1"/>
      <c r="UC189" s="1"/>
      <c r="UD189" s="1"/>
      <c r="UE189" s="1"/>
      <c r="UF189" s="1"/>
      <c r="UG189" s="1"/>
      <c r="UH189" s="1"/>
      <c r="UI189" s="1"/>
      <c r="UJ189" s="1"/>
      <c r="UK189" s="1"/>
      <c r="UL189" s="1"/>
      <c r="UM189" s="1"/>
      <c r="UN189" s="1"/>
      <c r="UO189" s="1"/>
      <c r="UP189" s="1"/>
      <c r="UQ189" s="1"/>
      <c r="UR189" s="1"/>
      <c r="US189" s="1"/>
      <c r="UT189" s="1"/>
      <c r="UU189" s="1"/>
      <c r="UV189" s="1"/>
      <c r="UW189" s="1"/>
      <c r="UX189" s="1"/>
      <c r="UY189" s="1"/>
      <c r="UZ189" s="1"/>
      <c r="VA189" s="1"/>
      <c r="VB189" s="1"/>
      <c r="VC189" s="1"/>
      <c r="VD189" s="1"/>
      <c r="VE189" s="1"/>
      <c r="VF189" s="1"/>
      <c r="VG189" s="1"/>
      <c r="VH189" s="1"/>
      <c r="VI189" s="1"/>
      <c r="VJ189" s="1"/>
      <c r="VK189" s="1"/>
      <c r="VL189" s="1"/>
      <c r="VM189" s="1"/>
      <c r="VN189" s="1"/>
      <c r="VO189" s="1"/>
      <c r="VP189" s="1"/>
      <c r="VQ189" s="1"/>
      <c r="VR189" s="1"/>
      <c r="VS189" s="1"/>
      <c r="VT189" s="1"/>
      <c r="VU189" s="1"/>
      <c r="VV189" s="1"/>
      <c r="VW189" s="1"/>
      <c r="VX189" s="1"/>
      <c r="VY189" s="1"/>
      <c r="VZ189" s="1"/>
      <c r="WA189" s="1"/>
      <c r="WB189" s="1"/>
      <c r="WC189" s="1"/>
      <c r="WD189" s="1"/>
      <c r="WE189" s="1"/>
      <c r="WF189" s="1"/>
      <c r="WG189" s="1"/>
      <c r="WH189" s="1"/>
      <c r="WI189" s="1"/>
      <c r="WJ189" s="1"/>
      <c r="WK189" s="1"/>
      <c r="WL189" s="1"/>
      <c r="WM189" s="1"/>
      <c r="WN189" s="1"/>
      <c r="WO189" s="1"/>
      <c r="WP189" s="1"/>
      <c r="WQ189" s="1"/>
      <c r="WR189" s="1"/>
      <c r="WS189" s="1"/>
      <c r="WT189" s="1"/>
      <c r="WU189" s="1"/>
      <c r="WV189" s="1"/>
      <c r="WW189" s="1"/>
      <c r="WX189" s="1"/>
      <c r="WY189" s="1"/>
      <c r="WZ189" s="1"/>
      <c r="XA189" s="1"/>
      <c r="XB189" s="1"/>
      <c r="XC189" s="1"/>
      <c r="XD189" s="1"/>
      <c r="XE189" s="1"/>
      <c r="XF189" s="1"/>
      <c r="XG189" s="1"/>
      <c r="XH189" s="1"/>
      <c r="XI189" s="1"/>
      <c r="XJ189" s="1"/>
      <c r="XK189" s="1"/>
      <c r="XL189" s="1"/>
      <c r="XM189" s="1"/>
      <c r="XN189" s="1"/>
      <c r="XO189" s="1"/>
      <c r="XP189" s="1"/>
      <c r="XQ189" s="1"/>
      <c r="XR189" s="1"/>
      <c r="XS189" s="1"/>
      <c r="XT189" s="1"/>
      <c r="XU189" s="1"/>
      <c r="XV189" s="1"/>
      <c r="XW189" s="1"/>
      <c r="XX189" s="1"/>
      <c r="XY189" s="1"/>
      <c r="XZ189" s="1"/>
      <c r="YA189" s="1"/>
      <c r="YB189" s="1"/>
      <c r="YC189" s="1"/>
      <c r="YD189" s="1"/>
      <c r="YE189" s="1"/>
      <c r="YF189" s="1"/>
      <c r="YG189" s="1"/>
      <c r="YH189" s="1"/>
      <c r="YI189" s="1"/>
      <c r="YJ189" s="1"/>
      <c r="YK189" s="1"/>
      <c r="YL189" s="1"/>
      <c r="YM189" s="1"/>
      <c r="YN189" s="1"/>
      <c r="YO189" s="1"/>
      <c r="YP189" s="1"/>
      <c r="YQ189" s="1"/>
      <c r="YR189" s="1"/>
      <c r="YS189" s="1"/>
      <c r="YT189" s="1"/>
      <c r="YU189" s="1"/>
      <c r="YV189" s="1"/>
      <c r="YW189" s="1"/>
      <c r="YX189" s="1"/>
      <c r="YY189" s="1"/>
      <c r="YZ189" s="1"/>
      <c r="ZA189" s="1"/>
      <c r="ZB189" s="1"/>
      <c r="ZC189" s="1"/>
      <c r="ZD189" s="1"/>
      <c r="ZE189" s="1"/>
      <c r="ZF189" s="1"/>
      <c r="ZG189" s="1"/>
      <c r="ZH189" s="1"/>
      <c r="ZI189" s="1"/>
      <c r="ZJ189" s="1"/>
      <c r="ZK189" s="1"/>
      <c r="ZL189" s="1"/>
      <c r="ZM189" s="1"/>
      <c r="ZN189" s="1"/>
      <c r="ZO189" s="1"/>
      <c r="ZP189" s="1"/>
      <c r="ZQ189" s="1"/>
      <c r="ZR189" s="1"/>
      <c r="ZS189" s="1"/>
      <c r="ZT189" s="1"/>
      <c r="ZU189" s="1"/>
      <c r="ZV189" s="1"/>
      <c r="ZW189" s="1"/>
      <c r="ZX189" s="1"/>
      <c r="ZY189" s="1"/>
      <c r="ZZ189" s="1"/>
      <c r="AAA189" s="1"/>
      <c r="AAB189" s="1"/>
      <c r="AAC189" s="1"/>
      <c r="AAD189" s="1"/>
      <c r="AAE189" s="1"/>
      <c r="AAF189" s="1"/>
      <c r="AAG189" s="1"/>
      <c r="AAH189" s="1"/>
      <c r="AAI189" s="1"/>
      <c r="AAJ189" s="1"/>
      <c r="AAK189" s="1"/>
      <c r="AAL189" s="1"/>
      <c r="AAM189" s="1"/>
      <c r="AAN189" s="1"/>
      <c r="AAO189" s="1"/>
      <c r="AAP189" s="1"/>
      <c r="AAQ189" s="1"/>
      <c r="AAR189" s="1"/>
      <c r="AAS189" s="1"/>
      <c r="AAT189" s="1"/>
      <c r="AAU189" s="1"/>
      <c r="AAV189" s="1"/>
      <c r="AAW189" s="1"/>
      <c r="AAX189" s="1"/>
      <c r="AAY189" s="1"/>
      <c r="AAZ189" s="1"/>
      <c r="ABA189" s="1"/>
      <c r="ABB189" s="1"/>
      <c r="ABC189" s="1"/>
      <c r="ABD189" s="1"/>
      <c r="ABE189" s="1"/>
      <c r="ABF189" s="1"/>
      <c r="ABG189" s="1"/>
      <c r="ABH189" s="1"/>
      <c r="ABI189" s="1"/>
      <c r="ABJ189" s="1"/>
      <c r="ABK189" s="1"/>
      <c r="ABL189" s="1"/>
      <c r="ABM189" s="1"/>
      <c r="ABN189" s="1"/>
      <c r="ABO189" s="1"/>
      <c r="ABP189" s="1"/>
      <c r="ABQ189" s="1"/>
      <c r="ABR189" s="1"/>
      <c r="ABS189" s="1"/>
      <c r="ABT189" s="1"/>
      <c r="ABU189" s="1"/>
      <c r="ABV189" s="1"/>
      <c r="ABW189" s="1"/>
      <c r="ABX189" s="1"/>
      <c r="ABY189" s="1"/>
      <c r="ABZ189" s="1"/>
      <c r="ACA189" s="1"/>
      <c r="ACB189" s="1"/>
      <c r="ACC189" s="1"/>
      <c r="ACD189" s="1"/>
      <c r="ACE189" s="1"/>
      <c r="ACF189" s="1"/>
      <c r="ACG189" s="1"/>
      <c r="ACH189" s="1"/>
      <c r="ACI189" s="1"/>
      <c r="ACJ189" s="1"/>
      <c r="ACK189" s="1"/>
      <c r="ACL189" s="1"/>
      <c r="ACM189" s="1"/>
      <c r="ACN189" s="1"/>
      <c r="ACO189" s="1"/>
      <c r="ACP189" s="1"/>
      <c r="ACQ189" s="1"/>
      <c r="ACR189" s="1"/>
      <c r="ACS189" s="1"/>
      <c r="ACT189" s="1"/>
      <c r="ACU189" s="1"/>
      <c r="ACV189" s="1"/>
      <c r="ACW189" s="1"/>
      <c r="ACX189" s="1"/>
      <c r="ACY189" s="1"/>
      <c r="ACZ189" s="1"/>
      <c r="ADA189" s="1"/>
      <c r="ADB189" s="1"/>
      <c r="ADC189" s="1"/>
      <c r="ADD189" s="1"/>
      <c r="ADE189" s="1"/>
      <c r="ADF189" s="1"/>
      <c r="ADG189" s="1"/>
      <c r="ADH189" s="1"/>
      <c r="ADI189" s="1"/>
      <c r="ADJ189" s="1"/>
      <c r="ADK189" s="1"/>
      <c r="ADL189" s="1"/>
      <c r="ADM189" s="1"/>
      <c r="ADN189" s="1"/>
      <c r="ADO189" s="1"/>
      <c r="ADP189" s="1"/>
      <c r="ADQ189" s="1"/>
      <c r="ADR189" s="1"/>
      <c r="ADS189" s="1"/>
      <c r="ADT189" s="1"/>
      <c r="ADU189" s="1"/>
      <c r="ADV189" s="1"/>
      <c r="ADW189" s="1"/>
      <c r="ADX189" s="1"/>
      <c r="ADY189" s="1"/>
      <c r="ADZ189" s="1"/>
      <c r="AEA189" s="1"/>
      <c r="AEB189" s="1"/>
      <c r="AEC189" s="1"/>
      <c r="AED189" s="1"/>
      <c r="AEE189" s="1"/>
      <c r="AEF189" s="1"/>
      <c r="AEG189" s="1"/>
      <c r="AEH189" s="1"/>
      <c r="AEI189" s="1"/>
      <c r="AEJ189" s="1"/>
      <c r="AEK189" s="1"/>
      <c r="AEL189" s="1"/>
      <c r="AEM189" s="1"/>
      <c r="AEN189" s="1"/>
      <c r="AEO189" s="1"/>
      <c r="AEP189" s="1"/>
      <c r="AEQ189" s="1"/>
      <c r="AER189" s="1"/>
      <c r="AES189" s="1"/>
      <c r="AET189" s="1"/>
      <c r="AEU189" s="1"/>
      <c r="AEV189" s="1"/>
      <c r="AEW189" s="1"/>
      <c r="AEX189" s="1"/>
      <c r="AEY189" s="1"/>
      <c r="AEZ189" s="1"/>
      <c r="AFA189" s="1"/>
      <c r="AFB189" s="1"/>
      <c r="AFC189" s="1"/>
      <c r="AFD189" s="1"/>
      <c r="AFE189" s="1"/>
      <c r="AFF189" s="1"/>
      <c r="AFG189" s="1"/>
      <c r="AFH189" s="1"/>
      <c r="AFI189" s="1"/>
      <c r="AFJ189" s="1"/>
      <c r="AFK189" s="1"/>
      <c r="AFL189" s="1"/>
      <c r="AFM189" s="1"/>
      <c r="AFN189" s="1"/>
      <c r="AFO189" s="1"/>
      <c r="AFP189" s="1"/>
      <c r="AFQ189" s="1"/>
      <c r="AFR189" s="1"/>
      <c r="AFS189" s="1"/>
      <c r="AFT189" s="1"/>
      <c r="AFU189" s="1"/>
      <c r="AFV189" s="1"/>
      <c r="AFW189" s="1"/>
      <c r="AFX189" s="1"/>
      <c r="AFY189" s="1"/>
      <c r="AFZ189" s="1"/>
      <c r="AGA189" s="1"/>
      <c r="AGB189" s="1"/>
      <c r="AGC189" s="1"/>
      <c r="AGD189" s="1"/>
      <c r="AGE189" s="1"/>
      <c r="AGF189" s="1"/>
      <c r="AGG189" s="1"/>
      <c r="AGH189" s="1"/>
      <c r="AGI189" s="1"/>
      <c r="AGJ189" s="1"/>
      <c r="AGK189" s="1"/>
      <c r="AGL189" s="1"/>
      <c r="AGM189" s="1"/>
      <c r="AGN189" s="1"/>
      <c r="AGO189" s="1"/>
      <c r="AGP189" s="1"/>
      <c r="AGQ189" s="1"/>
      <c r="AGR189" s="1"/>
      <c r="AGS189" s="1"/>
      <c r="AGT189" s="1"/>
      <c r="AGU189" s="1"/>
      <c r="AGV189" s="1"/>
      <c r="AGW189" s="1"/>
      <c r="AGX189" s="1"/>
      <c r="AGY189" s="1"/>
      <c r="AGZ189" s="1"/>
      <c r="AHA189" s="1"/>
      <c r="AHB189" s="1"/>
      <c r="AHC189" s="1"/>
      <c r="AHD189" s="1"/>
      <c r="AHE189" s="1"/>
      <c r="AHF189" s="1"/>
      <c r="AHG189" s="1"/>
      <c r="AHH189" s="1"/>
      <c r="AHI189" s="1"/>
      <c r="AHJ189" s="1"/>
      <c r="AHK189" s="1"/>
      <c r="AHL189" s="1"/>
      <c r="AHM189" s="1"/>
      <c r="AHN189" s="1"/>
      <c r="AHO189" s="1"/>
      <c r="AHP189" s="1"/>
      <c r="AHQ189" s="1"/>
      <c r="AHR189" s="1"/>
      <c r="AHS189" s="1"/>
      <c r="AHT189" s="1"/>
      <c r="AHU189" s="1"/>
      <c r="AHV189" s="1"/>
      <c r="AHW189" s="1"/>
      <c r="AHX189" s="1"/>
      <c r="AHY189" s="1"/>
      <c r="AHZ189" s="1"/>
      <c r="AIA189" s="1"/>
      <c r="AIB189" s="1"/>
      <c r="AIC189" s="1"/>
      <c r="AID189" s="1"/>
      <c r="AIE189" s="1"/>
      <c r="AIF189" s="1"/>
      <c r="AIG189" s="1"/>
      <c r="AIH189" s="1"/>
      <c r="AII189" s="1"/>
      <c r="AIJ189" s="1"/>
      <c r="AIK189" s="1"/>
      <c r="AIL189" s="1"/>
      <c r="AIM189" s="1"/>
      <c r="AIN189" s="1"/>
      <c r="AIO189" s="1"/>
      <c r="AIP189" s="1"/>
      <c r="AIQ189" s="1"/>
      <c r="AIR189" s="1"/>
      <c r="AIS189" s="1"/>
      <c r="AIT189" s="1"/>
      <c r="AIU189" s="1"/>
      <c r="AIV189" s="1"/>
      <c r="AIW189" s="1"/>
      <c r="AIX189" s="1"/>
      <c r="AIY189" s="1"/>
      <c r="AIZ189" s="1"/>
      <c r="AJA189" s="1"/>
      <c r="AJB189" s="1"/>
      <c r="AJC189" s="1"/>
      <c r="AJD189" s="1"/>
      <c r="AJE189" s="1"/>
      <c r="AJF189" s="1"/>
      <c r="AJG189" s="1"/>
      <c r="AJH189" s="1"/>
      <c r="AJI189" s="1"/>
      <c r="AJJ189" s="1"/>
      <c r="AJK189" s="1"/>
      <c r="AJL189" s="1"/>
      <c r="AJM189" s="1"/>
      <c r="AJN189" s="1"/>
      <c r="AJO189" s="1"/>
      <c r="AJP189" s="1"/>
      <c r="AJQ189" s="1"/>
      <c r="AJR189" s="1"/>
      <c r="AJS189" s="1"/>
      <c r="AJT189" s="1"/>
      <c r="AJU189" s="1"/>
      <c r="AJV189" s="1"/>
      <c r="AJW189" s="1"/>
      <c r="AJX189" s="1"/>
      <c r="AJY189" s="1"/>
      <c r="AJZ189" s="1"/>
      <c r="AKA189" s="1"/>
      <c r="AKB189" s="1"/>
      <c r="AKC189" s="1"/>
      <c r="AKD189" s="1"/>
      <c r="AKE189" s="1"/>
      <c r="AKF189" s="1"/>
      <c r="AKG189" s="1"/>
      <c r="AKH189" s="1"/>
      <c r="AKI189" s="1"/>
      <c r="AKJ189" s="1"/>
      <c r="AKK189" s="1"/>
      <c r="AKL189" s="1"/>
      <c r="AKM189" s="1"/>
      <c r="AKN189" s="1"/>
      <c r="AKO189" s="1"/>
      <c r="AKP189" s="1"/>
      <c r="AKQ189" s="1"/>
      <c r="AKR189" s="1"/>
      <c r="AKS189" s="1"/>
      <c r="AKT189" s="1"/>
      <c r="AKU189" s="1"/>
      <c r="AKV189" s="1"/>
      <c r="AKW189" s="1"/>
      <c r="AKX189" s="1"/>
      <c r="AKY189" s="1"/>
      <c r="AKZ189" s="1"/>
      <c r="ALA189" s="1"/>
      <c r="ALB189" s="1"/>
      <c r="ALC189" s="1"/>
      <c r="ALD189" s="1"/>
      <c r="ALE189" s="1"/>
      <c r="ALF189" s="1"/>
      <c r="ALG189" s="1"/>
      <c r="ALH189" s="1"/>
      <c r="ALI189" s="1"/>
      <c r="ALJ189" s="1"/>
      <c r="ALK189" s="1"/>
      <c r="ALL189" s="1"/>
      <c r="ALM189" s="1"/>
      <c r="ALN189" s="1"/>
      <c r="ALO189" s="1"/>
      <c r="ALP189" s="1"/>
      <c r="ALQ189" s="1"/>
      <c r="ALR189" s="1"/>
      <c r="ALS189" s="1"/>
      <c r="ALT189" s="1"/>
      <c r="ALU189" s="1"/>
      <c r="ALV189" s="1"/>
      <c r="ALW189" s="1"/>
      <c r="ALX189" s="1"/>
      <c r="ALY189" s="1"/>
      <c r="ALZ189" s="1"/>
      <c r="AMA189" s="1"/>
      <c r="AMB189" s="1"/>
      <c r="AMC189" s="1"/>
      <c r="AMD189" s="1"/>
      <c r="AME189" s="1"/>
      <c r="AMF189" s="1"/>
      <c r="AMG189" s="1"/>
      <c r="AMH189" s="1"/>
      <c r="AMI189" s="1"/>
      <c r="AMJ189" s="1"/>
      <c r="AMK189" s="1"/>
    </row>
    <row r="190" spans="1:1025" ht="15.75" customHeight="1" x14ac:dyDescent="0.25">
      <c r="A190" s="14" t="s">
        <v>661</v>
      </c>
      <c r="B190" s="28" t="s">
        <v>988</v>
      </c>
      <c r="C190" s="28" t="s">
        <v>1089</v>
      </c>
      <c r="D190" s="17"/>
      <c r="E190" s="90" t="s">
        <v>663</v>
      </c>
      <c r="F190" s="19"/>
      <c r="G190" s="20" t="s">
        <v>662</v>
      </c>
      <c r="H190" s="32" t="s">
        <v>663</v>
      </c>
      <c r="I190" s="33" t="s">
        <v>664</v>
      </c>
      <c r="J190" s="30" t="s">
        <v>665</v>
      </c>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80"/>
      <c r="AH190" s="80"/>
      <c r="AI190" s="80"/>
      <c r="AJ190" s="80"/>
    </row>
    <row r="191" spans="1:1025" ht="15.75" customHeight="1" x14ac:dyDescent="0.25">
      <c r="A191" s="14" t="s">
        <v>666</v>
      </c>
      <c r="B191" s="28" t="s">
        <v>988</v>
      </c>
      <c r="C191" s="28" t="s">
        <v>1089</v>
      </c>
      <c r="D191" s="17" t="s">
        <v>1481</v>
      </c>
      <c r="E191" s="90" t="s">
        <v>668</v>
      </c>
      <c r="F191" s="19"/>
      <c r="G191" s="20" t="s">
        <v>667</v>
      </c>
      <c r="H191" s="32" t="s">
        <v>668</v>
      </c>
      <c r="I191" s="33" t="s">
        <v>664</v>
      </c>
      <c r="J191" s="30" t="s">
        <v>669</v>
      </c>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37"/>
      <c r="AH191" s="37"/>
      <c r="AI191" s="37"/>
      <c r="AJ191" s="37"/>
    </row>
    <row r="192" spans="1:1025" ht="15.75" customHeight="1" x14ac:dyDescent="0.25">
      <c r="A192" s="14" t="s">
        <v>670</v>
      </c>
      <c r="B192" s="81"/>
      <c r="C192" s="81"/>
      <c r="D192" s="52" t="s">
        <v>1482</v>
      </c>
      <c r="E192" s="113" t="s">
        <v>672</v>
      </c>
      <c r="F192" s="82"/>
      <c r="G192" s="20" t="s">
        <v>671</v>
      </c>
      <c r="H192" s="83" t="s">
        <v>672</v>
      </c>
      <c r="I192" s="84"/>
      <c r="J192" s="85" t="s">
        <v>673</v>
      </c>
      <c r="K192" s="84"/>
      <c r="L192" s="84"/>
      <c r="M192" s="84"/>
      <c r="N192" s="84"/>
      <c r="O192" s="84"/>
      <c r="P192" s="84"/>
      <c r="Q192" s="84"/>
      <c r="R192" s="84"/>
      <c r="S192" s="84"/>
      <c r="T192" s="84"/>
      <c r="U192" s="84"/>
      <c r="V192" s="84"/>
      <c r="W192" s="84"/>
      <c r="X192" s="84"/>
      <c r="Y192" s="84"/>
      <c r="Z192" s="84"/>
      <c r="AA192" s="84"/>
      <c r="AB192" s="84"/>
      <c r="AC192" s="84"/>
      <c r="AD192" s="84"/>
      <c r="AE192" s="84"/>
      <c r="AF192" s="84"/>
      <c r="AG192" s="86"/>
      <c r="AH192" s="86"/>
      <c r="AI192" s="86"/>
      <c r="AJ192" s="86"/>
      <c r="AK192" s="87"/>
      <c r="AL192" s="87"/>
      <c r="AM192" s="87"/>
      <c r="AN192" s="87"/>
      <c r="AO192" s="87"/>
      <c r="AP192" s="87"/>
      <c r="AQ192" s="87"/>
      <c r="AR192" s="87"/>
      <c r="AS192" s="87"/>
      <c r="AT192" s="87"/>
      <c r="AU192" s="87"/>
      <c r="AV192" s="87"/>
      <c r="AW192" s="87"/>
      <c r="AX192" s="87"/>
      <c r="AY192" s="87"/>
      <c r="AZ192" s="87"/>
      <c r="BA192" s="87"/>
      <c r="BB192" s="87"/>
      <c r="BC192" s="87"/>
      <c r="BD192" s="87"/>
      <c r="BE192" s="87"/>
      <c r="BF192" s="87"/>
      <c r="BG192" s="87"/>
      <c r="BH192" s="87"/>
      <c r="BI192" s="87"/>
      <c r="BJ192" s="87"/>
      <c r="BK192" s="87"/>
      <c r="BL192" s="87"/>
      <c r="BM192" s="87"/>
      <c r="BN192" s="87"/>
      <c r="BO192" s="87"/>
      <c r="BP192" s="87"/>
      <c r="BQ192" s="87"/>
      <c r="BR192" s="87"/>
      <c r="BS192" s="87"/>
      <c r="BT192" s="87"/>
      <c r="BU192" s="87"/>
      <c r="BV192" s="87"/>
      <c r="BW192" s="87"/>
      <c r="BX192" s="87"/>
      <c r="BY192" s="87"/>
      <c r="BZ192" s="87"/>
      <c r="CA192" s="87"/>
      <c r="CB192" s="87"/>
      <c r="CC192" s="87"/>
      <c r="CD192" s="87"/>
      <c r="CE192" s="87"/>
      <c r="CF192" s="87"/>
      <c r="CG192" s="87"/>
      <c r="CH192" s="87"/>
      <c r="CI192" s="87"/>
      <c r="CJ192" s="87"/>
      <c r="CK192" s="87"/>
      <c r="CL192" s="87"/>
      <c r="CM192" s="87"/>
      <c r="CN192" s="87"/>
      <c r="CO192" s="87"/>
      <c r="CP192" s="87"/>
      <c r="CQ192" s="87"/>
      <c r="CR192" s="87"/>
      <c r="CS192" s="87"/>
      <c r="CT192" s="87"/>
      <c r="CU192" s="87"/>
      <c r="CV192" s="87"/>
      <c r="CW192" s="87"/>
      <c r="CX192" s="87"/>
      <c r="CY192" s="87"/>
      <c r="CZ192" s="87"/>
      <c r="DA192" s="87"/>
      <c r="DB192" s="87"/>
      <c r="DC192" s="87"/>
      <c r="DD192" s="87"/>
      <c r="DE192" s="87"/>
      <c r="DF192" s="87"/>
      <c r="DG192" s="87"/>
      <c r="DH192" s="87"/>
      <c r="DI192" s="87"/>
      <c r="DJ192" s="87"/>
      <c r="DK192" s="87"/>
      <c r="DL192" s="87"/>
      <c r="DM192" s="87"/>
      <c r="DN192" s="87"/>
      <c r="DO192" s="87"/>
      <c r="DP192" s="87"/>
      <c r="DQ192" s="87"/>
      <c r="DR192" s="87"/>
      <c r="DS192" s="87"/>
      <c r="DT192" s="87"/>
      <c r="DU192" s="87"/>
      <c r="DV192" s="87"/>
      <c r="DW192" s="87"/>
      <c r="DX192" s="87"/>
      <c r="DY192" s="87"/>
      <c r="DZ192" s="87"/>
      <c r="EA192" s="87"/>
      <c r="EB192" s="87"/>
      <c r="EC192" s="87"/>
      <c r="ED192" s="87"/>
      <c r="EE192" s="87"/>
      <c r="EF192" s="87"/>
      <c r="EG192" s="87"/>
      <c r="EH192" s="87"/>
      <c r="EI192" s="87"/>
      <c r="EJ192" s="87"/>
      <c r="EK192" s="87"/>
      <c r="EL192" s="87"/>
      <c r="EM192" s="87"/>
      <c r="EN192" s="87"/>
      <c r="EO192" s="87"/>
      <c r="EP192" s="87"/>
      <c r="EQ192" s="87"/>
      <c r="ER192" s="87"/>
      <c r="ES192" s="87"/>
      <c r="ET192" s="87"/>
      <c r="EU192" s="87"/>
      <c r="EV192" s="87"/>
      <c r="EW192" s="87"/>
      <c r="EX192" s="87"/>
      <c r="EY192" s="87"/>
      <c r="EZ192" s="87"/>
      <c r="FA192" s="87"/>
      <c r="FB192" s="87"/>
      <c r="FC192" s="87"/>
      <c r="FD192" s="87"/>
      <c r="FE192" s="87"/>
      <c r="FF192" s="87"/>
      <c r="FG192" s="87"/>
      <c r="FH192" s="87"/>
      <c r="FI192" s="87"/>
      <c r="FJ192" s="87"/>
      <c r="FK192" s="87"/>
      <c r="FL192" s="87"/>
      <c r="FM192" s="87"/>
      <c r="FN192" s="87"/>
      <c r="FO192" s="87"/>
      <c r="FP192" s="87"/>
      <c r="FQ192" s="87"/>
      <c r="FR192" s="87"/>
      <c r="FS192" s="87"/>
      <c r="FT192" s="87"/>
      <c r="FU192" s="87"/>
      <c r="FV192" s="87"/>
      <c r="FW192" s="87"/>
      <c r="FX192" s="87"/>
      <c r="FY192" s="87"/>
      <c r="FZ192" s="87"/>
      <c r="GA192" s="87"/>
      <c r="GB192" s="87"/>
      <c r="GC192" s="87"/>
      <c r="GD192" s="87"/>
      <c r="GE192" s="87"/>
      <c r="GF192" s="87"/>
      <c r="GG192" s="87"/>
      <c r="GH192" s="87"/>
      <c r="GI192" s="87"/>
      <c r="GJ192" s="87"/>
      <c r="GK192" s="87"/>
      <c r="GL192" s="87"/>
      <c r="GM192" s="87"/>
      <c r="GN192" s="87"/>
      <c r="GO192" s="87"/>
      <c r="GP192" s="87"/>
      <c r="GQ192" s="87"/>
      <c r="GR192" s="87"/>
      <c r="GS192" s="87"/>
      <c r="GT192" s="87"/>
      <c r="GU192" s="87"/>
      <c r="GV192" s="87"/>
      <c r="GW192" s="87"/>
      <c r="GX192" s="87"/>
      <c r="GY192" s="87"/>
      <c r="GZ192" s="87"/>
      <c r="HA192" s="87"/>
      <c r="HB192" s="87"/>
      <c r="HC192" s="87"/>
      <c r="HD192" s="87"/>
      <c r="HE192" s="87"/>
      <c r="HF192" s="87"/>
      <c r="HG192" s="87"/>
      <c r="HH192" s="87"/>
      <c r="HI192" s="87"/>
      <c r="HJ192" s="87"/>
      <c r="HK192" s="87"/>
      <c r="HL192" s="87"/>
      <c r="HM192" s="87"/>
      <c r="HN192" s="87"/>
      <c r="HO192" s="87"/>
      <c r="HP192" s="87"/>
      <c r="HQ192" s="87"/>
      <c r="HR192" s="87"/>
      <c r="HS192" s="87"/>
      <c r="HT192" s="87"/>
      <c r="HU192" s="87"/>
      <c r="HV192" s="87"/>
      <c r="HW192" s="87"/>
      <c r="HX192" s="87"/>
      <c r="HY192" s="87"/>
      <c r="HZ192" s="87"/>
      <c r="IA192" s="87"/>
      <c r="IB192" s="87"/>
      <c r="IC192" s="87"/>
      <c r="ID192" s="87"/>
      <c r="IE192" s="87"/>
      <c r="IF192" s="87"/>
      <c r="IG192" s="87"/>
      <c r="IH192" s="87"/>
      <c r="II192" s="87"/>
      <c r="IJ192" s="87"/>
      <c r="IK192" s="87"/>
      <c r="IL192" s="87"/>
      <c r="IM192" s="87"/>
      <c r="IN192" s="87"/>
      <c r="IO192" s="87"/>
      <c r="IP192" s="87"/>
      <c r="IQ192" s="87"/>
      <c r="IR192" s="87"/>
      <c r="IS192" s="87"/>
      <c r="IT192" s="87"/>
      <c r="IU192" s="87"/>
      <c r="IV192" s="87"/>
      <c r="IW192" s="87"/>
      <c r="IX192" s="87"/>
      <c r="IY192" s="87"/>
      <c r="IZ192" s="87"/>
      <c r="JA192" s="87"/>
      <c r="JB192" s="87"/>
      <c r="JC192" s="87"/>
      <c r="JD192" s="87"/>
      <c r="JE192" s="87"/>
      <c r="JF192" s="87"/>
      <c r="JG192" s="87"/>
      <c r="JH192" s="87"/>
      <c r="JI192" s="87"/>
      <c r="JJ192" s="87"/>
      <c r="JK192" s="87"/>
      <c r="JL192" s="87"/>
      <c r="JM192" s="87"/>
      <c r="JN192" s="87"/>
      <c r="JO192" s="87"/>
      <c r="JP192" s="87"/>
      <c r="JQ192" s="87"/>
      <c r="JR192" s="87"/>
      <c r="JS192" s="87"/>
      <c r="JT192" s="87"/>
      <c r="JU192" s="87"/>
      <c r="JV192" s="87"/>
      <c r="JW192" s="87"/>
      <c r="JX192" s="87"/>
      <c r="JY192" s="87"/>
      <c r="JZ192" s="87"/>
      <c r="KA192" s="87"/>
      <c r="KB192" s="87"/>
      <c r="KC192" s="87"/>
      <c r="KD192" s="87"/>
      <c r="KE192" s="87"/>
      <c r="KF192" s="87"/>
      <c r="KG192" s="87"/>
      <c r="KH192" s="87"/>
      <c r="KI192" s="87"/>
      <c r="KJ192" s="87"/>
      <c r="KK192" s="87"/>
      <c r="KL192" s="87"/>
      <c r="KM192" s="87"/>
      <c r="KN192" s="87"/>
      <c r="KO192" s="87"/>
      <c r="KP192" s="87"/>
      <c r="KQ192" s="87"/>
      <c r="KR192" s="87"/>
      <c r="KS192" s="87"/>
      <c r="KT192" s="87"/>
      <c r="KU192" s="87"/>
      <c r="KV192" s="87"/>
      <c r="KW192" s="87"/>
      <c r="KX192" s="87"/>
      <c r="KY192" s="87"/>
      <c r="KZ192" s="87"/>
      <c r="LA192" s="87"/>
      <c r="LB192" s="87"/>
      <c r="LC192" s="87"/>
      <c r="LD192" s="87"/>
      <c r="LE192" s="87"/>
      <c r="LF192" s="87"/>
      <c r="LG192" s="87"/>
      <c r="LH192" s="87"/>
      <c r="LI192" s="87"/>
      <c r="LJ192" s="87"/>
      <c r="LK192" s="87"/>
      <c r="LL192" s="87"/>
      <c r="LM192" s="87"/>
      <c r="LN192" s="87"/>
      <c r="LO192" s="87"/>
      <c r="LP192" s="87"/>
      <c r="LQ192" s="87"/>
      <c r="LR192" s="87"/>
      <c r="LS192" s="87"/>
      <c r="LT192" s="87"/>
      <c r="LU192" s="87"/>
      <c r="LV192" s="87"/>
      <c r="LW192" s="87"/>
      <c r="LX192" s="87"/>
      <c r="LY192" s="87"/>
      <c r="LZ192" s="87"/>
      <c r="MA192" s="87"/>
      <c r="MB192" s="87"/>
      <c r="MC192" s="87"/>
      <c r="MD192" s="87"/>
      <c r="ME192" s="87"/>
      <c r="MF192" s="87"/>
      <c r="MG192" s="87"/>
      <c r="MH192" s="87"/>
      <c r="MI192" s="87"/>
      <c r="MJ192" s="87"/>
      <c r="MK192" s="87"/>
      <c r="ML192" s="87"/>
      <c r="MM192" s="87"/>
      <c r="MN192" s="87"/>
      <c r="MO192" s="87"/>
      <c r="MP192" s="87"/>
      <c r="MQ192" s="87"/>
      <c r="MR192" s="87"/>
      <c r="MS192" s="87"/>
      <c r="MT192" s="87"/>
      <c r="MU192" s="87"/>
      <c r="MV192" s="87"/>
      <c r="MW192" s="87"/>
      <c r="MX192" s="87"/>
      <c r="MY192" s="87"/>
      <c r="MZ192" s="87"/>
      <c r="NA192" s="87"/>
      <c r="NB192" s="87"/>
      <c r="NC192" s="87"/>
      <c r="ND192" s="87"/>
      <c r="NE192" s="87"/>
      <c r="NF192" s="87"/>
      <c r="NG192" s="87"/>
      <c r="NH192" s="87"/>
      <c r="NI192" s="87"/>
      <c r="NJ192" s="87"/>
      <c r="NK192" s="87"/>
      <c r="NL192" s="87"/>
      <c r="NM192" s="87"/>
      <c r="NN192" s="87"/>
      <c r="NO192" s="87"/>
      <c r="NP192" s="87"/>
      <c r="NQ192" s="87"/>
      <c r="NR192" s="87"/>
      <c r="NS192" s="87"/>
      <c r="NT192" s="87"/>
      <c r="NU192" s="87"/>
      <c r="NV192" s="87"/>
      <c r="NW192" s="87"/>
      <c r="NX192" s="87"/>
      <c r="NY192" s="87"/>
      <c r="NZ192" s="87"/>
      <c r="OA192" s="87"/>
      <c r="OB192" s="87"/>
      <c r="OC192" s="87"/>
      <c r="OD192" s="87"/>
      <c r="OE192" s="87"/>
      <c r="OF192" s="87"/>
      <c r="OG192" s="87"/>
      <c r="OH192" s="87"/>
      <c r="OI192" s="87"/>
      <c r="OJ192" s="87"/>
      <c r="OK192" s="87"/>
      <c r="OL192" s="87"/>
      <c r="OM192" s="87"/>
      <c r="ON192" s="87"/>
      <c r="OO192" s="87"/>
      <c r="OP192" s="87"/>
      <c r="OQ192" s="87"/>
      <c r="OR192" s="87"/>
      <c r="OS192" s="87"/>
      <c r="OT192" s="87"/>
      <c r="OU192" s="87"/>
      <c r="OV192" s="87"/>
      <c r="OW192" s="87"/>
      <c r="OX192" s="87"/>
      <c r="OY192" s="87"/>
      <c r="OZ192" s="87"/>
      <c r="PA192" s="87"/>
      <c r="PB192" s="87"/>
      <c r="PC192" s="87"/>
      <c r="PD192" s="87"/>
      <c r="PE192" s="87"/>
      <c r="PF192" s="87"/>
      <c r="PG192" s="87"/>
      <c r="PH192" s="87"/>
      <c r="PI192" s="87"/>
      <c r="PJ192" s="87"/>
      <c r="PK192" s="87"/>
      <c r="PL192" s="87"/>
      <c r="PM192" s="87"/>
      <c r="PN192" s="87"/>
      <c r="PO192" s="87"/>
      <c r="PP192" s="87"/>
      <c r="PQ192" s="87"/>
      <c r="PR192" s="87"/>
      <c r="PS192" s="87"/>
      <c r="PT192" s="87"/>
      <c r="PU192" s="87"/>
      <c r="PV192" s="87"/>
      <c r="PW192" s="87"/>
      <c r="PX192" s="87"/>
      <c r="PY192" s="87"/>
      <c r="PZ192" s="87"/>
      <c r="QA192" s="87"/>
      <c r="QB192" s="87"/>
      <c r="QC192" s="87"/>
      <c r="QD192" s="87"/>
      <c r="QE192" s="87"/>
      <c r="QF192" s="87"/>
      <c r="QG192" s="87"/>
      <c r="QH192" s="87"/>
      <c r="QI192" s="87"/>
      <c r="QJ192" s="87"/>
      <c r="QK192" s="87"/>
      <c r="QL192" s="87"/>
      <c r="QM192" s="87"/>
      <c r="QN192" s="87"/>
      <c r="QO192" s="87"/>
      <c r="QP192" s="87"/>
      <c r="QQ192" s="87"/>
      <c r="QR192" s="87"/>
      <c r="QS192" s="87"/>
      <c r="QT192" s="87"/>
      <c r="QU192" s="87"/>
      <c r="QV192" s="87"/>
      <c r="QW192" s="87"/>
      <c r="QX192" s="87"/>
      <c r="QY192" s="87"/>
      <c r="QZ192" s="87"/>
      <c r="RA192" s="87"/>
      <c r="RB192" s="87"/>
      <c r="RC192" s="87"/>
      <c r="RD192" s="87"/>
      <c r="RE192" s="87"/>
      <c r="RF192" s="87"/>
      <c r="RG192" s="87"/>
      <c r="RH192" s="87"/>
      <c r="RI192" s="87"/>
      <c r="RJ192" s="87"/>
      <c r="RK192" s="87"/>
      <c r="RL192" s="87"/>
      <c r="RM192" s="87"/>
      <c r="RN192" s="87"/>
      <c r="RO192" s="87"/>
      <c r="RP192" s="87"/>
      <c r="RQ192" s="87"/>
      <c r="RR192" s="87"/>
      <c r="RS192" s="87"/>
      <c r="RT192" s="87"/>
      <c r="RU192" s="87"/>
      <c r="RV192" s="87"/>
      <c r="RW192" s="87"/>
      <c r="RX192" s="87"/>
      <c r="RY192" s="87"/>
      <c r="RZ192" s="87"/>
      <c r="SA192" s="87"/>
      <c r="SB192" s="87"/>
      <c r="SC192" s="87"/>
      <c r="SD192" s="87"/>
      <c r="SE192" s="87"/>
      <c r="SF192" s="87"/>
      <c r="SG192" s="87"/>
      <c r="SH192" s="87"/>
      <c r="SI192" s="87"/>
      <c r="SJ192" s="87"/>
      <c r="SK192" s="87"/>
      <c r="SL192" s="87"/>
      <c r="SM192" s="87"/>
      <c r="SN192" s="87"/>
      <c r="SO192" s="87"/>
      <c r="SP192" s="87"/>
      <c r="SQ192" s="87"/>
      <c r="SR192" s="87"/>
      <c r="SS192" s="87"/>
      <c r="ST192" s="87"/>
      <c r="SU192" s="87"/>
      <c r="SV192" s="87"/>
      <c r="SW192" s="87"/>
      <c r="SX192" s="87"/>
      <c r="SY192" s="87"/>
      <c r="SZ192" s="87"/>
      <c r="TA192" s="87"/>
      <c r="TB192" s="87"/>
      <c r="TC192" s="87"/>
      <c r="TD192" s="87"/>
      <c r="TE192" s="87"/>
      <c r="TF192" s="87"/>
      <c r="TG192" s="87"/>
      <c r="TH192" s="87"/>
      <c r="TI192" s="87"/>
      <c r="TJ192" s="87"/>
      <c r="TK192" s="87"/>
      <c r="TL192" s="87"/>
      <c r="TM192" s="87"/>
      <c r="TN192" s="87"/>
      <c r="TO192" s="87"/>
      <c r="TP192" s="87"/>
      <c r="TQ192" s="87"/>
      <c r="TR192" s="87"/>
      <c r="TS192" s="87"/>
      <c r="TT192" s="87"/>
      <c r="TU192" s="87"/>
      <c r="TV192" s="87"/>
      <c r="TW192" s="87"/>
      <c r="TX192" s="87"/>
      <c r="TY192" s="87"/>
      <c r="TZ192" s="87"/>
      <c r="UA192" s="87"/>
      <c r="UB192" s="87"/>
      <c r="UC192" s="87"/>
      <c r="UD192" s="87"/>
      <c r="UE192" s="87"/>
      <c r="UF192" s="87"/>
      <c r="UG192" s="87"/>
      <c r="UH192" s="87"/>
      <c r="UI192" s="87"/>
      <c r="UJ192" s="87"/>
      <c r="UK192" s="87"/>
      <c r="UL192" s="87"/>
      <c r="UM192" s="87"/>
      <c r="UN192" s="87"/>
      <c r="UO192" s="87"/>
      <c r="UP192" s="87"/>
      <c r="UQ192" s="87"/>
      <c r="UR192" s="87"/>
      <c r="US192" s="87"/>
      <c r="UT192" s="87"/>
      <c r="UU192" s="87"/>
      <c r="UV192" s="87"/>
      <c r="UW192" s="87"/>
      <c r="UX192" s="87"/>
      <c r="UY192" s="87"/>
      <c r="UZ192" s="87"/>
      <c r="VA192" s="87"/>
      <c r="VB192" s="87"/>
      <c r="VC192" s="87"/>
      <c r="VD192" s="87"/>
      <c r="VE192" s="87"/>
      <c r="VF192" s="87"/>
      <c r="VG192" s="87"/>
      <c r="VH192" s="87"/>
      <c r="VI192" s="87"/>
      <c r="VJ192" s="87"/>
      <c r="VK192" s="87"/>
      <c r="VL192" s="87"/>
      <c r="VM192" s="87"/>
      <c r="VN192" s="87"/>
      <c r="VO192" s="87"/>
      <c r="VP192" s="87"/>
      <c r="VQ192" s="87"/>
      <c r="VR192" s="87"/>
      <c r="VS192" s="87"/>
      <c r="VT192" s="87"/>
      <c r="VU192" s="87"/>
      <c r="VV192" s="87"/>
      <c r="VW192" s="87"/>
      <c r="VX192" s="87"/>
      <c r="VY192" s="87"/>
      <c r="VZ192" s="87"/>
      <c r="WA192" s="87"/>
      <c r="WB192" s="87"/>
      <c r="WC192" s="87"/>
      <c r="WD192" s="87"/>
      <c r="WE192" s="87"/>
      <c r="WF192" s="87"/>
      <c r="WG192" s="87"/>
      <c r="WH192" s="87"/>
      <c r="WI192" s="87"/>
      <c r="WJ192" s="87"/>
      <c r="WK192" s="87"/>
      <c r="WL192" s="87"/>
      <c r="WM192" s="87"/>
      <c r="WN192" s="87"/>
      <c r="WO192" s="87"/>
      <c r="WP192" s="87"/>
      <c r="WQ192" s="87"/>
      <c r="WR192" s="87"/>
      <c r="WS192" s="87"/>
      <c r="WT192" s="87"/>
      <c r="WU192" s="87"/>
      <c r="WV192" s="87"/>
      <c r="WW192" s="87"/>
      <c r="WX192" s="87"/>
      <c r="WY192" s="87"/>
      <c r="WZ192" s="87"/>
      <c r="XA192" s="87"/>
      <c r="XB192" s="87"/>
      <c r="XC192" s="87"/>
      <c r="XD192" s="87"/>
      <c r="XE192" s="87"/>
      <c r="XF192" s="87"/>
      <c r="XG192" s="87"/>
      <c r="XH192" s="87"/>
      <c r="XI192" s="87"/>
      <c r="XJ192" s="87"/>
      <c r="XK192" s="87"/>
      <c r="XL192" s="87"/>
      <c r="XM192" s="87"/>
      <c r="XN192" s="87"/>
      <c r="XO192" s="87"/>
      <c r="XP192" s="87"/>
      <c r="XQ192" s="87"/>
      <c r="XR192" s="87"/>
      <c r="XS192" s="87"/>
      <c r="XT192" s="87"/>
      <c r="XU192" s="87"/>
      <c r="XV192" s="87"/>
      <c r="XW192" s="87"/>
      <c r="XX192" s="87"/>
      <c r="XY192" s="87"/>
      <c r="XZ192" s="87"/>
      <c r="YA192" s="87"/>
      <c r="YB192" s="87"/>
      <c r="YC192" s="87"/>
      <c r="YD192" s="87"/>
      <c r="YE192" s="87"/>
      <c r="YF192" s="87"/>
      <c r="YG192" s="87"/>
      <c r="YH192" s="87"/>
      <c r="YI192" s="87"/>
      <c r="YJ192" s="87"/>
      <c r="YK192" s="87"/>
      <c r="YL192" s="87"/>
      <c r="YM192" s="87"/>
      <c r="YN192" s="87"/>
      <c r="YO192" s="87"/>
      <c r="YP192" s="87"/>
      <c r="YQ192" s="87"/>
      <c r="YR192" s="87"/>
      <c r="YS192" s="87"/>
      <c r="YT192" s="87"/>
      <c r="YU192" s="87"/>
      <c r="YV192" s="87"/>
      <c r="YW192" s="87"/>
      <c r="YX192" s="87"/>
      <c r="YY192" s="87"/>
      <c r="YZ192" s="87"/>
      <c r="ZA192" s="87"/>
      <c r="ZB192" s="87"/>
      <c r="ZC192" s="87"/>
      <c r="ZD192" s="87"/>
      <c r="ZE192" s="87"/>
      <c r="ZF192" s="87"/>
      <c r="ZG192" s="87"/>
      <c r="ZH192" s="87"/>
      <c r="ZI192" s="87"/>
      <c r="ZJ192" s="87"/>
      <c r="ZK192" s="87"/>
      <c r="ZL192" s="87"/>
      <c r="ZM192" s="87"/>
      <c r="ZN192" s="87"/>
      <c r="ZO192" s="87"/>
      <c r="ZP192" s="87"/>
      <c r="ZQ192" s="87"/>
      <c r="ZR192" s="87"/>
      <c r="ZS192" s="87"/>
      <c r="ZT192" s="87"/>
      <c r="ZU192" s="87"/>
      <c r="ZV192" s="87"/>
      <c r="ZW192" s="87"/>
      <c r="ZX192" s="87"/>
      <c r="ZY192" s="87"/>
      <c r="ZZ192" s="87"/>
      <c r="AAA192" s="87"/>
      <c r="AAB192" s="87"/>
      <c r="AAC192" s="87"/>
      <c r="AAD192" s="87"/>
      <c r="AAE192" s="87"/>
      <c r="AAF192" s="87"/>
      <c r="AAG192" s="87"/>
      <c r="AAH192" s="87"/>
      <c r="AAI192" s="87"/>
      <c r="AAJ192" s="87"/>
      <c r="AAK192" s="87"/>
      <c r="AAL192" s="87"/>
      <c r="AAM192" s="87"/>
      <c r="AAN192" s="87"/>
      <c r="AAO192" s="87"/>
      <c r="AAP192" s="87"/>
      <c r="AAQ192" s="87"/>
      <c r="AAR192" s="87"/>
      <c r="AAS192" s="87"/>
      <c r="AAT192" s="87"/>
      <c r="AAU192" s="87"/>
      <c r="AAV192" s="87"/>
      <c r="AAW192" s="87"/>
      <c r="AAX192" s="87"/>
      <c r="AAY192" s="87"/>
      <c r="AAZ192" s="87"/>
      <c r="ABA192" s="87"/>
      <c r="ABB192" s="87"/>
      <c r="ABC192" s="87"/>
      <c r="ABD192" s="87"/>
      <c r="ABE192" s="87"/>
      <c r="ABF192" s="87"/>
      <c r="ABG192" s="87"/>
      <c r="ABH192" s="87"/>
      <c r="ABI192" s="87"/>
      <c r="ABJ192" s="87"/>
      <c r="ABK192" s="87"/>
      <c r="ABL192" s="87"/>
      <c r="ABM192" s="87"/>
      <c r="ABN192" s="87"/>
      <c r="ABO192" s="87"/>
      <c r="ABP192" s="87"/>
      <c r="ABQ192" s="87"/>
      <c r="ABR192" s="87"/>
      <c r="ABS192" s="87"/>
      <c r="ABT192" s="87"/>
      <c r="ABU192" s="87"/>
      <c r="ABV192" s="87"/>
      <c r="ABW192" s="87"/>
      <c r="ABX192" s="87"/>
      <c r="ABY192" s="87"/>
      <c r="ABZ192" s="87"/>
      <c r="ACA192" s="87"/>
      <c r="ACB192" s="87"/>
      <c r="ACC192" s="87"/>
      <c r="ACD192" s="87"/>
      <c r="ACE192" s="87"/>
      <c r="ACF192" s="87"/>
      <c r="ACG192" s="87"/>
      <c r="ACH192" s="87"/>
      <c r="ACI192" s="87"/>
      <c r="ACJ192" s="87"/>
      <c r="ACK192" s="87"/>
      <c r="ACL192" s="87"/>
      <c r="ACM192" s="87"/>
      <c r="ACN192" s="87"/>
      <c r="ACO192" s="87"/>
      <c r="ACP192" s="87"/>
      <c r="ACQ192" s="87"/>
      <c r="ACR192" s="87"/>
      <c r="ACS192" s="87"/>
      <c r="ACT192" s="87"/>
      <c r="ACU192" s="87"/>
      <c r="ACV192" s="87"/>
      <c r="ACW192" s="87"/>
      <c r="ACX192" s="87"/>
      <c r="ACY192" s="87"/>
      <c r="ACZ192" s="87"/>
      <c r="ADA192" s="87"/>
      <c r="ADB192" s="87"/>
      <c r="ADC192" s="87"/>
      <c r="ADD192" s="87"/>
      <c r="ADE192" s="87"/>
      <c r="ADF192" s="87"/>
      <c r="ADG192" s="87"/>
      <c r="ADH192" s="87"/>
      <c r="ADI192" s="87"/>
      <c r="ADJ192" s="87"/>
      <c r="ADK192" s="87"/>
      <c r="ADL192" s="87"/>
      <c r="ADM192" s="87"/>
      <c r="ADN192" s="87"/>
      <c r="ADO192" s="87"/>
      <c r="ADP192" s="87"/>
      <c r="ADQ192" s="87"/>
      <c r="ADR192" s="87"/>
      <c r="ADS192" s="87"/>
      <c r="ADT192" s="87"/>
      <c r="ADU192" s="87"/>
      <c r="ADV192" s="87"/>
      <c r="ADW192" s="87"/>
      <c r="ADX192" s="87"/>
      <c r="ADY192" s="87"/>
      <c r="ADZ192" s="87"/>
      <c r="AEA192" s="87"/>
      <c r="AEB192" s="87"/>
      <c r="AEC192" s="87"/>
      <c r="AED192" s="87"/>
      <c r="AEE192" s="87"/>
      <c r="AEF192" s="87"/>
      <c r="AEG192" s="87"/>
      <c r="AEH192" s="87"/>
      <c r="AEI192" s="87"/>
      <c r="AEJ192" s="87"/>
      <c r="AEK192" s="87"/>
      <c r="AEL192" s="87"/>
      <c r="AEM192" s="87"/>
      <c r="AEN192" s="87"/>
      <c r="AEO192" s="87"/>
      <c r="AEP192" s="87"/>
      <c r="AEQ192" s="87"/>
      <c r="AER192" s="87"/>
      <c r="AES192" s="87"/>
      <c r="AET192" s="87"/>
      <c r="AEU192" s="87"/>
      <c r="AEV192" s="87"/>
      <c r="AEW192" s="87"/>
      <c r="AEX192" s="87"/>
      <c r="AEY192" s="87"/>
      <c r="AEZ192" s="87"/>
      <c r="AFA192" s="87"/>
      <c r="AFB192" s="87"/>
      <c r="AFC192" s="87"/>
      <c r="AFD192" s="87"/>
      <c r="AFE192" s="87"/>
      <c r="AFF192" s="87"/>
      <c r="AFG192" s="87"/>
      <c r="AFH192" s="87"/>
      <c r="AFI192" s="87"/>
      <c r="AFJ192" s="87"/>
      <c r="AFK192" s="87"/>
      <c r="AFL192" s="87"/>
      <c r="AFM192" s="87"/>
      <c r="AFN192" s="87"/>
      <c r="AFO192" s="87"/>
      <c r="AFP192" s="87"/>
      <c r="AFQ192" s="87"/>
      <c r="AFR192" s="87"/>
      <c r="AFS192" s="87"/>
      <c r="AFT192" s="87"/>
      <c r="AFU192" s="87"/>
      <c r="AFV192" s="87"/>
      <c r="AFW192" s="87"/>
      <c r="AFX192" s="87"/>
      <c r="AFY192" s="87"/>
      <c r="AFZ192" s="87"/>
      <c r="AGA192" s="87"/>
      <c r="AGB192" s="87"/>
      <c r="AGC192" s="87"/>
      <c r="AGD192" s="87"/>
      <c r="AGE192" s="87"/>
      <c r="AGF192" s="87"/>
      <c r="AGG192" s="87"/>
      <c r="AGH192" s="87"/>
      <c r="AGI192" s="87"/>
      <c r="AGJ192" s="87"/>
      <c r="AGK192" s="87"/>
      <c r="AGL192" s="87"/>
      <c r="AGM192" s="87"/>
      <c r="AGN192" s="87"/>
      <c r="AGO192" s="87"/>
      <c r="AGP192" s="87"/>
      <c r="AGQ192" s="87"/>
      <c r="AGR192" s="87"/>
      <c r="AGS192" s="87"/>
      <c r="AGT192" s="87"/>
      <c r="AGU192" s="87"/>
      <c r="AGV192" s="87"/>
      <c r="AGW192" s="87"/>
      <c r="AGX192" s="87"/>
      <c r="AGY192" s="87"/>
      <c r="AGZ192" s="87"/>
      <c r="AHA192" s="87"/>
      <c r="AHB192" s="87"/>
      <c r="AHC192" s="87"/>
      <c r="AHD192" s="87"/>
      <c r="AHE192" s="87"/>
      <c r="AHF192" s="87"/>
      <c r="AHG192" s="87"/>
      <c r="AHH192" s="87"/>
      <c r="AHI192" s="87"/>
      <c r="AHJ192" s="87"/>
      <c r="AHK192" s="87"/>
      <c r="AHL192" s="87"/>
      <c r="AHM192" s="87"/>
      <c r="AHN192" s="87"/>
      <c r="AHO192" s="87"/>
      <c r="AHP192" s="87"/>
      <c r="AHQ192" s="87"/>
      <c r="AHR192" s="87"/>
      <c r="AHS192" s="87"/>
      <c r="AHT192" s="87"/>
      <c r="AHU192" s="87"/>
      <c r="AHV192" s="87"/>
      <c r="AHW192" s="87"/>
      <c r="AHX192" s="87"/>
      <c r="AHY192" s="87"/>
      <c r="AHZ192" s="87"/>
      <c r="AIA192" s="87"/>
      <c r="AIB192" s="87"/>
      <c r="AIC192" s="87"/>
      <c r="AID192" s="87"/>
      <c r="AIE192" s="87"/>
      <c r="AIF192" s="87"/>
      <c r="AIG192" s="87"/>
      <c r="AIH192" s="87"/>
      <c r="AII192" s="87"/>
      <c r="AIJ192" s="87"/>
      <c r="AIK192" s="87"/>
      <c r="AIL192" s="87"/>
      <c r="AIM192" s="87"/>
      <c r="AIN192" s="87"/>
      <c r="AIO192" s="87"/>
      <c r="AIP192" s="87"/>
      <c r="AIQ192" s="87"/>
      <c r="AIR192" s="87"/>
      <c r="AIS192" s="87"/>
      <c r="AIT192" s="87"/>
      <c r="AIU192" s="87"/>
      <c r="AIV192" s="87"/>
      <c r="AIW192" s="87"/>
      <c r="AIX192" s="87"/>
      <c r="AIY192" s="87"/>
      <c r="AIZ192" s="87"/>
      <c r="AJA192" s="87"/>
      <c r="AJB192" s="87"/>
      <c r="AJC192" s="87"/>
      <c r="AJD192" s="87"/>
      <c r="AJE192" s="87"/>
      <c r="AJF192" s="87"/>
      <c r="AJG192" s="87"/>
      <c r="AJH192" s="87"/>
      <c r="AJI192" s="87"/>
      <c r="AJJ192" s="87"/>
      <c r="AJK192" s="87"/>
      <c r="AJL192" s="87"/>
      <c r="AJM192" s="87"/>
      <c r="AJN192" s="87"/>
      <c r="AJO192" s="87"/>
      <c r="AJP192" s="87"/>
      <c r="AJQ192" s="87"/>
      <c r="AJR192" s="87"/>
      <c r="AJS192" s="87"/>
      <c r="AJT192" s="87"/>
      <c r="AJU192" s="87"/>
      <c r="AJV192" s="87"/>
      <c r="AJW192" s="87"/>
      <c r="AJX192" s="87"/>
      <c r="AJY192" s="87"/>
      <c r="AJZ192" s="87"/>
      <c r="AKA192" s="87"/>
      <c r="AKB192" s="87"/>
      <c r="AKC192" s="87"/>
      <c r="AKD192" s="87"/>
      <c r="AKE192" s="87"/>
      <c r="AKF192" s="87"/>
      <c r="AKG192" s="87"/>
      <c r="AKH192" s="87"/>
      <c r="AKI192" s="87"/>
      <c r="AKJ192" s="87"/>
      <c r="AKK192" s="87"/>
      <c r="AKL192" s="87"/>
      <c r="AKM192" s="87"/>
      <c r="AKN192" s="87"/>
      <c r="AKO192" s="87"/>
      <c r="AKP192" s="87"/>
      <c r="AKQ192" s="87"/>
      <c r="AKR192" s="87"/>
      <c r="AKS192" s="87"/>
      <c r="AKT192" s="87"/>
      <c r="AKU192" s="87"/>
      <c r="AKV192" s="87"/>
      <c r="AKW192" s="87"/>
      <c r="AKX192" s="87"/>
      <c r="AKY192" s="87"/>
      <c r="AKZ192" s="87"/>
      <c r="ALA192" s="87"/>
      <c r="ALB192" s="87"/>
      <c r="ALC192" s="87"/>
      <c r="ALD192" s="87"/>
      <c r="ALE192" s="87"/>
      <c r="ALF192" s="87"/>
      <c r="ALG192" s="87"/>
      <c r="ALH192" s="87"/>
      <c r="ALI192" s="87"/>
      <c r="ALJ192" s="87"/>
      <c r="ALK192" s="87"/>
      <c r="ALL192" s="87"/>
      <c r="ALM192" s="87"/>
      <c r="ALN192" s="87"/>
      <c r="ALO192" s="87"/>
      <c r="ALP192" s="87"/>
      <c r="ALQ192" s="87"/>
      <c r="ALR192" s="87"/>
      <c r="ALS192" s="87"/>
      <c r="ALT192" s="87"/>
      <c r="ALU192" s="87"/>
      <c r="ALV192" s="87"/>
      <c r="ALW192" s="87"/>
      <c r="ALX192" s="87"/>
      <c r="ALY192" s="87"/>
      <c r="ALZ192" s="87"/>
      <c r="AMA192" s="87"/>
      <c r="AMB192" s="87"/>
      <c r="AMC192" s="87"/>
      <c r="AMD192" s="87"/>
      <c r="AME192" s="87"/>
      <c r="AMF192" s="87"/>
      <c r="AMG192" s="87"/>
      <c r="AMH192" s="87"/>
      <c r="AMI192" s="87"/>
      <c r="AMJ192" s="87"/>
      <c r="AMK192" s="87"/>
    </row>
    <row r="193" spans="1:36" ht="15.75" customHeight="1" x14ac:dyDescent="0.25">
      <c r="A193" s="14" t="s">
        <v>674</v>
      </c>
      <c r="B193" s="28"/>
      <c r="C193" s="28"/>
      <c r="D193" s="17"/>
      <c r="E193" s="90" t="s">
        <v>676</v>
      </c>
      <c r="F193" s="19"/>
      <c r="G193" s="20" t="s">
        <v>675</v>
      </c>
      <c r="H193" s="32" t="s">
        <v>676</v>
      </c>
      <c r="I193" s="25"/>
      <c r="J193" s="30" t="s">
        <v>677</v>
      </c>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37"/>
      <c r="AH193" s="37"/>
      <c r="AI193" s="37"/>
      <c r="AJ193" s="37"/>
    </row>
    <row r="194" spans="1:36" ht="15.75" customHeight="1" x14ac:dyDescent="0.25">
      <c r="A194" s="14" t="s">
        <v>678</v>
      </c>
      <c r="B194" s="28" t="s">
        <v>1078</v>
      </c>
      <c r="C194" s="28" t="s">
        <v>1483</v>
      </c>
      <c r="D194" s="17"/>
      <c r="E194" s="90" t="s">
        <v>941</v>
      </c>
      <c r="F194" s="19"/>
      <c r="G194" s="20" t="s">
        <v>679</v>
      </c>
      <c r="H194" s="32" t="s">
        <v>680</v>
      </c>
      <c r="I194" s="33" t="s">
        <v>681</v>
      </c>
      <c r="J194" s="30" t="s">
        <v>681</v>
      </c>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37"/>
      <c r="AH194" s="37"/>
      <c r="AI194" s="37"/>
      <c r="AJ194" s="37"/>
    </row>
    <row r="195" spans="1:36" ht="15.75" customHeight="1" x14ac:dyDescent="0.25">
      <c r="A195" s="14" t="s">
        <v>682</v>
      </c>
      <c r="B195" s="28" t="s">
        <v>1004</v>
      </c>
      <c r="C195" s="28" t="s">
        <v>1141</v>
      </c>
      <c r="D195" s="17"/>
      <c r="E195" s="90" t="s">
        <v>1484</v>
      </c>
      <c r="F195" s="19"/>
      <c r="G195" s="20" t="s">
        <v>683</v>
      </c>
      <c r="H195" s="32" t="s">
        <v>684</v>
      </c>
      <c r="I195" s="33" t="s">
        <v>685</v>
      </c>
      <c r="J195" s="30" t="s">
        <v>685</v>
      </c>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37"/>
      <c r="AH195" s="37"/>
      <c r="AI195" s="37"/>
      <c r="AJ195" s="37"/>
    </row>
    <row r="196" spans="1:36" ht="15.75" customHeight="1" x14ac:dyDescent="0.25">
      <c r="A196" s="14" t="s">
        <v>686</v>
      </c>
      <c r="B196" s="28"/>
      <c r="C196" s="28"/>
      <c r="D196" s="17"/>
      <c r="E196" s="90" t="s">
        <v>688</v>
      </c>
      <c r="F196" s="19"/>
      <c r="G196" s="20" t="s">
        <v>687</v>
      </c>
      <c r="H196" s="32" t="s">
        <v>688</v>
      </c>
      <c r="I196" s="25" t="s">
        <v>689</v>
      </c>
      <c r="J196" s="30" t="s">
        <v>690</v>
      </c>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37"/>
      <c r="AH196" s="37"/>
      <c r="AI196" s="37"/>
      <c r="AJ196" s="37"/>
    </row>
    <row r="197" spans="1:36" ht="15.75" customHeight="1" x14ac:dyDescent="0.25">
      <c r="A197" s="14" t="s">
        <v>691</v>
      </c>
      <c r="B197" s="28">
        <v>26711</v>
      </c>
      <c r="C197" s="28" t="s">
        <v>1485</v>
      </c>
      <c r="D197" s="17"/>
      <c r="E197" s="90" t="s">
        <v>693</v>
      </c>
      <c r="F197" s="19"/>
      <c r="G197" s="20" t="s">
        <v>692</v>
      </c>
      <c r="H197" s="32" t="s">
        <v>693</v>
      </c>
      <c r="I197" s="25"/>
      <c r="J197" s="30" t="s">
        <v>694</v>
      </c>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37"/>
      <c r="AH197" s="37"/>
      <c r="AI197" s="37"/>
      <c r="AJ197" s="37"/>
    </row>
    <row r="198" spans="1:36" ht="15.75" customHeight="1" x14ac:dyDescent="0.25">
      <c r="A198" s="14" t="s">
        <v>695</v>
      </c>
      <c r="B198" s="28" t="s">
        <v>1486</v>
      </c>
      <c r="C198" s="28">
        <v>971382</v>
      </c>
      <c r="D198" s="17"/>
      <c r="E198" s="90" t="s">
        <v>697</v>
      </c>
      <c r="F198" s="19"/>
      <c r="G198" s="20" t="s">
        <v>696</v>
      </c>
      <c r="H198" s="32" t="s">
        <v>697</v>
      </c>
      <c r="I198" s="25"/>
      <c r="J198" s="30" t="s">
        <v>698</v>
      </c>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37"/>
      <c r="AH198" s="37"/>
      <c r="AI198" s="76"/>
      <c r="AJ198" s="76"/>
    </row>
    <row r="199" spans="1:36" ht="15.75" customHeight="1" x14ac:dyDescent="0.25">
      <c r="A199" s="14" t="s">
        <v>699</v>
      </c>
      <c r="B199" s="28" t="s">
        <v>1267</v>
      </c>
      <c r="C199" s="28" t="s">
        <v>1487</v>
      </c>
      <c r="D199" s="17"/>
      <c r="E199" s="90" t="s">
        <v>1488</v>
      </c>
      <c r="F199" s="19">
        <v>1489575500000000</v>
      </c>
      <c r="G199" s="20" t="s">
        <v>700</v>
      </c>
      <c r="H199" s="44" t="s">
        <v>701</v>
      </c>
      <c r="I199" s="88" t="s">
        <v>702</v>
      </c>
      <c r="J199" s="39" t="s">
        <v>703</v>
      </c>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37"/>
      <c r="AH199" s="37"/>
      <c r="AI199" s="33" t="s">
        <v>704</v>
      </c>
      <c r="AJ199" s="33"/>
    </row>
    <row r="200" spans="1:36" ht="15.75" customHeight="1" x14ac:dyDescent="0.25">
      <c r="A200" s="14" t="s">
        <v>705</v>
      </c>
      <c r="B200" s="28" t="s">
        <v>1267</v>
      </c>
      <c r="C200" s="28" t="s">
        <v>1487</v>
      </c>
      <c r="D200" s="17"/>
      <c r="E200" s="90" t="s">
        <v>1489</v>
      </c>
      <c r="F200" s="19"/>
      <c r="G200" s="20" t="s">
        <v>706</v>
      </c>
      <c r="H200" s="32" t="s">
        <v>707</v>
      </c>
      <c r="I200" s="89" t="s">
        <v>708</v>
      </c>
      <c r="J200" s="30" t="s">
        <v>703</v>
      </c>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37"/>
      <c r="AH200" s="37"/>
      <c r="AI200" s="37"/>
      <c r="AJ200" s="37"/>
    </row>
    <row r="201" spans="1:36" ht="15.75" customHeight="1" x14ac:dyDescent="0.25">
      <c r="A201" s="14" t="s">
        <v>709</v>
      </c>
      <c r="B201" s="28">
        <v>4004147</v>
      </c>
      <c r="C201" s="28" t="s">
        <v>876</v>
      </c>
      <c r="D201" s="17" t="s">
        <v>1490</v>
      </c>
      <c r="E201" s="90" t="s">
        <v>711</v>
      </c>
      <c r="F201" s="19"/>
      <c r="G201" s="20" t="s">
        <v>710</v>
      </c>
      <c r="H201" s="32" t="s">
        <v>711</v>
      </c>
      <c r="I201" s="33" t="s">
        <v>712</v>
      </c>
      <c r="J201" s="30" t="s">
        <v>712</v>
      </c>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37"/>
      <c r="AH201" s="37"/>
      <c r="AI201" s="37"/>
      <c r="AJ201" s="37"/>
    </row>
    <row r="202" spans="1:36" ht="15.75" customHeight="1" x14ac:dyDescent="0.25">
      <c r="A202" s="14" t="s">
        <v>713</v>
      </c>
      <c r="B202" s="28"/>
      <c r="C202" s="28"/>
      <c r="D202" s="17"/>
      <c r="E202" s="90" t="s">
        <v>1491</v>
      </c>
      <c r="F202" s="19"/>
      <c r="G202" s="20" t="s">
        <v>714</v>
      </c>
      <c r="H202" s="32" t="s">
        <v>715</v>
      </c>
      <c r="I202" s="33"/>
      <c r="J202" s="30" t="s">
        <v>716</v>
      </c>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37"/>
      <c r="AH202" s="37"/>
      <c r="AI202" s="37"/>
      <c r="AJ202" s="37"/>
    </row>
    <row r="203" spans="1:36" ht="15.75" customHeight="1" x14ac:dyDescent="0.25">
      <c r="A203" s="14" t="s">
        <v>717</v>
      </c>
      <c r="B203" s="28"/>
      <c r="C203" s="28"/>
      <c r="D203" s="17"/>
      <c r="E203" s="90" t="s">
        <v>719</v>
      </c>
      <c r="F203" s="19"/>
      <c r="G203" s="20" t="s">
        <v>718</v>
      </c>
      <c r="H203" s="32" t="s">
        <v>719</v>
      </c>
      <c r="I203" s="33" t="s">
        <v>720</v>
      </c>
      <c r="J203" s="30"/>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37"/>
      <c r="AH203" s="37"/>
      <c r="AI203" s="37"/>
      <c r="AJ203" s="37"/>
    </row>
    <row r="204" spans="1:36" ht="15.75" customHeight="1" x14ac:dyDescent="0.25">
      <c r="A204" s="14" t="s">
        <v>721</v>
      </c>
      <c r="B204" s="28"/>
      <c r="C204" s="28"/>
      <c r="D204" s="17"/>
      <c r="E204" s="90" t="s">
        <v>723</v>
      </c>
      <c r="F204" s="19"/>
      <c r="G204" s="20" t="s">
        <v>722</v>
      </c>
      <c r="H204" s="32" t="s">
        <v>723</v>
      </c>
      <c r="I204" s="33"/>
      <c r="J204" s="30"/>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37"/>
      <c r="AH204" s="37"/>
      <c r="AI204" s="37"/>
      <c r="AJ204" s="37"/>
    </row>
    <row r="205" spans="1:36" ht="15.75" customHeight="1" x14ac:dyDescent="0.25">
      <c r="A205" s="14" t="s">
        <v>724</v>
      </c>
      <c r="B205" s="28" t="s">
        <v>727</v>
      </c>
      <c r="C205" s="28" t="s">
        <v>1492</v>
      </c>
      <c r="D205" s="17" t="s">
        <v>1493</v>
      </c>
      <c r="E205" s="90" t="s">
        <v>726</v>
      </c>
      <c r="F205" s="19"/>
      <c r="G205" s="20" t="s">
        <v>725</v>
      </c>
      <c r="H205" s="32" t="s">
        <v>726</v>
      </c>
      <c r="I205" s="33"/>
      <c r="J205" s="30" t="s">
        <v>727</v>
      </c>
      <c r="K205" s="25"/>
      <c r="L205" s="25"/>
      <c r="M205" s="25"/>
      <c r="N205" s="25"/>
      <c r="O205" s="25"/>
      <c r="P205" s="25"/>
      <c r="Q205" s="25"/>
      <c r="R205" s="25"/>
      <c r="S205" s="25"/>
      <c r="T205" s="25"/>
      <c r="U205" s="25"/>
      <c r="V205" s="25"/>
      <c r="W205" s="25"/>
      <c r="X205" s="25"/>
      <c r="Y205" s="25"/>
      <c r="Z205" s="25"/>
      <c r="AA205" s="25"/>
      <c r="AB205" s="25"/>
      <c r="AC205" s="25"/>
      <c r="AD205" s="25"/>
      <c r="AE205" s="25"/>
      <c r="AF205" s="25"/>
      <c r="AG205" s="37"/>
      <c r="AH205" s="37"/>
      <c r="AI205" s="37"/>
      <c r="AJ205" s="37"/>
    </row>
    <row r="206" spans="1:36" ht="15.75" customHeight="1" x14ac:dyDescent="0.25">
      <c r="A206" s="14" t="s">
        <v>728</v>
      </c>
      <c r="B206" s="28" t="s">
        <v>1080</v>
      </c>
      <c r="C206" s="28">
        <v>369363048</v>
      </c>
      <c r="D206" s="17"/>
      <c r="E206" s="90" t="s">
        <v>730</v>
      </c>
      <c r="F206" s="19"/>
      <c r="G206" s="20" t="s">
        <v>729</v>
      </c>
      <c r="H206" s="32" t="s">
        <v>730</v>
      </c>
      <c r="I206" s="25" t="s">
        <v>731</v>
      </c>
      <c r="J206" s="30" t="s">
        <v>732</v>
      </c>
      <c r="K206" s="25"/>
      <c r="L206" s="33" t="s">
        <v>733</v>
      </c>
      <c r="M206" s="33"/>
      <c r="N206" s="25"/>
      <c r="O206" s="25"/>
      <c r="P206" s="25"/>
      <c r="Q206" s="25"/>
      <c r="R206" s="25"/>
      <c r="S206" s="25"/>
      <c r="T206" s="25"/>
      <c r="U206" s="25"/>
      <c r="V206" s="25"/>
      <c r="W206" s="25"/>
      <c r="X206" s="25"/>
      <c r="Y206" s="25"/>
      <c r="Z206" s="25"/>
      <c r="AA206" s="25" t="s">
        <v>734</v>
      </c>
      <c r="AB206" s="25"/>
      <c r="AC206" s="25"/>
      <c r="AD206" s="25"/>
      <c r="AE206" s="25"/>
      <c r="AF206" s="25"/>
      <c r="AG206" s="37"/>
      <c r="AH206" s="37"/>
      <c r="AI206" s="37"/>
      <c r="AJ206" s="37"/>
    </row>
    <row r="207" spans="1:36" ht="15.75" customHeight="1" x14ac:dyDescent="0.25">
      <c r="A207" s="14" t="s">
        <v>735</v>
      </c>
      <c r="B207" s="1" t="s">
        <v>1494</v>
      </c>
      <c r="C207" s="28" t="s">
        <v>1081</v>
      </c>
      <c r="D207" s="17" t="s">
        <v>1082</v>
      </c>
      <c r="E207" s="90" t="s">
        <v>1495</v>
      </c>
      <c r="F207" s="19"/>
      <c r="G207" s="20" t="s">
        <v>736</v>
      </c>
      <c r="H207" s="32" t="s">
        <v>737</v>
      </c>
      <c r="I207" s="33" t="s">
        <v>738</v>
      </c>
      <c r="J207" s="30" t="s">
        <v>739</v>
      </c>
      <c r="K207" s="25"/>
      <c r="L207" s="25"/>
      <c r="M207" s="25"/>
      <c r="N207" s="25"/>
      <c r="O207" s="25"/>
      <c r="P207" s="25"/>
      <c r="Q207" s="25"/>
      <c r="R207" s="25"/>
      <c r="S207" s="25"/>
      <c r="T207" s="25"/>
      <c r="U207" s="25"/>
      <c r="V207" s="25"/>
      <c r="W207" s="25"/>
      <c r="X207" s="25"/>
      <c r="Y207" s="25"/>
      <c r="Z207" s="25"/>
      <c r="AA207" s="25"/>
      <c r="AB207" s="25"/>
      <c r="AC207" s="25"/>
      <c r="AD207" s="25"/>
      <c r="AE207" s="25"/>
      <c r="AF207" s="25" t="s">
        <v>740</v>
      </c>
      <c r="AG207" s="37"/>
      <c r="AH207" s="37"/>
      <c r="AI207" s="37"/>
      <c r="AJ207" s="37"/>
    </row>
    <row r="208" spans="1:36" ht="15.75" customHeight="1" x14ac:dyDescent="0.25">
      <c r="A208" s="14" t="s">
        <v>741</v>
      </c>
      <c r="B208" s="28" t="s">
        <v>1496</v>
      </c>
      <c r="C208" s="28" t="s">
        <v>818</v>
      </c>
      <c r="D208" s="17"/>
      <c r="E208" s="90" t="s">
        <v>743</v>
      </c>
      <c r="F208" s="19"/>
      <c r="G208" s="20" t="s">
        <v>742</v>
      </c>
      <c r="H208" s="32" t="s">
        <v>743</v>
      </c>
      <c r="I208" s="25" t="s">
        <v>716</v>
      </c>
      <c r="J208" s="30" t="s">
        <v>744</v>
      </c>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37"/>
      <c r="AH208" s="37"/>
      <c r="AI208" s="37"/>
      <c r="AJ208" s="37"/>
    </row>
    <row r="209" spans="1:36" ht="15.75" customHeight="1" x14ac:dyDescent="0.25">
      <c r="A209" s="14" t="s">
        <v>745</v>
      </c>
      <c r="B209" s="28" t="s">
        <v>748</v>
      </c>
      <c r="C209" s="28" t="s">
        <v>818</v>
      </c>
      <c r="D209" s="17"/>
      <c r="E209" s="90" t="s">
        <v>747</v>
      </c>
      <c r="F209" s="19"/>
      <c r="G209" s="20" t="s">
        <v>746</v>
      </c>
      <c r="H209" s="32" t="s">
        <v>747</v>
      </c>
      <c r="I209" s="25"/>
      <c r="J209" s="30" t="s">
        <v>748</v>
      </c>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37"/>
      <c r="AH209" s="37"/>
      <c r="AI209" s="37"/>
      <c r="AJ209" s="37"/>
    </row>
    <row r="210" spans="1:36" ht="15.75" customHeight="1" x14ac:dyDescent="0.25">
      <c r="A210" s="14" t="s">
        <v>749</v>
      </c>
      <c r="B210" s="28" t="s">
        <v>1496</v>
      </c>
      <c r="C210" s="28" t="s">
        <v>818</v>
      </c>
      <c r="D210" s="17"/>
      <c r="E210" s="90" t="s">
        <v>751</v>
      </c>
      <c r="F210" s="19"/>
      <c r="G210" s="20" t="s">
        <v>750</v>
      </c>
      <c r="H210" s="32" t="s">
        <v>751</v>
      </c>
      <c r="I210" s="25"/>
      <c r="J210" s="30"/>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37"/>
      <c r="AH210" s="37"/>
      <c r="AI210" s="37"/>
      <c r="AJ210" s="37"/>
    </row>
    <row r="211" spans="1:36" ht="15.75" customHeight="1" x14ac:dyDescent="0.25">
      <c r="A211" s="14" t="s">
        <v>752</v>
      </c>
      <c r="B211" s="28" t="s">
        <v>1497</v>
      </c>
      <c r="C211" s="28" t="s">
        <v>1498</v>
      </c>
      <c r="D211" s="17" t="s">
        <v>1499</v>
      </c>
      <c r="E211" s="90" t="s">
        <v>754</v>
      </c>
      <c r="F211" s="19"/>
      <c r="G211" s="20" t="s">
        <v>753</v>
      </c>
      <c r="H211" s="32" t="s">
        <v>754</v>
      </c>
      <c r="I211" s="25"/>
      <c r="J211" s="30"/>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37"/>
      <c r="AH211" s="37"/>
      <c r="AI211" s="37"/>
      <c r="AJ211" s="37"/>
    </row>
    <row r="212" spans="1:36" ht="15.75" customHeight="1" x14ac:dyDescent="0.25">
      <c r="A212" s="14" t="s">
        <v>755</v>
      </c>
      <c r="B212" s="28" t="s">
        <v>758</v>
      </c>
      <c r="C212" s="28" t="s">
        <v>1047</v>
      </c>
      <c r="D212" s="17"/>
      <c r="E212" s="90" t="s">
        <v>757</v>
      </c>
      <c r="F212" s="19"/>
      <c r="G212" s="20" t="s">
        <v>756</v>
      </c>
      <c r="H212" s="32" t="s">
        <v>757</v>
      </c>
      <c r="I212" s="25"/>
      <c r="J212" s="30" t="s">
        <v>758</v>
      </c>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37"/>
      <c r="AH212" s="37"/>
      <c r="AI212" s="37"/>
      <c r="AJ212" s="33" t="s">
        <v>758</v>
      </c>
    </row>
    <row r="213" spans="1:36" ht="15.75" customHeight="1" x14ac:dyDescent="0.25">
      <c r="A213" s="14" t="s">
        <v>759</v>
      </c>
      <c r="B213" s="28" t="s">
        <v>1500</v>
      </c>
      <c r="C213" s="28" t="s">
        <v>1501</v>
      </c>
      <c r="D213" s="17" t="s">
        <v>1502</v>
      </c>
      <c r="E213" s="90" t="s">
        <v>761</v>
      </c>
      <c r="F213" s="19"/>
      <c r="G213" s="20" t="s">
        <v>760</v>
      </c>
      <c r="H213" s="32" t="s">
        <v>761</v>
      </c>
      <c r="I213" s="25" t="s">
        <v>762</v>
      </c>
      <c r="J213" s="30" t="s">
        <v>763</v>
      </c>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37"/>
      <c r="AH213" s="37"/>
      <c r="AI213" s="37"/>
      <c r="AJ213" s="37"/>
    </row>
    <row r="214" spans="1:36" ht="15.75" customHeight="1" x14ac:dyDescent="0.25">
      <c r="A214" s="14" t="s">
        <v>764</v>
      </c>
      <c r="B214" s="28" t="s">
        <v>739</v>
      </c>
      <c r="C214" s="28" t="s">
        <v>739</v>
      </c>
      <c r="D214" s="17" t="s">
        <v>1503</v>
      </c>
      <c r="E214" s="90" t="s">
        <v>8</v>
      </c>
      <c r="F214" s="19"/>
      <c r="G214" s="20" t="s">
        <v>766</v>
      </c>
      <c r="H214" s="32" t="s">
        <v>8</v>
      </c>
      <c r="I214" s="34"/>
      <c r="J214" s="30" t="s">
        <v>640</v>
      </c>
      <c r="K214" s="25"/>
      <c r="L214" s="25"/>
      <c r="M214" s="25"/>
      <c r="N214" s="25"/>
      <c r="O214" s="25"/>
      <c r="P214" s="25"/>
      <c r="Q214" s="25"/>
      <c r="R214" s="25"/>
      <c r="S214" s="25" t="s">
        <v>640</v>
      </c>
      <c r="T214" s="25"/>
      <c r="U214" s="25"/>
      <c r="V214" s="25"/>
      <c r="W214" s="25"/>
      <c r="X214" s="25"/>
      <c r="Y214" s="25"/>
      <c r="Z214" s="25"/>
      <c r="AA214" s="25"/>
      <c r="AB214" s="25"/>
      <c r="AC214" s="25"/>
      <c r="AD214" s="25"/>
      <c r="AE214" s="25"/>
      <c r="AF214" s="25"/>
      <c r="AG214" s="37"/>
      <c r="AH214" s="37"/>
      <c r="AI214" s="37"/>
      <c r="AJ214" s="37"/>
    </row>
    <row r="215" spans="1:36" ht="15.75" customHeight="1" x14ac:dyDescent="0.25">
      <c r="A215" s="14" t="s">
        <v>771</v>
      </c>
      <c r="B215" s="28"/>
      <c r="C215" s="28"/>
      <c r="D215" s="17"/>
      <c r="E215" s="90" t="s">
        <v>772</v>
      </c>
      <c r="F215" s="19"/>
      <c r="G215" s="20" t="s">
        <v>773</v>
      </c>
      <c r="H215" s="32" t="s">
        <v>772</v>
      </c>
      <c r="I215" s="34"/>
      <c r="J215" s="30" t="s">
        <v>774</v>
      </c>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37"/>
      <c r="AH215" s="37"/>
      <c r="AI215" s="37"/>
      <c r="AJ215" s="37"/>
    </row>
    <row r="216" spans="1:36" ht="15.75" customHeight="1" x14ac:dyDescent="0.25">
      <c r="A216" s="14" t="s">
        <v>775</v>
      </c>
      <c r="B216" s="28" t="s">
        <v>776</v>
      </c>
      <c r="C216" s="28" t="s">
        <v>777</v>
      </c>
      <c r="D216" s="17"/>
      <c r="E216" s="90" t="s">
        <v>778</v>
      </c>
      <c r="F216" s="19"/>
      <c r="G216" s="20" t="s">
        <v>779</v>
      </c>
      <c r="H216" s="32" t="s">
        <v>780</v>
      </c>
      <c r="I216" s="33" t="s">
        <v>781</v>
      </c>
      <c r="J216" s="30" t="s">
        <v>781</v>
      </c>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37"/>
      <c r="AH216" s="37"/>
      <c r="AI216" s="37"/>
      <c r="AJ216" s="37"/>
    </row>
    <row r="217" spans="1:36" ht="15.75" customHeight="1" x14ac:dyDescent="0.25">
      <c r="A217" s="14" t="s">
        <v>782</v>
      </c>
      <c r="B217" s="28" t="s">
        <v>776</v>
      </c>
      <c r="C217" s="28" t="s">
        <v>777</v>
      </c>
      <c r="D217" s="17" t="s">
        <v>783</v>
      </c>
      <c r="E217" s="90" t="s">
        <v>778</v>
      </c>
      <c r="F217" s="19"/>
      <c r="G217" s="20" t="s">
        <v>784</v>
      </c>
      <c r="H217" s="32" t="s">
        <v>785</v>
      </c>
      <c r="I217" s="33" t="s">
        <v>786</v>
      </c>
      <c r="J217" s="30" t="s">
        <v>786</v>
      </c>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37"/>
      <c r="AH217" s="37"/>
      <c r="AI217" s="37"/>
      <c r="AJ217" s="37"/>
    </row>
    <row r="218" spans="1:36" ht="15.75" customHeight="1" x14ac:dyDescent="0.25">
      <c r="A218" s="14" t="s">
        <v>787</v>
      </c>
      <c r="B218" s="28" t="s">
        <v>788</v>
      </c>
      <c r="C218" s="28" t="s">
        <v>789</v>
      </c>
      <c r="D218" s="17" t="s">
        <v>790</v>
      </c>
      <c r="E218" s="90" t="s">
        <v>791</v>
      </c>
      <c r="F218" s="19"/>
      <c r="G218" s="20" t="s">
        <v>792</v>
      </c>
      <c r="H218" s="32" t="s">
        <v>791</v>
      </c>
      <c r="I218" s="25"/>
      <c r="J218" s="30" t="s">
        <v>793</v>
      </c>
      <c r="K218" s="25"/>
      <c r="L218" s="25"/>
      <c r="M218" s="25"/>
      <c r="N218" s="25"/>
      <c r="O218" s="25"/>
      <c r="P218" s="25"/>
      <c r="Q218" s="25"/>
      <c r="R218" s="25"/>
      <c r="S218" s="25"/>
      <c r="T218" s="25"/>
      <c r="U218" s="25"/>
      <c r="V218" s="25"/>
      <c r="W218" s="25"/>
      <c r="X218" s="25"/>
      <c r="Y218" s="25"/>
      <c r="Z218" s="25"/>
      <c r="AA218" s="25"/>
      <c r="AB218" s="25"/>
      <c r="AC218" s="25"/>
      <c r="AD218" s="25"/>
      <c r="AE218" s="25"/>
      <c r="AF218" s="25"/>
      <c r="AG218" s="25"/>
      <c r="AH218" s="25"/>
      <c r="AI218" s="25"/>
      <c r="AJ218" s="25"/>
    </row>
    <row r="219" spans="1:36" ht="15.75" customHeight="1" x14ac:dyDescent="0.25">
      <c r="A219" s="14" t="s">
        <v>794</v>
      </c>
      <c r="B219" s="28">
        <v>119717000</v>
      </c>
      <c r="C219" s="28" t="s">
        <v>1083</v>
      </c>
      <c r="D219" s="17"/>
      <c r="E219" s="90" t="s">
        <v>795</v>
      </c>
      <c r="F219" s="19"/>
      <c r="G219" s="20" t="s">
        <v>796</v>
      </c>
      <c r="H219" s="32" t="s">
        <v>795</v>
      </c>
      <c r="I219" s="33" t="s">
        <v>1504</v>
      </c>
      <c r="J219" s="30" t="s">
        <v>1505</v>
      </c>
      <c r="K219" s="33" t="s">
        <v>799</v>
      </c>
      <c r="L219" s="33" t="s">
        <v>800</v>
      </c>
      <c r="M219" s="33"/>
      <c r="N219" s="25"/>
      <c r="O219" s="25" t="s">
        <v>801</v>
      </c>
      <c r="P219" s="25"/>
      <c r="Q219" s="25"/>
      <c r="R219" s="25"/>
      <c r="S219" s="25"/>
      <c r="T219" s="25"/>
      <c r="U219" s="25"/>
      <c r="V219" s="25"/>
      <c r="W219" s="25" t="s">
        <v>802</v>
      </c>
      <c r="X219" s="25"/>
      <c r="Y219" s="25"/>
      <c r="Z219" s="25"/>
      <c r="AA219" s="25"/>
      <c r="AB219" s="25"/>
      <c r="AC219" s="25"/>
      <c r="AD219" s="25"/>
      <c r="AE219" s="25"/>
      <c r="AF219" s="25" t="s">
        <v>803</v>
      </c>
      <c r="AG219" s="37"/>
      <c r="AH219" s="37"/>
      <c r="AI219" s="33">
        <v>53527</v>
      </c>
      <c r="AJ219" s="33"/>
    </row>
    <row r="220" spans="1:36" ht="15.75" customHeight="1" x14ac:dyDescent="0.25">
      <c r="A220" s="14" t="s">
        <v>804</v>
      </c>
      <c r="B220" s="28"/>
      <c r="C220" s="28"/>
      <c r="D220" s="17"/>
      <c r="E220" s="90" t="s">
        <v>805</v>
      </c>
      <c r="F220" s="19"/>
      <c r="G220" s="20" t="s">
        <v>806</v>
      </c>
      <c r="H220" s="32" t="s">
        <v>805</v>
      </c>
      <c r="I220" s="25"/>
      <c r="J220" s="30" t="s">
        <v>807</v>
      </c>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37"/>
      <c r="AH220" s="37"/>
      <c r="AI220" s="37"/>
      <c r="AJ220" s="37"/>
    </row>
    <row r="221" spans="1:36" s="1" customFormat="1" ht="15.75" customHeight="1" x14ac:dyDescent="0.2">
      <c r="A221" s="14" t="s">
        <v>808</v>
      </c>
      <c r="B221" s="28" t="s">
        <v>809</v>
      </c>
      <c r="C221" s="28" t="s">
        <v>810</v>
      </c>
      <c r="D221" s="17" t="s">
        <v>811</v>
      </c>
      <c r="E221" s="90" t="s">
        <v>812</v>
      </c>
      <c r="F221" s="19"/>
      <c r="G221" s="20" t="s">
        <v>813</v>
      </c>
      <c r="H221" s="32" t="s">
        <v>812</v>
      </c>
      <c r="I221" s="25" t="s">
        <v>814</v>
      </c>
      <c r="J221" s="30" t="s">
        <v>809</v>
      </c>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37"/>
      <c r="AH221" s="37"/>
      <c r="AI221" s="25" t="s">
        <v>815</v>
      </c>
      <c r="AJ221" s="25"/>
    </row>
    <row r="222" spans="1:36" ht="15.75" customHeight="1" x14ac:dyDescent="0.25">
      <c r="A222" s="14" t="s">
        <v>816</v>
      </c>
      <c r="B222" s="28" t="s">
        <v>817</v>
      </c>
      <c r="C222" s="28" t="s">
        <v>818</v>
      </c>
      <c r="D222" s="17" t="s">
        <v>819</v>
      </c>
      <c r="E222" s="90" t="s">
        <v>820</v>
      </c>
      <c r="F222" s="19"/>
      <c r="G222" s="20" t="s">
        <v>821</v>
      </c>
      <c r="H222" s="32" t="s">
        <v>820</v>
      </c>
      <c r="I222" s="25" t="s">
        <v>814</v>
      </c>
      <c r="J222" s="30" t="s">
        <v>809</v>
      </c>
      <c r="K222" s="25"/>
      <c r="L222" s="25"/>
      <c r="M222" s="25"/>
      <c r="N222" s="25"/>
      <c r="O222" s="25"/>
      <c r="P222" s="25"/>
      <c r="Q222" s="25"/>
      <c r="R222" s="25"/>
      <c r="S222" s="25"/>
      <c r="T222" s="25"/>
      <c r="U222" s="25"/>
      <c r="V222" s="25"/>
      <c r="W222" s="25"/>
      <c r="X222" s="25"/>
      <c r="Y222" s="25"/>
      <c r="Z222" s="25"/>
      <c r="AA222" s="25"/>
      <c r="AB222" s="25"/>
      <c r="AC222" s="25"/>
      <c r="AD222" s="25"/>
      <c r="AE222" s="25"/>
      <c r="AF222" s="25"/>
      <c r="AG222" s="37"/>
      <c r="AH222" s="37"/>
      <c r="AI222" s="25"/>
      <c r="AJ222" s="25"/>
    </row>
    <row r="223" spans="1:36" ht="15.75" customHeight="1" x14ac:dyDescent="0.25">
      <c r="A223" s="14" t="s">
        <v>822</v>
      </c>
      <c r="B223" s="28">
        <v>106655</v>
      </c>
      <c r="C223" s="28" t="s">
        <v>818</v>
      </c>
      <c r="D223" s="17" t="s">
        <v>823</v>
      </c>
      <c r="E223" s="90" t="s">
        <v>824</v>
      </c>
      <c r="F223" s="19"/>
      <c r="G223" s="20" t="s">
        <v>825</v>
      </c>
      <c r="H223" s="32" t="s">
        <v>824</v>
      </c>
      <c r="I223" s="25"/>
      <c r="J223" s="30"/>
      <c r="K223" s="25"/>
      <c r="L223" s="25"/>
      <c r="M223" s="25"/>
      <c r="N223" s="25"/>
      <c r="O223" s="25"/>
      <c r="P223" s="25" t="s">
        <v>826</v>
      </c>
      <c r="Q223" s="25"/>
      <c r="R223" s="25"/>
      <c r="S223" s="25"/>
      <c r="T223" s="25"/>
      <c r="U223" s="25"/>
      <c r="V223" s="25"/>
      <c r="W223" s="25"/>
      <c r="X223" s="25"/>
      <c r="Y223" s="25"/>
      <c r="Z223" s="25"/>
      <c r="AA223" s="25"/>
      <c r="AB223" s="25"/>
      <c r="AC223" s="25"/>
      <c r="AD223" s="25"/>
      <c r="AE223" s="25"/>
      <c r="AF223" s="25"/>
      <c r="AG223" s="37"/>
      <c r="AH223" s="37"/>
      <c r="AI223" s="25"/>
      <c r="AJ223" s="25"/>
    </row>
    <row r="224" spans="1:36" ht="15.75" customHeight="1" x14ac:dyDescent="0.25">
      <c r="A224" s="14" t="s">
        <v>827</v>
      </c>
      <c r="B224" s="28" t="s">
        <v>828</v>
      </c>
      <c r="C224" s="91" t="s">
        <v>829</v>
      </c>
      <c r="D224" s="17" t="s">
        <v>830</v>
      </c>
      <c r="E224" s="90" t="s">
        <v>831</v>
      </c>
      <c r="F224" s="19"/>
      <c r="G224" s="20" t="s">
        <v>832</v>
      </c>
      <c r="H224" s="32" t="s">
        <v>831</v>
      </c>
      <c r="I224" s="25"/>
      <c r="J224" s="30" t="s">
        <v>833</v>
      </c>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37"/>
      <c r="AH224" s="37"/>
      <c r="AI224" s="37"/>
      <c r="AJ224" s="37"/>
    </row>
    <row r="225" spans="1:36" ht="15.75" customHeight="1" x14ac:dyDescent="0.25">
      <c r="A225" s="14" t="s">
        <v>1506</v>
      </c>
      <c r="B225" s="28" t="s">
        <v>828</v>
      </c>
      <c r="C225" s="91" t="s">
        <v>829</v>
      </c>
      <c r="D225" s="17" t="s">
        <v>830</v>
      </c>
      <c r="E225" s="90" t="s">
        <v>943</v>
      </c>
      <c r="F225" s="19"/>
      <c r="G225" s="20" t="s">
        <v>1507</v>
      </c>
      <c r="H225" s="32" t="s">
        <v>943</v>
      </c>
      <c r="I225" s="33" t="s">
        <v>1508</v>
      </c>
      <c r="J225" s="30" t="s">
        <v>1509</v>
      </c>
      <c r="K225" s="25"/>
      <c r="L225" s="33" t="s">
        <v>1510</v>
      </c>
      <c r="M225" s="33"/>
      <c r="N225" s="25"/>
      <c r="O225" s="25" t="s">
        <v>1511</v>
      </c>
      <c r="P225" s="25"/>
      <c r="Q225" s="25"/>
      <c r="R225" s="25"/>
      <c r="S225" s="25"/>
      <c r="T225" s="25"/>
      <c r="U225" s="25"/>
      <c r="V225" s="25"/>
      <c r="W225" s="25"/>
      <c r="X225" s="25"/>
      <c r="Y225" s="25"/>
      <c r="Z225" s="25"/>
      <c r="AA225" s="25"/>
      <c r="AB225" s="25"/>
      <c r="AC225" s="25"/>
      <c r="AD225" s="25"/>
      <c r="AE225" s="25"/>
      <c r="AF225" s="25"/>
      <c r="AG225" s="37"/>
      <c r="AH225" s="37"/>
      <c r="AI225" s="37"/>
      <c r="AJ225" s="37"/>
    </row>
    <row r="226" spans="1:36" ht="15.75" customHeight="1" x14ac:dyDescent="0.25">
      <c r="A226" s="14" t="s">
        <v>834</v>
      </c>
      <c r="B226" s="28" t="s">
        <v>828</v>
      </c>
      <c r="C226" s="91" t="s">
        <v>829</v>
      </c>
      <c r="D226" s="17" t="s">
        <v>830</v>
      </c>
      <c r="E226" s="90" t="s">
        <v>839</v>
      </c>
      <c r="F226" s="19"/>
      <c r="G226" s="20" t="s">
        <v>838</v>
      </c>
      <c r="H226" s="92" t="s">
        <v>839</v>
      </c>
      <c r="I226" s="25"/>
      <c r="J226" s="114" t="s">
        <v>1512</v>
      </c>
      <c r="K226" s="25"/>
      <c r="L226" s="25"/>
      <c r="M226" s="25"/>
      <c r="N226" s="25"/>
      <c r="O226" s="25"/>
      <c r="P226" s="25"/>
      <c r="Q226" s="25"/>
      <c r="R226" s="25"/>
      <c r="S226" s="25"/>
      <c r="T226" s="25"/>
      <c r="U226" s="25"/>
      <c r="V226" s="25"/>
      <c r="W226" s="25"/>
      <c r="X226" s="25"/>
      <c r="Y226" s="25"/>
      <c r="Z226" s="25"/>
      <c r="AA226" s="25"/>
      <c r="AB226" s="25"/>
      <c r="AC226" s="25"/>
      <c r="AD226" s="25"/>
      <c r="AE226" s="25"/>
      <c r="AF226" s="25"/>
      <c r="AG226" s="37"/>
      <c r="AH226" s="37"/>
      <c r="AI226" s="37"/>
      <c r="AJ226" s="37"/>
    </row>
    <row r="227" spans="1:36" ht="15.75" customHeight="1" x14ac:dyDescent="0.25">
      <c r="A227" s="14" t="s">
        <v>841</v>
      </c>
      <c r="B227" s="28"/>
      <c r="C227" s="28"/>
      <c r="D227" s="17"/>
      <c r="E227" s="90" t="s">
        <v>842</v>
      </c>
      <c r="F227" s="19"/>
      <c r="G227" s="20" t="s">
        <v>843</v>
      </c>
      <c r="H227" s="92" t="s">
        <v>842</v>
      </c>
      <c r="I227" s="41" t="s">
        <v>844</v>
      </c>
      <c r="J227" s="30"/>
      <c r="K227" s="25"/>
      <c r="L227" s="25"/>
      <c r="M227" s="25"/>
      <c r="N227" s="25"/>
      <c r="O227" s="25"/>
      <c r="P227" s="25"/>
      <c r="Q227" s="25"/>
      <c r="R227" s="25"/>
      <c r="S227" s="25"/>
      <c r="T227" s="25"/>
      <c r="U227" s="25"/>
      <c r="V227" s="25"/>
      <c r="W227" s="25"/>
      <c r="X227" s="25"/>
      <c r="Y227" s="25"/>
      <c r="Z227" s="25"/>
      <c r="AA227" s="25"/>
      <c r="AB227" s="25"/>
      <c r="AC227" s="25"/>
      <c r="AD227" s="25"/>
      <c r="AE227" s="25"/>
      <c r="AF227" s="25"/>
      <c r="AG227" s="37"/>
      <c r="AH227" s="37"/>
      <c r="AI227" s="37"/>
      <c r="AJ227" s="37"/>
    </row>
    <row r="228" spans="1:36" ht="15.75" customHeight="1" x14ac:dyDescent="0.25">
      <c r="A228" s="14" t="s">
        <v>845</v>
      </c>
      <c r="B228" s="28"/>
      <c r="C228" s="28"/>
      <c r="D228" s="17"/>
      <c r="E228" s="90" t="s">
        <v>846</v>
      </c>
      <c r="F228" s="19"/>
      <c r="G228" s="20" t="s">
        <v>847</v>
      </c>
      <c r="H228" s="92" t="s">
        <v>846</v>
      </c>
      <c r="I228" s="41" t="s">
        <v>848</v>
      </c>
      <c r="J228" s="30"/>
      <c r="K228" s="25"/>
      <c r="L228" s="25"/>
      <c r="M228" s="25"/>
      <c r="N228" s="25"/>
      <c r="O228" s="25"/>
      <c r="P228" s="25"/>
      <c r="Q228" s="25"/>
      <c r="R228" s="25"/>
      <c r="S228" s="25"/>
      <c r="T228" s="25"/>
      <c r="U228" s="25"/>
      <c r="V228" s="25"/>
      <c r="W228" s="25"/>
      <c r="X228" s="25"/>
      <c r="Y228" s="25"/>
      <c r="Z228" s="25"/>
      <c r="AA228" s="25"/>
      <c r="AB228" s="25"/>
      <c r="AC228" s="25"/>
      <c r="AD228" s="25"/>
      <c r="AE228" s="25"/>
      <c r="AF228" s="25"/>
      <c r="AG228" s="37"/>
      <c r="AH228" s="37"/>
      <c r="AI228" s="37"/>
      <c r="AJ228" s="37"/>
    </row>
    <row r="229" spans="1:36" ht="15.75" customHeight="1" x14ac:dyDescent="0.25">
      <c r="A229" s="14" t="s">
        <v>849</v>
      </c>
      <c r="B229" s="93" t="s">
        <v>850</v>
      </c>
      <c r="C229" s="94" t="s">
        <v>851</v>
      </c>
      <c r="D229" s="17"/>
      <c r="E229" s="90" t="s">
        <v>852</v>
      </c>
      <c r="F229" s="19"/>
      <c r="G229" s="20" t="s">
        <v>853</v>
      </c>
      <c r="H229" s="92" t="s">
        <v>852</v>
      </c>
      <c r="I229" s="41" t="s">
        <v>854</v>
      </c>
      <c r="J229" s="30"/>
      <c r="K229" s="25"/>
      <c r="L229" s="25"/>
      <c r="M229" s="25"/>
      <c r="N229" s="25"/>
      <c r="O229" s="25"/>
      <c r="P229" s="25"/>
      <c r="Q229" s="25"/>
      <c r="R229" s="25"/>
      <c r="S229" s="25"/>
      <c r="T229" s="25"/>
      <c r="U229" s="25"/>
      <c r="V229" s="25"/>
      <c r="W229" s="25"/>
      <c r="X229" s="25"/>
      <c r="Y229" s="25"/>
      <c r="Z229" s="25"/>
      <c r="AA229" s="25"/>
      <c r="AB229" s="25"/>
      <c r="AC229" s="25"/>
      <c r="AD229" s="25"/>
      <c r="AE229" s="25"/>
      <c r="AF229" s="25"/>
      <c r="AG229" s="37"/>
      <c r="AH229" s="37"/>
      <c r="AI229" s="37"/>
      <c r="AJ229" s="37"/>
    </row>
    <row r="230" spans="1:36" ht="15.75" customHeight="1" x14ac:dyDescent="0.25">
      <c r="A230" s="14" t="s">
        <v>855</v>
      </c>
      <c r="B230" s="28" t="s">
        <v>856</v>
      </c>
      <c r="C230" s="28" t="s">
        <v>818</v>
      </c>
      <c r="D230" s="17"/>
      <c r="E230" s="90" t="s">
        <v>857</v>
      </c>
      <c r="F230" s="19"/>
      <c r="G230" s="20" t="s">
        <v>858</v>
      </c>
      <c r="H230" s="32" t="s">
        <v>857</v>
      </c>
      <c r="I230" s="25"/>
      <c r="J230" s="30" t="s">
        <v>859</v>
      </c>
      <c r="K230" s="25"/>
      <c r="L230" s="25"/>
      <c r="M230" s="25"/>
      <c r="N230" s="25"/>
      <c r="O230" s="25"/>
      <c r="P230" s="25"/>
      <c r="Q230" s="25"/>
      <c r="R230" s="25"/>
      <c r="S230" s="25"/>
      <c r="T230" s="25"/>
      <c r="U230" s="25"/>
      <c r="V230" s="25"/>
      <c r="W230" s="25"/>
      <c r="X230" s="25"/>
      <c r="Y230" s="25"/>
      <c r="Z230" s="25"/>
      <c r="AA230" s="25"/>
      <c r="AB230" s="25"/>
      <c r="AC230" s="25"/>
      <c r="AD230" s="25"/>
      <c r="AE230" s="25"/>
      <c r="AF230" s="25"/>
      <c r="AG230" s="37"/>
      <c r="AH230" s="37"/>
      <c r="AI230" s="37"/>
      <c r="AJ230" s="37"/>
    </row>
    <row r="231" spans="1:36" ht="15.75" customHeight="1" x14ac:dyDescent="0.25">
      <c r="A231" s="14" t="s">
        <v>860</v>
      </c>
      <c r="B231" s="28" t="s">
        <v>861</v>
      </c>
      <c r="C231" s="28" t="s">
        <v>862</v>
      </c>
      <c r="D231" s="17" t="s">
        <v>863</v>
      </c>
      <c r="E231" s="90" t="s">
        <v>864</v>
      </c>
      <c r="F231" s="19"/>
      <c r="G231" s="20" t="s">
        <v>865</v>
      </c>
      <c r="H231" s="32" t="s">
        <v>864</v>
      </c>
      <c r="I231" s="25" t="s">
        <v>861</v>
      </c>
      <c r="J231" s="77"/>
      <c r="K231" s="25"/>
      <c r="L231" s="33" t="s">
        <v>866</v>
      </c>
      <c r="M231" s="33"/>
      <c r="N231" s="25"/>
      <c r="O231" s="25"/>
      <c r="P231" s="25"/>
      <c r="Q231" s="25"/>
      <c r="R231" s="25"/>
      <c r="S231" s="25"/>
      <c r="T231" s="25"/>
      <c r="U231" s="25"/>
      <c r="V231" s="25"/>
      <c r="W231" s="25"/>
      <c r="X231" s="25"/>
      <c r="Y231" s="25"/>
      <c r="Z231" s="25"/>
      <c r="AA231" s="25"/>
      <c r="AB231" s="25"/>
      <c r="AC231" s="25"/>
      <c r="AD231" s="25"/>
      <c r="AE231" s="25"/>
      <c r="AF231" s="25"/>
      <c r="AG231" s="37"/>
      <c r="AH231" s="37"/>
      <c r="AI231" s="37"/>
      <c r="AJ231" s="37"/>
    </row>
    <row r="232" spans="1:36" ht="15.75" customHeight="1" x14ac:dyDescent="0.25">
      <c r="A232" s="14" t="s">
        <v>867</v>
      </c>
      <c r="B232" s="28">
        <v>9157445</v>
      </c>
      <c r="C232" s="43" t="s">
        <v>868</v>
      </c>
      <c r="D232" s="17" t="s">
        <v>869</v>
      </c>
      <c r="E232" s="90" t="s">
        <v>870</v>
      </c>
      <c r="F232" s="19"/>
      <c r="G232" s="20" t="s">
        <v>871</v>
      </c>
      <c r="H232" s="32" t="s">
        <v>870</v>
      </c>
      <c r="I232" s="30" t="s">
        <v>872</v>
      </c>
      <c r="J232" s="30" t="s">
        <v>872</v>
      </c>
      <c r="K232" s="25"/>
      <c r="L232" s="33" t="s">
        <v>873</v>
      </c>
      <c r="M232" s="33"/>
      <c r="N232" s="25"/>
      <c r="O232" s="25" t="s">
        <v>874</v>
      </c>
      <c r="P232" s="25"/>
      <c r="Q232" s="25"/>
      <c r="R232" s="25"/>
      <c r="S232" s="25"/>
      <c r="T232" s="25"/>
      <c r="U232" s="25"/>
      <c r="V232" s="25"/>
      <c r="W232" s="25"/>
      <c r="X232" s="25"/>
      <c r="Y232" s="25"/>
      <c r="Z232" s="25"/>
      <c r="AA232" s="25"/>
      <c r="AB232" s="25"/>
      <c r="AC232" s="25"/>
      <c r="AD232" s="25"/>
      <c r="AE232" s="25"/>
      <c r="AF232" s="25"/>
      <c r="AG232" s="37"/>
      <c r="AH232" s="37"/>
      <c r="AI232" s="37"/>
      <c r="AJ232" s="37"/>
    </row>
    <row r="233" spans="1:36" ht="15.75" customHeight="1" x14ac:dyDescent="0.25">
      <c r="A233" s="14" t="s">
        <v>875</v>
      </c>
      <c r="B233" s="28">
        <v>9157438</v>
      </c>
      <c r="C233" s="28" t="s">
        <v>876</v>
      </c>
      <c r="D233" s="17" t="s">
        <v>869</v>
      </c>
      <c r="E233" s="90" t="s">
        <v>877</v>
      </c>
      <c r="F233" s="95" t="s">
        <v>878</v>
      </c>
      <c r="G233" s="20" t="s">
        <v>879</v>
      </c>
      <c r="H233" s="32" t="s">
        <v>880</v>
      </c>
      <c r="I233" s="30"/>
      <c r="J233" s="30" t="s">
        <v>881</v>
      </c>
      <c r="K233" s="25"/>
      <c r="L233" s="25"/>
      <c r="M233" s="25"/>
      <c r="N233" s="25"/>
      <c r="O233" s="25"/>
      <c r="P233" s="25"/>
      <c r="Q233" s="25"/>
      <c r="R233" s="25"/>
      <c r="S233" s="25"/>
      <c r="T233" s="25"/>
      <c r="U233" s="25"/>
      <c r="V233" s="25"/>
      <c r="W233" s="25"/>
      <c r="X233" s="25"/>
      <c r="Y233" s="25"/>
      <c r="Z233" s="25"/>
      <c r="AA233" s="25"/>
      <c r="AB233" s="25"/>
      <c r="AC233" s="25"/>
      <c r="AD233" s="25"/>
      <c r="AE233" s="25"/>
      <c r="AF233" s="25"/>
      <c r="AG233" s="37"/>
      <c r="AH233" s="37"/>
      <c r="AI233" s="37"/>
      <c r="AJ233" s="37"/>
    </row>
    <row r="234" spans="1:36" ht="15.75" customHeight="1" x14ac:dyDescent="0.25">
      <c r="A234" s="14" t="s">
        <v>882</v>
      </c>
      <c r="B234" s="28">
        <v>9161929</v>
      </c>
      <c r="C234" s="35" t="s">
        <v>883</v>
      </c>
      <c r="D234" s="52" t="s">
        <v>869</v>
      </c>
      <c r="E234" s="90" t="s">
        <v>884</v>
      </c>
      <c r="F234" s="19"/>
      <c r="G234" s="20" t="s">
        <v>885</v>
      </c>
      <c r="H234" s="32" t="s">
        <v>886</v>
      </c>
      <c r="I234" s="33" t="s">
        <v>887</v>
      </c>
      <c r="J234" s="77" t="s">
        <v>887</v>
      </c>
      <c r="K234" s="25"/>
      <c r="L234" s="33"/>
      <c r="M234" s="33"/>
      <c r="N234" s="25"/>
      <c r="O234" s="25"/>
      <c r="P234" s="25"/>
      <c r="Q234" s="25"/>
      <c r="R234" s="25"/>
      <c r="S234" s="25"/>
      <c r="T234" s="25"/>
      <c r="U234" s="25"/>
      <c r="V234" s="25"/>
      <c r="W234" s="25"/>
      <c r="X234" s="25"/>
      <c r="Y234" s="25"/>
      <c r="Z234" s="25"/>
      <c r="AA234" s="25"/>
      <c r="AB234" s="25"/>
      <c r="AC234" s="25"/>
      <c r="AD234" s="25"/>
      <c r="AE234" s="25"/>
      <c r="AF234" s="33" t="s">
        <v>888</v>
      </c>
      <c r="AG234" s="37"/>
      <c r="AH234" s="37"/>
      <c r="AI234" s="33" t="s">
        <v>889</v>
      </c>
      <c r="AJ234" s="33"/>
    </row>
    <row r="235" spans="1:36" ht="15.75" customHeight="1" x14ac:dyDescent="0.25">
      <c r="A235" s="14" t="s">
        <v>890</v>
      </c>
      <c r="B235" s="28" t="s">
        <v>891</v>
      </c>
      <c r="C235" s="28"/>
      <c r="D235" s="17" t="s">
        <v>892</v>
      </c>
      <c r="E235" s="90" t="s">
        <v>893</v>
      </c>
      <c r="F235" s="19"/>
      <c r="G235" s="20" t="s">
        <v>894</v>
      </c>
      <c r="H235" s="32" t="s">
        <v>893</v>
      </c>
      <c r="I235" s="38" t="s">
        <v>895</v>
      </c>
      <c r="J235" s="30"/>
      <c r="K235" s="25"/>
      <c r="L235" s="33" t="s">
        <v>896</v>
      </c>
      <c r="M235" s="33"/>
      <c r="N235" s="25"/>
      <c r="O235" s="25"/>
      <c r="P235" s="25" t="s">
        <v>897</v>
      </c>
      <c r="Q235" s="25"/>
      <c r="R235" s="25"/>
      <c r="S235" s="25"/>
      <c r="T235" s="25"/>
      <c r="U235" s="25"/>
      <c r="V235" s="25"/>
      <c r="W235" s="25"/>
      <c r="X235" s="25"/>
      <c r="Y235" s="25"/>
      <c r="Z235" s="25"/>
      <c r="AA235" s="25"/>
      <c r="AB235" s="25"/>
      <c r="AC235" s="25"/>
      <c r="AD235" s="25"/>
      <c r="AE235" s="25"/>
      <c r="AF235" s="25"/>
      <c r="AG235" s="37"/>
      <c r="AH235" s="37"/>
      <c r="AI235" s="37"/>
      <c r="AJ235" s="37"/>
    </row>
    <row r="236" spans="1:36" ht="15.75" customHeight="1" x14ac:dyDescent="0.25">
      <c r="F236" s="4"/>
    </row>
    <row r="237" spans="1:36" ht="15.75" customHeight="1" x14ac:dyDescent="0.25">
      <c r="F237" s="4"/>
    </row>
    <row r="238" spans="1:36" ht="15.75" customHeight="1" x14ac:dyDescent="0.25">
      <c r="F238" s="4"/>
    </row>
    <row r="239" spans="1:36" ht="15.75" customHeight="1" x14ac:dyDescent="0.25">
      <c r="F239" s="4"/>
    </row>
    <row r="240" spans="1:36" ht="15.75" customHeight="1" x14ac:dyDescent="0.25">
      <c r="F240" s="4"/>
    </row>
    <row r="241" spans="6:6" ht="15.75" customHeight="1" x14ac:dyDescent="0.25">
      <c r="F241" s="4"/>
    </row>
    <row r="242" spans="6:6" ht="15.75" customHeight="1" x14ac:dyDescent="0.25">
      <c r="F242" s="4"/>
    </row>
    <row r="243" spans="6:6" ht="15.75" customHeight="1" x14ac:dyDescent="0.25">
      <c r="F243" s="4"/>
    </row>
    <row r="244" spans="6:6" ht="15.75" customHeight="1" x14ac:dyDescent="0.25">
      <c r="F244" s="4"/>
    </row>
    <row r="245" spans="6:6" ht="15.75" customHeight="1" x14ac:dyDescent="0.25">
      <c r="F245" s="4"/>
    </row>
    <row r="246" spans="6:6" ht="15.75" customHeight="1" x14ac:dyDescent="0.25">
      <c r="F246" s="4"/>
    </row>
    <row r="247" spans="6:6" ht="15.75" customHeight="1" x14ac:dyDescent="0.25">
      <c r="F247" s="4"/>
    </row>
    <row r="248" spans="6:6" ht="15.75" customHeight="1" x14ac:dyDescent="0.25">
      <c r="F248" s="4"/>
    </row>
    <row r="249" spans="6:6" ht="15.75" customHeight="1" x14ac:dyDescent="0.25">
      <c r="F249" s="4"/>
    </row>
    <row r="250" spans="6:6" ht="15.75" customHeight="1" x14ac:dyDescent="0.25">
      <c r="F250" s="4"/>
    </row>
    <row r="251" spans="6:6" ht="15.75" customHeight="1" x14ac:dyDescent="0.25">
      <c r="F251" s="4"/>
    </row>
    <row r="252" spans="6:6" ht="15.75" customHeight="1" x14ac:dyDescent="0.25">
      <c r="F252" s="4"/>
    </row>
    <row r="253" spans="6:6" ht="15.75" customHeight="1" x14ac:dyDescent="0.25">
      <c r="F253" s="4"/>
    </row>
    <row r="254" spans="6:6" ht="15.75" customHeight="1" x14ac:dyDescent="0.25">
      <c r="F254" s="4"/>
    </row>
    <row r="255" spans="6:6" ht="15.75" customHeight="1" x14ac:dyDescent="0.25">
      <c r="F255" s="4"/>
    </row>
    <row r="256" spans="6:6" ht="15.75" customHeight="1" x14ac:dyDescent="0.25">
      <c r="F256" s="4"/>
    </row>
    <row r="257" spans="6:6" ht="15.75" customHeight="1" x14ac:dyDescent="0.25">
      <c r="F257" s="4"/>
    </row>
    <row r="258" spans="6:6" ht="15.75" customHeight="1" x14ac:dyDescent="0.25">
      <c r="F258" s="4"/>
    </row>
    <row r="259" spans="6:6" ht="15.75" customHeight="1" x14ac:dyDescent="0.25">
      <c r="F259" s="4"/>
    </row>
    <row r="260" spans="6:6" ht="15.75" customHeight="1" x14ac:dyDescent="0.25">
      <c r="F260" s="4"/>
    </row>
    <row r="261" spans="6:6" ht="15.75" customHeight="1" x14ac:dyDescent="0.25">
      <c r="F261" s="4"/>
    </row>
    <row r="262" spans="6:6" ht="15.75" customHeight="1" x14ac:dyDescent="0.25">
      <c r="F262" s="4"/>
    </row>
    <row r="263" spans="6:6" ht="15.75" customHeight="1" x14ac:dyDescent="0.25">
      <c r="F263" s="4"/>
    </row>
    <row r="264" spans="6:6" ht="15.75" customHeight="1" x14ac:dyDescent="0.25">
      <c r="F264" s="4"/>
    </row>
    <row r="265" spans="6:6" ht="15.75" customHeight="1" x14ac:dyDescent="0.25">
      <c r="F265" s="4"/>
    </row>
    <row r="266" spans="6:6" ht="15.75" customHeight="1" x14ac:dyDescent="0.25">
      <c r="F266" s="4"/>
    </row>
    <row r="267" spans="6:6" ht="15.75" customHeight="1" x14ac:dyDescent="0.25">
      <c r="F267" s="4"/>
    </row>
    <row r="268" spans="6:6" ht="15.75" customHeight="1" x14ac:dyDescent="0.25">
      <c r="F268" s="4"/>
    </row>
    <row r="269" spans="6:6" ht="15.75" customHeight="1" x14ac:dyDescent="0.25">
      <c r="F269" s="4"/>
    </row>
    <row r="270" spans="6:6" ht="15.75" customHeight="1" x14ac:dyDescent="0.25">
      <c r="F270" s="4"/>
    </row>
    <row r="271" spans="6:6" ht="15.75" customHeight="1" x14ac:dyDescent="0.25">
      <c r="F271" s="4"/>
    </row>
    <row r="272" spans="6:6" ht="15.75" customHeight="1" x14ac:dyDescent="0.25">
      <c r="F272" s="4"/>
    </row>
    <row r="273" spans="6:6" ht="15.75" customHeight="1" x14ac:dyDescent="0.25">
      <c r="F273" s="4"/>
    </row>
    <row r="274" spans="6:6" ht="15.75" customHeight="1" x14ac:dyDescent="0.25">
      <c r="F274" s="4"/>
    </row>
  </sheetData>
  <hyperlinks>
    <hyperlink ref="B9" r:id="rId1" xr:uid="{00000000-0004-0000-0400-000000000000}"/>
    <hyperlink ref="D12" r:id="rId2" location="!/aig" xr:uid="{00000000-0004-0000-0400-000001000000}"/>
    <hyperlink ref="B18" r:id="rId3" xr:uid="{00000000-0004-0000-0400-000002000000}"/>
    <hyperlink ref="B19" r:id="rId4" xr:uid="{00000000-0004-0000-0400-000003000000}"/>
    <hyperlink ref="B20" r:id="rId5" xr:uid="{00000000-0004-0000-0400-000004000000}"/>
    <hyperlink ref="B29" r:id="rId6" xr:uid="{00000000-0004-0000-0400-000005000000}"/>
    <hyperlink ref="B40" r:id="rId7" xr:uid="{00000000-0004-0000-0400-000006000000}"/>
    <hyperlink ref="B41" r:id="rId8" xr:uid="{00000000-0004-0000-0400-000007000000}"/>
    <hyperlink ref="D44" r:id="rId9" xr:uid="{00000000-0004-0000-0400-000008000000}"/>
    <hyperlink ref="D48" r:id="rId10" xr:uid="{00000000-0004-0000-0400-000009000000}"/>
    <hyperlink ref="B51" r:id="rId11" xr:uid="{00000000-0004-0000-0400-00000A000000}"/>
    <hyperlink ref="D51" r:id="rId12" xr:uid="{00000000-0004-0000-0400-00000B000000}"/>
    <hyperlink ref="D87" r:id="rId13" xr:uid="{00000000-0004-0000-0400-00000C000000}"/>
    <hyperlink ref="D117" r:id="rId14" xr:uid="{00000000-0004-0000-0400-00000D000000}"/>
    <hyperlink ref="D132" r:id="rId15" xr:uid="{00000000-0004-0000-0400-00000E000000}"/>
    <hyperlink ref="B161" r:id="rId16" xr:uid="{00000000-0004-0000-0400-00000F000000}"/>
    <hyperlink ref="D161" r:id="rId17" xr:uid="{00000000-0004-0000-0400-000010000000}"/>
    <hyperlink ref="B166" r:id="rId18" xr:uid="{00000000-0004-0000-0400-000011000000}"/>
    <hyperlink ref="D166" r:id="rId19" xr:uid="{00000000-0004-0000-0400-000012000000}"/>
    <hyperlink ref="B167" r:id="rId20" xr:uid="{00000000-0004-0000-0400-000013000000}"/>
    <hyperlink ref="D167" r:id="rId21" xr:uid="{00000000-0004-0000-0400-000014000000}"/>
    <hyperlink ref="D192" r:id="rId22" xr:uid="{00000000-0004-0000-0400-000015000000}"/>
    <hyperlink ref="D234" r:id="rId23" xr:uid="{00000000-0004-0000-0400-000016000000}"/>
  </hyperlinks>
  <printOptions gridLines="1"/>
  <pageMargins left="0.43333333333333302" right="0.23611111111111099" top="0.78749999999999998" bottom="0.78749999999999998" header="0.511811023622047" footer="0.511811023622047"/>
  <pageSetup paperSize="8" orientation="landscape" horizontalDpi="300" verticalDpi="300" r:id="rId24"/>
  <drawing r:id="rId25"/>
  <legacyDrawing r:id="rId26"/>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elle6">
    <pageSetUpPr fitToPage="1"/>
  </sheetPr>
  <dimension ref="A1:AMK39"/>
  <sheetViews>
    <sheetView zoomScaleNormal="100" workbookViewId="0">
      <pane xSplit="2" ySplit="2" topLeftCell="H3" activePane="bottomRight" state="frozen"/>
      <selection pane="topRight" activeCell="H1" sqref="H1"/>
      <selection pane="bottomLeft" activeCell="A3" sqref="A3"/>
      <selection pane="bottomRight" activeCell="B7" sqref="B7"/>
    </sheetView>
  </sheetViews>
  <sheetFormatPr baseColWidth="10" defaultColWidth="8.5703125" defaultRowHeight="15" x14ac:dyDescent="0.25"/>
  <cols>
    <col min="1" max="1" width="20.42578125" style="74" customWidth="1"/>
    <col min="2" max="2" width="34.42578125" style="74" customWidth="1"/>
    <col min="3" max="3" width="11.5703125" style="74" customWidth="1"/>
    <col min="4" max="4" width="6.42578125" style="74" customWidth="1"/>
    <col min="5" max="5" width="10.42578125" style="74" customWidth="1"/>
    <col min="6" max="6" width="8.5703125" style="74"/>
    <col min="7" max="7" width="13.42578125" style="74" customWidth="1"/>
    <col min="8" max="8" width="6.42578125" style="74" customWidth="1"/>
    <col min="9" max="9" width="9.5703125" style="74" customWidth="1"/>
    <col min="10" max="11" width="11.42578125" style="74" customWidth="1"/>
    <col min="12" max="12" width="8.42578125" style="74" customWidth="1"/>
    <col min="13" max="13" width="27" style="74" customWidth="1"/>
    <col min="14" max="14" width="12.42578125" style="74" customWidth="1"/>
    <col min="15" max="15" width="22.42578125" style="74" customWidth="1"/>
    <col min="16" max="16" width="13" style="74" customWidth="1"/>
    <col min="17" max="1025" width="11.42578125" style="74" customWidth="1"/>
  </cols>
  <sheetData>
    <row r="1" spans="1:16" ht="18" customHeight="1" x14ac:dyDescent="0.25">
      <c r="A1" s="241" t="s">
        <v>1513</v>
      </c>
      <c r="B1" s="241"/>
      <c r="C1" s="242" t="s">
        <v>1514</v>
      </c>
      <c r="D1" s="242"/>
      <c r="E1" s="242"/>
      <c r="F1" s="242"/>
      <c r="G1" s="242"/>
      <c r="H1" s="242"/>
      <c r="I1" s="242"/>
      <c r="J1" s="242"/>
      <c r="K1" s="242"/>
      <c r="L1" s="242"/>
      <c r="M1" s="242"/>
      <c r="N1" s="242"/>
      <c r="O1" s="242"/>
      <c r="P1" s="242"/>
    </row>
    <row r="2" spans="1:16" ht="18" customHeight="1" x14ac:dyDescent="0.25">
      <c r="A2" s="241"/>
      <c r="B2" s="241"/>
      <c r="C2" s="115" t="s">
        <v>1004</v>
      </c>
      <c r="D2" s="115" t="s">
        <v>8</v>
      </c>
      <c r="E2" s="115" t="s">
        <v>11</v>
      </c>
      <c r="F2" s="115" t="s">
        <v>1515</v>
      </c>
      <c r="G2" s="115" t="s">
        <v>15</v>
      </c>
      <c r="H2" s="115" t="s">
        <v>17</v>
      </c>
      <c r="I2" s="115" t="s">
        <v>16</v>
      </c>
      <c r="J2" s="115" t="s">
        <v>21</v>
      </c>
      <c r="K2" s="115" t="s">
        <v>18</v>
      </c>
      <c r="L2" s="115" t="s">
        <v>20</v>
      </c>
      <c r="M2" s="115" t="s">
        <v>1516</v>
      </c>
      <c r="N2" s="115" t="s">
        <v>1517</v>
      </c>
      <c r="O2" s="115" t="s">
        <v>1518</v>
      </c>
      <c r="P2" s="115" t="s">
        <v>1519</v>
      </c>
    </row>
    <row r="3" spans="1:16" ht="18" customHeight="1" x14ac:dyDescent="0.25">
      <c r="A3" s="116" t="s">
        <v>123</v>
      </c>
      <c r="B3" s="117" t="s">
        <v>1520</v>
      </c>
      <c r="C3" s="118"/>
      <c r="D3" s="118"/>
      <c r="E3" s="118"/>
      <c r="F3" s="118"/>
      <c r="G3" s="118">
        <v>1048001764</v>
      </c>
      <c r="H3" s="118"/>
      <c r="I3" s="118"/>
      <c r="J3" s="118"/>
      <c r="K3" s="118"/>
      <c r="L3" s="118"/>
      <c r="M3" s="118" t="s">
        <v>1521</v>
      </c>
      <c r="N3" s="118">
        <v>130040363</v>
      </c>
      <c r="O3" s="118" t="s">
        <v>1166</v>
      </c>
      <c r="P3" s="118">
        <v>5707000805</v>
      </c>
    </row>
    <row r="4" spans="1:16" ht="18" customHeight="1" x14ac:dyDescent="0.25">
      <c r="A4" s="116" t="s">
        <v>1522</v>
      </c>
      <c r="B4" s="116" t="s">
        <v>1520</v>
      </c>
      <c r="C4" s="118"/>
      <c r="D4" s="118"/>
      <c r="E4" s="118"/>
      <c r="F4" s="118"/>
      <c r="G4" s="118">
        <v>1048001783</v>
      </c>
      <c r="H4" s="118"/>
      <c r="I4" s="118"/>
      <c r="J4" s="118"/>
      <c r="K4" s="118"/>
      <c r="L4" s="118"/>
      <c r="M4" s="118"/>
      <c r="N4" s="119"/>
      <c r="O4" s="119"/>
      <c r="P4" s="119"/>
    </row>
    <row r="5" spans="1:16" ht="18" customHeight="1" x14ac:dyDescent="0.25">
      <c r="A5" s="116" t="s">
        <v>119</v>
      </c>
      <c r="B5" s="117" t="s">
        <v>1520</v>
      </c>
      <c r="C5" s="118"/>
      <c r="D5" s="118"/>
      <c r="E5" s="118"/>
      <c r="F5" s="118"/>
      <c r="G5" s="118"/>
      <c r="H5" s="118"/>
      <c r="I5" s="118"/>
      <c r="J5" s="118"/>
      <c r="K5" s="118"/>
      <c r="L5" s="118"/>
      <c r="M5" s="118"/>
      <c r="N5" s="119"/>
      <c r="O5" s="119"/>
      <c r="P5" s="119"/>
    </row>
    <row r="6" spans="1:16" ht="18" customHeight="1" x14ac:dyDescent="0.25">
      <c r="A6" s="116" t="s">
        <v>1523</v>
      </c>
      <c r="B6" s="117" t="s">
        <v>1520</v>
      </c>
      <c r="C6" s="118"/>
      <c r="D6" s="118"/>
      <c r="E6" s="118"/>
      <c r="F6" s="118"/>
      <c r="G6" s="118"/>
      <c r="H6" s="118"/>
      <c r="I6" s="118"/>
      <c r="J6" s="118"/>
      <c r="K6" s="118"/>
      <c r="L6" s="118"/>
      <c r="M6" s="118"/>
      <c r="N6" s="119"/>
      <c r="O6" s="119"/>
      <c r="P6" s="119"/>
    </row>
    <row r="7" spans="1:16" ht="18" customHeight="1" x14ac:dyDescent="0.25">
      <c r="A7" s="116" t="s">
        <v>71</v>
      </c>
      <c r="B7" s="120" t="s">
        <v>1524</v>
      </c>
      <c r="C7" s="118"/>
      <c r="D7" s="118"/>
      <c r="E7" s="118"/>
      <c r="F7" s="118"/>
      <c r="G7" s="118"/>
      <c r="H7" s="118"/>
      <c r="I7" s="118"/>
      <c r="J7" s="118"/>
      <c r="K7" s="118"/>
      <c r="L7" s="118"/>
      <c r="M7" s="118" t="s">
        <v>1130</v>
      </c>
      <c r="N7" s="119"/>
      <c r="O7" s="119"/>
      <c r="P7" s="119"/>
    </row>
    <row r="8" spans="1:16" ht="18" customHeight="1" x14ac:dyDescent="0.25">
      <c r="A8" s="116" t="s">
        <v>60</v>
      </c>
      <c r="B8" s="117" t="s">
        <v>1525</v>
      </c>
      <c r="C8" s="118"/>
      <c r="D8" s="118"/>
      <c r="E8" s="118"/>
      <c r="F8" s="118"/>
      <c r="G8" s="118"/>
      <c r="H8" s="118"/>
      <c r="I8" s="118"/>
      <c r="J8" s="118"/>
      <c r="K8" s="118"/>
      <c r="L8" s="118"/>
      <c r="M8" s="118"/>
      <c r="N8" s="119"/>
      <c r="O8" s="118" t="s">
        <v>1526</v>
      </c>
      <c r="P8" s="119"/>
    </row>
    <row r="9" spans="1:16" ht="18" customHeight="1" x14ac:dyDescent="0.25">
      <c r="A9" s="116" t="s">
        <v>67</v>
      </c>
      <c r="B9" s="120" t="s">
        <v>1527</v>
      </c>
      <c r="C9" s="119"/>
      <c r="D9" s="119"/>
      <c r="E9" s="119"/>
      <c r="F9" s="119"/>
      <c r="G9" s="119"/>
      <c r="H9" s="119"/>
      <c r="I9" s="119"/>
      <c r="J9" s="119"/>
      <c r="K9" s="119"/>
      <c r="L9" s="119"/>
      <c r="M9" s="119"/>
      <c r="N9" s="119"/>
      <c r="O9" s="119"/>
      <c r="P9" s="121" t="s">
        <v>1528</v>
      </c>
    </row>
    <row r="10" spans="1:16" ht="18" customHeight="1" x14ac:dyDescent="0.25">
      <c r="A10" s="116" t="s">
        <v>1529</v>
      </c>
      <c r="B10" s="122" t="s">
        <v>1530</v>
      </c>
      <c r="C10" s="119"/>
      <c r="D10" s="119"/>
      <c r="E10" s="119"/>
      <c r="F10" s="119"/>
      <c r="G10" s="119"/>
      <c r="H10" s="119"/>
      <c r="I10" s="119"/>
      <c r="J10" s="119"/>
      <c r="K10" s="119"/>
      <c r="L10" s="119"/>
      <c r="M10" s="119"/>
      <c r="N10" s="119"/>
      <c r="O10" s="119"/>
      <c r="P10" s="121"/>
    </row>
    <row r="11" spans="1:16" ht="18" customHeight="1" x14ac:dyDescent="0.25">
      <c r="A11" s="116" t="s">
        <v>1531</v>
      </c>
      <c r="B11" s="122" t="s">
        <v>1530</v>
      </c>
      <c r="C11" s="119"/>
      <c r="D11" s="119"/>
      <c r="E11" s="119"/>
      <c r="F11" s="119"/>
      <c r="G11" s="119"/>
      <c r="H11" s="119"/>
      <c r="I11" s="119"/>
      <c r="J11" s="119"/>
      <c r="K11" s="119"/>
      <c r="L11" s="119"/>
      <c r="M11" s="119"/>
      <c r="N11" s="119"/>
      <c r="O11" s="119"/>
      <c r="P11" s="121"/>
    </row>
    <row r="12" spans="1:16" ht="18" customHeight="1" x14ac:dyDescent="0.25">
      <c r="A12" s="116" t="s">
        <v>1052</v>
      </c>
      <c r="B12" s="122" t="s">
        <v>1532</v>
      </c>
      <c r="C12" s="119"/>
      <c r="D12" s="119"/>
      <c r="E12" s="119"/>
      <c r="F12" s="119"/>
      <c r="G12" s="119"/>
      <c r="H12" s="119"/>
      <c r="I12" s="119"/>
      <c r="J12" s="119"/>
      <c r="K12" s="119"/>
      <c r="L12" s="119"/>
      <c r="M12" s="119"/>
      <c r="N12" s="119"/>
      <c r="O12" s="119"/>
      <c r="P12" s="121"/>
    </row>
    <row r="13" spans="1:16" ht="18" customHeight="1" x14ac:dyDescent="0.25">
      <c r="A13" s="116" t="s">
        <v>1533</v>
      </c>
      <c r="B13" s="122" t="s">
        <v>1534</v>
      </c>
      <c r="C13" s="119"/>
      <c r="D13" s="119"/>
      <c r="E13" s="119"/>
      <c r="F13" s="119"/>
      <c r="G13" s="119"/>
      <c r="H13" s="119"/>
      <c r="I13" s="119"/>
      <c r="J13" s="119"/>
      <c r="K13" s="119"/>
      <c r="L13" s="119"/>
      <c r="M13" s="119"/>
      <c r="N13" s="119"/>
      <c r="O13" s="119"/>
      <c r="P13" s="121"/>
    </row>
    <row r="14" spans="1:16" ht="18" customHeight="1" x14ac:dyDescent="0.25">
      <c r="A14" s="116" t="s">
        <v>1535</v>
      </c>
      <c r="B14" s="122" t="s">
        <v>1536</v>
      </c>
      <c r="C14" s="119"/>
      <c r="D14" s="119"/>
      <c r="E14" s="119"/>
      <c r="F14" s="119"/>
      <c r="G14" s="119"/>
      <c r="H14" s="119"/>
      <c r="I14" s="119"/>
      <c r="J14" s="119"/>
      <c r="K14" s="119"/>
      <c r="L14" s="119"/>
      <c r="M14" s="119"/>
      <c r="N14" s="119"/>
      <c r="O14" s="119"/>
      <c r="P14" s="121"/>
    </row>
    <row r="15" spans="1:16" ht="18" customHeight="1" x14ac:dyDescent="0.25">
      <c r="A15" s="116" t="s">
        <v>280</v>
      </c>
      <c r="B15" s="117" t="s">
        <v>1537</v>
      </c>
      <c r="C15" s="118"/>
      <c r="D15" s="118"/>
      <c r="E15" s="118"/>
      <c r="F15" s="118"/>
      <c r="G15" s="118"/>
      <c r="H15" s="118"/>
      <c r="I15" s="118"/>
      <c r="J15" s="118"/>
      <c r="K15" s="118"/>
      <c r="L15" s="118"/>
      <c r="M15" s="118">
        <v>886986</v>
      </c>
      <c r="N15" s="119"/>
      <c r="O15" s="118" t="s">
        <v>1538</v>
      </c>
      <c r="P15" s="119" t="s">
        <v>739</v>
      </c>
    </row>
    <row r="16" spans="1:16" ht="18" customHeight="1" x14ac:dyDescent="0.25">
      <c r="A16" s="116" t="s">
        <v>1539</v>
      </c>
      <c r="B16" s="117" t="s">
        <v>1540</v>
      </c>
      <c r="C16" s="119">
        <v>122700</v>
      </c>
      <c r="D16" s="119"/>
      <c r="E16" s="119"/>
      <c r="F16" s="119"/>
      <c r="G16" s="119">
        <v>103677</v>
      </c>
      <c r="H16" s="119"/>
      <c r="I16" s="119"/>
      <c r="J16" s="119"/>
      <c r="K16" s="119"/>
      <c r="L16" s="119"/>
      <c r="M16" s="119" t="s">
        <v>1272</v>
      </c>
      <c r="N16" s="119" t="s">
        <v>1541</v>
      </c>
      <c r="O16" s="119" t="s">
        <v>1272</v>
      </c>
      <c r="P16" s="119" t="s">
        <v>1272</v>
      </c>
    </row>
    <row r="17" spans="1:16" ht="18" customHeight="1" x14ac:dyDescent="0.25">
      <c r="A17" s="116" t="s">
        <v>1542</v>
      </c>
      <c r="B17" s="116"/>
      <c r="C17" s="118">
        <v>122700</v>
      </c>
      <c r="D17" s="118"/>
      <c r="E17" s="118"/>
      <c r="F17" s="118"/>
      <c r="G17" s="118">
        <v>103679</v>
      </c>
      <c r="H17" s="118"/>
      <c r="I17" s="118"/>
      <c r="J17" s="118"/>
      <c r="K17" s="118"/>
      <c r="L17" s="118"/>
      <c r="M17" s="118"/>
      <c r="N17" s="119"/>
      <c r="O17" s="118"/>
      <c r="P17" s="118"/>
    </row>
    <row r="18" spans="1:16" ht="18" customHeight="1" x14ac:dyDescent="0.25">
      <c r="A18" s="116" t="s">
        <v>1543</v>
      </c>
      <c r="B18" s="116"/>
      <c r="C18" s="118"/>
      <c r="D18" s="118"/>
      <c r="E18" s="118"/>
      <c r="F18" s="118"/>
      <c r="G18" s="118"/>
      <c r="H18" s="118"/>
      <c r="I18" s="118"/>
      <c r="J18" s="118"/>
      <c r="K18" s="118"/>
      <c r="L18" s="118"/>
      <c r="M18" s="118"/>
      <c r="N18" s="119"/>
      <c r="O18" s="118"/>
      <c r="P18" s="118"/>
    </row>
    <row r="19" spans="1:16" ht="18" customHeight="1" x14ac:dyDescent="0.25">
      <c r="A19" s="116" t="s">
        <v>346</v>
      </c>
      <c r="B19" s="116" t="s">
        <v>1544</v>
      </c>
      <c r="C19" s="118" t="s">
        <v>1362</v>
      </c>
      <c r="D19" s="118"/>
      <c r="E19" s="118"/>
      <c r="F19" s="118"/>
      <c r="G19" s="118"/>
      <c r="H19" s="118"/>
      <c r="I19" s="118"/>
      <c r="J19" s="118"/>
      <c r="K19" s="118"/>
      <c r="L19" s="118"/>
      <c r="M19" s="118"/>
      <c r="N19" s="119"/>
      <c r="O19" s="118"/>
      <c r="P19" s="118"/>
    </row>
    <row r="20" spans="1:16" ht="18" customHeight="1" x14ac:dyDescent="0.25">
      <c r="A20" s="116" t="s">
        <v>1545</v>
      </c>
      <c r="B20" s="116" t="s">
        <v>1546</v>
      </c>
      <c r="C20" s="118"/>
      <c r="D20" s="118"/>
      <c r="E20" s="118"/>
      <c r="F20" s="118"/>
      <c r="G20" s="118"/>
      <c r="H20" s="118"/>
      <c r="I20" s="118"/>
      <c r="J20" s="118"/>
      <c r="K20" s="118"/>
      <c r="L20" s="118"/>
      <c r="M20" s="118"/>
      <c r="N20" s="119"/>
      <c r="O20" s="118"/>
      <c r="P20" s="118"/>
    </row>
    <row r="21" spans="1:16" ht="18" customHeight="1" x14ac:dyDescent="0.25">
      <c r="A21" s="116" t="s">
        <v>349</v>
      </c>
      <c r="B21" s="116" t="s">
        <v>1547</v>
      </c>
      <c r="C21" s="118" t="s">
        <v>1366</v>
      </c>
      <c r="D21" s="118"/>
      <c r="E21" s="118"/>
      <c r="F21" s="118"/>
      <c r="G21" s="118"/>
      <c r="H21" s="118"/>
      <c r="I21" s="118"/>
      <c r="J21" s="118"/>
      <c r="K21" s="118"/>
      <c r="L21" s="118"/>
      <c r="M21" s="118"/>
      <c r="N21" s="119"/>
      <c r="O21" s="118"/>
      <c r="P21" s="118"/>
    </row>
    <row r="22" spans="1:16" ht="18" customHeight="1" x14ac:dyDescent="0.25">
      <c r="A22" s="116" t="s">
        <v>1069</v>
      </c>
      <c r="B22" s="117" t="s">
        <v>1548</v>
      </c>
      <c r="C22" s="118"/>
      <c r="D22" s="118"/>
      <c r="E22" s="118"/>
      <c r="F22" s="118"/>
      <c r="G22" s="118"/>
      <c r="H22" s="118"/>
      <c r="I22" s="118"/>
      <c r="J22" s="118"/>
      <c r="K22" s="118"/>
      <c r="L22" s="118"/>
      <c r="M22" s="118" t="s">
        <v>1549</v>
      </c>
      <c r="N22" s="119"/>
      <c r="O22" s="118" t="s">
        <v>1549</v>
      </c>
      <c r="P22" s="118" t="s">
        <v>1549</v>
      </c>
    </row>
    <row r="23" spans="1:16" ht="18" customHeight="1" x14ac:dyDescent="0.25">
      <c r="A23" s="116" t="s">
        <v>1550</v>
      </c>
      <c r="B23" s="117" t="s">
        <v>1551</v>
      </c>
      <c r="C23" s="118"/>
      <c r="D23" s="118"/>
      <c r="E23" s="118"/>
      <c r="F23" s="118"/>
      <c r="G23" s="118"/>
      <c r="H23" s="118"/>
      <c r="I23" s="118"/>
      <c r="J23" s="118"/>
      <c r="K23" s="118"/>
      <c r="L23" s="118"/>
      <c r="M23" s="118"/>
      <c r="N23" s="119"/>
      <c r="O23" s="118"/>
      <c r="P23" s="118"/>
    </row>
    <row r="24" spans="1:16" ht="18" customHeight="1" x14ac:dyDescent="0.25">
      <c r="A24" s="116" t="s">
        <v>380</v>
      </c>
      <c r="B24" s="123" t="s">
        <v>1552</v>
      </c>
      <c r="C24" s="119"/>
      <c r="D24" s="119"/>
      <c r="E24" s="119"/>
      <c r="F24" s="119"/>
      <c r="G24" s="119"/>
      <c r="H24" s="119"/>
      <c r="I24" s="119"/>
      <c r="J24" s="119"/>
      <c r="K24" s="119"/>
      <c r="L24" s="119"/>
      <c r="M24" s="119" t="s">
        <v>1393</v>
      </c>
      <c r="N24" s="119" t="s">
        <v>1553</v>
      </c>
      <c r="O24" s="119" t="s">
        <v>1389</v>
      </c>
      <c r="P24" s="119"/>
    </row>
    <row r="25" spans="1:16" ht="18" customHeight="1" x14ac:dyDescent="0.25">
      <c r="A25" s="116" t="s">
        <v>383</v>
      </c>
      <c r="B25" s="123" t="s">
        <v>1554</v>
      </c>
      <c r="C25" s="119"/>
      <c r="D25" s="119"/>
      <c r="E25" s="119"/>
      <c r="F25" s="119"/>
      <c r="G25" s="119"/>
      <c r="H25" s="119"/>
      <c r="I25" s="119"/>
      <c r="J25" s="119"/>
      <c r="K25" s="119"/>
      <c r="L25" s="119"/>
      <c r="M25" s="119"/>
      <c r="N25" s="119"/>
      <c r="O25" s="119"/>
      <c r="P25" s="119"/>
    </row>
    <row r="26" spans="1:16" ht="18" customHeight="1" x14ac:dyDescent="0.25">
      <c r="A26" s="116" t="s">
        <v>11</v>
      </c>
      <c r="B26" s="116" t="s">
        <v>1555</v>
      </c>
      <c r="C26" s="119">
        <v>7993201</v>
      </c>
      <c r="D26" s="119"/>
      <c r="E26" s="119"/>
      <c r="F26" s="119"/>
      <c r="G26" s="119" t="s">
        <v>435</v>
      </c>
      <c r="H26" s="119"/>
      <c r="I26" s="119"/>
      <c r="J26" s="119"/>
      <c r="K26" s="119"/>
      <c r="L26" s="119"/>
      <c r="M26" s="119" t="s">
        <v>1556</v>
      </c>
      <c r="N26" s="119"/>
      <c r="O26" s="119"/>
      <c r="P26" s="119"/>
    </row>
    <row r="27" spans="1:16" ht="18" customHeight="1" x14ac:dyDescent="0.25">
      <c r="A27" s="116" t="s">
        <v>409</v>
      </c>
      <c r="B27" s="117" t="s">
        <v>1557</v>
      </c>
      <c r="C27" s="119"/>
      <c r="D27" s="118"/>
      <c r="E27" s="118">
        <v>568063</v>
      </c>
      <c r="F27" s="119"/>
      <c r="G27" s="119"/>
      <c r="H27" s="119"/>
      <c r="I27" s="119"/>
      <c r="J27" s="119"/>
      <c r="K27" s="119"/>
      <c r="L27" s="119"/>
      <c r="M27" s="119"/>
      <c r="N27" s="119"/>
      <c r="O27" s="119"/>
      <c r="P27" s="119"/>
    </row>
    <row r="28" spans="1:16" ht="18" customHeight="1" x14ac:dyDescent="0.25">
      <c r="A28" s="116" t="s">
        <v>503</v>
      </c>
      <c r="B28" s="117" t="s">
        <v>1558</v>
      </c>
      <c r="C28" s="119"/>
      <c r="D28" s="119"/>
      <c r="E28" s="119"/>
      <c r="F28" s="119"/>
      <c r="G28" s="119"/>
      <c r="H28" s="119"/>
      <c r="I28" s="119"/>
      <c r="J28" s="119"/>
      <c r="K28" s="119"/>
      <c r="L28" s="119"/>
      <c r="M28" s="119"/>
      <c r="N28" s="119" t="s">
        <v>1559</v>
      </c>
      <c r="O28" s="119"/>
      <c r="P28" s="119"/>
    </row>
    <row r="29" spans="1:16" ht="18" customHeight="1" x14ac:dyDescent="0.25">
      <c r="A29" s="116" t="s">
        <v>522</v>
      </c>
      <c r="B29" s="116" t="s">
        <v>1560</v>
      </c>
      <c r="C29" s="119"/>
      <c r="D29" s="119"/>
      <c r="E29" s="119"/>
      <c r="F29" s="119"/>
      <c r="G29" s="119"/>
      <c r="H29" s="119"/>
      <c r="I29" s="119"/>
      <c r="J29" s="119"/>
      <c r="K29" s="119"/>
      <c r="L29" s="119"/>
      <c r="M29" s="119"/>
      <c r="N29" s="119"/>
      <c r="O29" s="118" t="s">
        <v>524</v>
      </c>
      <c r="P29" s="119"/>
    </row>
    <row r="30" spans="1:16" ht="18" customHeight="1" x14ac:dyDescent="0.25">
      <c r="A30" s="116" t="s">
        <v>1561</v>
      </c>
      <c r="B30" s="116" t="s">
        <v>1562</v>
      </c>
      <c r="C30" s="33">
        <v>152053992</v>
      </c>
      <c r="D30" s="119"/>
      <c r="E30" s="119"/>
      <c r="F30" s="119"/>
      <c r="G30" s="119"/>
      <c r="H30" s="119"/>
      <c r="I30" s="119"/>
      <c r="J30" s="119"/>
      <c r="K30" s="119"/>
      <c r="L30" s="119"/>
      <c r="M30" s="119"/>
      <c r="N30" s="119"/>
      <c r="O30" s="30" t="s">
        <v>1563</v>
      </c>
      <c r="P30" s="119"/>
    </row>
    <row r="31" spans="1:16" ht="18" customHeight="1" x14ac:dyDescent="0.25">
      <c r="A31" s="116" t="s">
        <v>1564</v>
      </c>
      <c r="B31" s="117" t="s">
        <v>1565</v>
      </c>
      <c r="C31" s="33">
        <v>152053992</v>
      </c>
      <c r="D31" s="118"/>
      <c r="E31" s="118"/>
      <c r="F31" s="118"/>
      <c r="G31" s="118"/>
      <c r="H31" s="118"/>
      <c r="I31" s="118"/>
      <c r="J31" s="118"/>
      <c r="K31" s="118"/>
      <c r="L31" s="118"/>
      <c r="M31" s="30" t="s">
        <v>1563</v>
      </c>
      <c r="N31" s="119"/>
      <c r="O31" s="118"/>
      <c r="P31" s="30" t="s">
        <v>1563</v>
      </c>
    </row>
    <row r="32" spans="1:16" ht="18" customHeight="1" x14ac:dyDescent="0.25">
      <c r="A32" s="116" t="s">
        <v>1077</v>
      </c>
      <c r="B32" s="116" t="s">
        <v>1566</v>
      </c>
      <c r="C32" s="118"/>
      <c r="D32" s="118"/>
      <c r="E32" s="118" t="s">
        <v>1567</v>
      </c>
      <c r="F32" s="118"/>
      <c r="G32" s="118"/>
      <c r="H32" s="118"/>
      <c r="I32" s="118"/>
      <c r="J32" s="118"/>
      <c r="K32" s="118"/>
      <c r="L32" s="118"/>
      <c r="M32" s="118" t="s">
        <v>548</v>
      </c>
      <c r="N32" s="119"/>
      <c r="O32" s="119"/>
      <c r="P32" s="118" t="s">
        <v>543</v>
      </c>
    </row>
    <row r="33" spans="1:16" ht="18" customHeight="1" x14ac:dyDescent="0.25">
      <c r="A33" s="116" t="s">
        <v>1515</v>
      </c>
      <c r="B33" s="116"/>
      <c r="C33" s="118"/>
      <c r="D33" s="119"/>
      <c r="E33" s="119"/>
      <c r="F33" s="118"/>
      <c r="G33" s="118"/>
      <c r="H33" s="118"/>
      <c r="I33" s="118"/>
      <c r="J33" s="118"/>
      <c r="K33" s="118"/>
      <c r="L33" s="118"/>
      <c r="M33" s="118"/>
      <c r="N33" s="119"/>
      <c r="O33" s="119"/>
      <c r="P33" s="119"/>
    </row>
    <row r="34" spans="1:16" ht="18" customHeight="1" x14ac:dyDescent="0.25">
      <c r="A34" s="116" t="s">
        <v>1568</v>
      </c>
      <c r="B34" s="120" t="s">
        <v>1569</v>
      </c>
      <c r="C34" s="118"/>
      <c r="D34" s="119"/>
      <c r="E34" s="119"/>
      <c r="F34" s="118"/>
      <c r="G34" s="118"/>
      <c r="H34" s="118"/>
      <c r="I34" s="118"/>
      <c r="J34" s="118"/>
      <c r="K34" s="118"/>
      <c r="L34" s="118"/>
      <c r="M34" s="118"/>
      <c r="N34" s="119"/>
      <c r="O34" s="119"/>
      <c r="P34" s="119"/>
    </row>
    <row r="35" spans="1:16" ht="18" customHeight="1" x14ac:dyDescent="0.25">
      <c r="A35" s="116" t="s">
        <v>701</v>
      </c>
      <c r="B35" s="120" t="s">
        <v>1570</v>
      </c>
      <c r="C35" s="118"/>
      <c r="D35" s="119"/>
      <c r="E35" s="119"/>
      <c r="F35" s="118"/>
      <c r="G35" s="118"/>
      <c r="H35" s="118"/>
      <c r="I35" s="118"/>
      <c r="J35" s="118"/>
      <c r="K35" s="118"/>
      <c r="L35" s="118"/>
      <c r="M35" s="118" t="s">
        <v>1571</v>
      </c>
      <c r="N35" s="119"/>
      <c r="O35" s="119"/>
      <c r="P35" s="119"/>
    </row>
    <row r="36" spans="1:16" ht="18" customHeight="1" x14ac:dyDescent="0.25">
      <c r="A36" s="116" t="s">
        <v>1085</v>
      </c>
      <c r="B36" s="116" t="s">
        <v>1572</v>
      </c>
      <c r="C36" s="118"/>
      <c r="D36" s="119"/>
      <c r="E36" s="119"/>
      <c r="F36" s="118"/>
      <c r="G36" s="118"/>
      <c r="H36" s="118"/>
      <c r="I36" s="118"/>
      <c r="J36" s="118"/>
      <c r="K36" s="118"/>
      <c r="L36" s="118"/>
      <c r="M36" s="118" t="s">
        <v>1573</v>
      </c>
      <c r="N36" s="119"/>
      <c r="O36" s="118" t="s">
        <v>1573</v>
      </c>
      <c r="P36" s="119"/>
    </row>
    <row r="37" spans="1:16" ht="18" customHeight="1" x14ac:dyDescent="0.25">
      <c r="A37" s="116" t="s">
        <v>1086</v>
      </c>
      <c r="B37" s="116" t="s">
        <v>1574</v>
      </c>
      <c r="C37" s="118"/>
      <c r="D37" s="119"/>
      <c r="E37" s="119"/>
      <c r="F37" s="118"/>
      <c r="G37" s="118"/>
      <c r="H37" s="118"/>
      <c r="I37" s="118"/>
      <c r="J37" s="118"/>
      <c r="K37" s="118"/>
      <c r="L37" s="118"/>
      <c r="M37" s="118" t="s">
        <v>1575</v>
      </c>
      <c r="N37" s="118" t="s">
        <v>1576</v>
      </c>
      <c r="O37" s="118" t="s">
        <v>1509</v>
      </c>
      <c r="P37" s="119"/>
    </row>
    <row r="38" spans="1:16" ht="18" customHeight="1" x14ac:dyDescent="0.25">
      <c r="A38" s="124"/>
      <c r="B38" s="124"/>
      <c r="C38" s="124"/>
      <c r="D38" s="124"/>
      <c r="E38" s="124"/>
      <c r="F38" s="124"/>
      <c r="G38" s="124"/>
      <c r="H38" s="124"/>
      <c r="I38" s="124"/>
      <c r="J38" s="124"/>
      <c r="K38" s="124"/>
      <c r="L38" s="124"/>
      <c r="M38" s="124"/>
      <c r="N38" s="124"/>
      <c r="O38" s="124"/>
      <c r="P38" s="124"/>
    </row>
    <row r="39" spans="1:16" ht="18" customHeight="1" x14ac:dyDescent="0.25">
      <c r="A39" s="125" t="s">
        <v>1577</v>
      </c>
      <c r="B39" s="125"/>
      <c r="C39" s="125"/>
      <c r="D39" s="125"/>
      <c r="E39" s="125"/>
      <c r="F39" s="125"/>
      <c r="G39" s="125"/>
      <c r="H39" s="125"/>
      <c r="I39" s="125"/>
      <c r="J39" s="125"/>
      <c r="K39" s="125"/>
      <c r="L39" s="125"/>
      <c r="M39" s="125"/>
      <c r="N39" s="125"/>
      <c r="O39" s="125"/>
      <c r="P39" s="125"/>
    </row>
  </sheetData>
  <mergeCells count="2">
    <mergeCell ref="A1:B2"/>
    <mergeCell ref="C1:P1"/>
  </mergeCells>
  <hyperlinks>
    <hyperlink ref="B3" r:id="rId1" xr:uid="{00000000-0004-0000-0500-000000000000}"/>
    <hyperlink ref="B5" r:id="rId2" xr:uid="{00000000-0004-0000-0500-000001000000}"/>
    <hyperlink ref="B6" r:id="rId3" xr:uid="{00000000-0004-0000-0500-000002000000}"/>
    <hyperlink ref="B7" r:id="rId4" xr:uid="{00000000-0004-0000-0500-000003000000}"/>
    <hyperlink ref="B8" r:id="rId5" xr:uid="{00000000-0004-0000-0500-000004000000}"/>
    <hyperlink ref="B9" r:id="rId6" xr:uid="{00000000-0004-0000-0500-000005000000}"/>
    <hyperlink ref="B15" r:id="rId7" xr:uid="{00000000-0004-0000-0500-000006000000}"/>
    <hyperlink ref="B16" r:id="rId8" xr:uid="{00000000-0004-0000-0500-000007000000}"/>
    <hyperlink ref="B22" r:id="rId9" xr:uid="{00000000-0004-0000-0500-000008000000}"/>
    <hyperlink ref="B24" r:id="rId10" xr:uid="{00000000-0004-0000-0500-000009000000}"/>
    <hyperlink ref="B25" r:id="rId11" xr:uid="{00000000-0004-0000-0500-00000A000000}"/>
    <hyperlink ref="B27" r:id="rId12" xr:uid="{00000000-0004-0000-0500-00000B000000}"/>
    <hyperlink ref="B28" r:id="rId13" xr:uid="{00000000-0004-0000-0500-00000C000000}"/>
    <hyperlink ref="B31" r:id="rId14" xr:uid="{00000000-0004-0000-0500-00000D000000}"/>
    <hyperlink ref="B34" r:id="rId15" xr:uid="{00000000-0004-0000-0500-00000E000000}"/>
    <hyperlink ref="B35" r:id="rId16" xr:uid="{00000000-0004-0000-0500-00000F000000}"/>
  </hyperlinks>
  <pageMargins left="0.78749999999999998" right="0.78749999999999998" top="0.98402777777777795" bottom="0.98402777777777795" header="0.511811023622047" footer="0.511811023622047"/>
  <pageSetup paperSize="9" scale="67" fitToWidth="2" orientation="landscape" horizontalDpi="300" verticalDpi="300" r:id="rId17"/>
  <legacyDrawing r:id="rId1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Tabelle7"/>
  <dimension ref="A1:E45"/>
  <sheetViews>
    <sheetView topLeftCell="A10" zoomScaleNormal="100" workbookViewId="0">
      <selection activeCell="B29" sqref="B29"/>
    </sheetView>
  </sheetViews>
  <sheetFormatPr baseColWidth="10" defaultColWidth="8.5703125" defaultRowHeight="15" x14ac:dyDescent="0.25"/>
  <cols>
    <col min="1" max="1" width="14.42578125" customWidth="1"/>
    <col min="2" max="2" width="18.5703125" customWidth="1"/>
    <col min="3" max="3" width="14.5703125" customWidth="1"/>
    <col min="4" max="4" width="10.42578125" customWidth="1"/>
    <col min="5" max="5" width="15.42578125" customWidth="1"/>
    <col min="6" max="1025" width="10.42578125" customWidth="1"/>
  </cols>
  <sheetData>
    <row r="1" spans="1:5" s="126" customFormat="1" ht="15.75" x14ac:dyDescent="0.25">
      <c r="A1" s="126" t="s">
        <v>4</v>
      </c>
      <c r="B1" s="126" t="s">
        <v>1578</v>
      </c>
      <c r="C1" s="126" t="s">
        <v>1048</v>
      </c>
    </row>
    <row r="2" spans="1:5" x14ac:dyDescent="0.25">
      <c r="A2" t="s">
        <v>1056</v>
      </c>
      <c r="C2" t="s">
        <v>1579</v>
      </c>
    </row>
    <row r="3" spans="1:5" x14ac:dyDescent="0.25">
      <c r="A3" t="s">
        <v>1050</v>
      </c>
      <c r="B3" s="127" t="s">
        <v>1580</v>
      </c>
      <c r="C3" t="s">
        <v>1579</v>
      </c>
      <c r="E3" s="99" t="s">
        <v>1581</v>
      </c>
    </row>
    <row r="4" spans="1:5" x14ac:dyDescent="0.25">
      <c r="A4" t="s">
        <v>1133</v>
      </c>
      <c r="B4" s="127" t="s">
        <v>1580</v>
      </c>
    </row>
    <row r="5" spans="1:5" x14ac:dyDescent="0.25">
      <c r="A5" t="s">
        <v>10</v>
      </c>
      <c r="B5" s="128" t="s">
        <v>1580</v>
      </c>
    </row>
    <row r="6" spans="1:5" x14ac:dyDescent="0.25">
      <c r="A6" t="s">
        <v>1057</v>
      </c>
      <c r="B6" s="128" t="s">
        <v>1580</v>
      </c>
      <c r="C6" t="s">
        <v>1579</v>
      </c>
      <c r="D6" s="99" t="s">
        <v>1118</v>
      </c>
      <c r="E6" s="129" t="s">
        <v>1582</v>
      </c>
    </row>
    <row r="7" spans="1:5" x14ac:dyDescent="0.25">
      <c r="A7" t="s">
        <v>915</v>
      </c>
      <c r="B7" s="128" t="s">
        <v>1580</v>
      </c>
    </row>
    <row r="8" spans="1:5" x14ac:dyDescent="0.25">
      <c r="A8" t="s">
        <v>132</v>
      </c>
      <c r="B8" t="s">
        <v>970</v>
      </c>
    </row>
    <row r="9" spans="1:5" x14ac:dyDescent="0.25">
      <c r="A9" t="s">
        <v>1059</v>
      </c>
      <c r="C9" t="s">
        <v>1579</v>
      </c>
    </row>
    <row r="10" spans="1:5" x14ac:dyDescent="0.25">
      <c r="A10" t="s">
        <v>168</v>
      </c>
      <c r="B10" t="s">
        <v>970</v>
      </c>
    </row>
    <row r="11" spans="1:5" x14ac:dyDescent="0.25">
      <c r="A11" t="s">
        <v>183</v>
      </c>
    </row>
    <row r="12" spans="1:5" x14ac:dyDescent="0.25">
      <c r="A12" t="s">
        <v>1062</v>
      </c>
      <c r="B12" t="s">
        <v>1583</v>
      </c>
    </row>
    <row r="13" spans="1:5" x14ac:dyDescent="0.25">
      <c r="A13" t="s">
        <v>195</v>
      </c>
      <c r="B13" s="128" t="s">
        <v>1580</v>
      </c>
      <c r="C13" t="s">
        <v>1584</v>
      </c>
      <c r="D13" t="s">
        <v>1585</v>
      </c>
      <c r="E13" s="129" t="s">
        <v>1586</v>
      </c>
    </row>
    <row r="14" spans="1:5" x14ac:dyDescent="0.25">
      <c r="A14" t="s">
        <v>1587</v>
      </c>
      <c r="C14" t="s">
        <v>1579</v>
      </c>
    </row>
    <row r="15" spans="1:5" x14ac:dyDescent="0.25">
      <c r="A15" t="s">
        <v>1588</v>
      </c>
      <c r="B15" t="s">
        <v>1589</v>
      </c>
      <c r="C15" t="s">
        <v>1055</v>
      </c>
    </row>
    <row r="16" spans="1:5" x14ac:dyDescent="0.25">
      <c r="A16" t="s">
        <v>1590</v>
      </c>
      <c r="B16" s="128" t="s">
        <v>1580</v>
      </c>
      <c r="C16" t="s">
        <v>1579</v>
      </c>
    </row>
    <row r="17" spans="1:5" x14ac:dyDescent="0.25">
      <c r="A17" t="s">
        <v>970</v>
      </c>
    </row>
    <row r="18" spans="1:5" x14ac:dyDescent="0.25">
      <c r="A18" t="s">
        <v>931</v>
      </c>
      <c r="C18" t="s">
        <v>1579</v>
      </c>
    </row>
    <row r="19" spans="1:5" x14ac:dyDescent="0.25">
      <c r="A19" t="s">
        <v>1067</v>
      </c>
      <c r="B19" s="127" t="s">
        <v>1580</v>
      </c>
    </row>
    <row r="20" spans="1:5" x14ac:dyDescent="0.25">
      <c r="A20" t="s">
        <v>1591</v>
      </c>
      <c r="B20" s="128" t="s">
        <v>1580</v>
      </c>
    </row>
    <row r="21" spans="1:5" x14ac:dyDescent="0.25">
      <c r="A21" t="s">
        <v>367</v>
      </c>
      <c r="B21" t="s">
        <v>1589</v>
      </c>
    </row>
    <row r="22" spans="1:5" x14ac:dyDescent="0.25">
      <c r="A22" t="s">
        <v>979</v>
      </c>
      <c r="B22" s="127" t="s">
        <v>1580</v>
      </c>
      <c r="C22" t="s">
        <v>1584</v>
      </c>
      <c r="D22" t="s">
        <v>1585</v>
      </c>
      <c r="E22" s="99" t="s">
        <v>1581</v>
      </c>
    </row>
    <row r="23" spans="1:5" x14ac:dyDescent="0.25">
      <c r="A23" t="s">
        <v>390</v>
      </c>
      <c r="B23" t="s">
        <v>1589</v>
      </c>
    </row>
    <row r="24" spans="1:5" x14ac:dyDescent="0.25">
      <c r="A24" t="s">
        <v>402</v>
      </c>
      <c r="B24" t="s">
        <v>1589</v>
      </c>
    </row>
    <row r="25" spans="1:5" x14ac:dyDescent="0.25">
      <c r="A25" t="s">
        <v>409</v>
      </c>
      <c r="B25" t="s">
        <v>1592</v>
      </c>
    </row>
    <row r="26" spans="1:5" x14ac:dyDescent="0.25">
      <c r="A26" t="s">
        <v>413</v>
      </c>
      <c r="B26" t="s">
        <v>1592</v>
      </c>
    </row>
    <row r="27" spans="1:5" x14ac:dyDescent="0.25">
      <c r="A27" t="s">
        <v>982</v>
      </c>
      <c r="C27" t="s">
        <v>1579</v>
      </c>
    </row>
    <row r="28" spans="1:5" x14ac:dyDescent="0.25">
      <c r="A28" t="s">
        <v>11</v>
      </c>
      <c r="B28" t="s">
        <v>1592</v>
      </c>
    </row>
    <row r="29" spans="1:5" x14ac:dyDescent="0.25">
      <c r="A29" t="s">
        <v>1075</v>
      </c>
      <c r="B29" t="s">
        <v>1055</v>
      </c>
      <c r="C29" t="s">
        <v>1593</v>
      </c>
    </row>
    <row r="30" spans="1:5" x14ac:dyDescent="0.25">
      <c r="A30" t="s">
        <v>1594</v>
      </c>
      <c r="B30" s="128" t="s">
        <v>1580</v>
      </c>
      <c r="C30" t="s">
        <v>1579</v>
      </c>
    </row>
    <row r="31" spans="1:5" x14ac:dyDescent="0.25">
      <c r="A31" t="s">
        <v>1595</v>
      </c>
    </row>
    <row r="32" spans="1:5" x14ac:dyDescent="0.25">
      <c r="A32" t="s">
        <v>1446</v>
      </c>
      <c r="B32" s="128" t="s">
        <v>1580</v>
      </c>
      <c r="C32" t="s">
        <v>1584</v>
      </c>
      <c r="D32" t="s">
        <v>1585</v>
      </c>
    </row>
    <row r="33" spans="1:5" x14ac:dyDescent="0.25">
      <c r="A33" t="s">
        <v>622</v>
      </c>
      <c r="B33" s="127" t="s">
        <v>1580</v>
      </c>
      <c r="E33" s="129" t="s">
        <v>1596</v>
      </c>
    </row>
    <row r="34" spans="1:5" x14ac:dyDescent="0.25">
      <c r="A34" t="s">
        <v>1597</v>
      </c>
      <c r="B34" s="128" t="s">
        <v>1580</v>
      </c>
      <c r="C34" t="s">
        <v>1579</v>
      </c>
    </row>
    <row r="35" spans="1:5" x14ac:dyDescent="0.25">
      <c r="A35" t="s">
        <v>995</v>
      </c>
      <c r="B35" s="127" t="s">
        <v>1580</v>
      </c>
      <c r="E35" s="129" t="s">
        <v>1598</v>
      </c>
    </row>
    <row r="36" spans="1:5" x14ac:dyDescent="0.25">
      <c r="A36" t="s">
        <v>730</v>
      </c>
      <c r="B36" s="128" t="s">
        <v>1580</v>
      </c>
    </row>
    <row r="37" spans="1:5" x14ac:dyDescent="0.25">
      <c r="A37" t="s">
        <v>1599</v>
      </c>
    </row>
    <row r="38" spans="1:5" x14ac:dyDescent="0.25">
      <c r="A38" t="s">
        <v>8</v>
      </c>
      <c r="B38" s="128" t="s">
        <v>1580</v>
      </c>
    </row>
    <row r="39" spans="1:5" x14ac:dyDescent="0.25">
      <c r="A39" t="s">
        <v>795</v>
      </c>
    </row>
    <row r="40" spans="1:5" x14ac:dyDescent="0.25">
      <c r="A40" t="s">
        <v>1085</v>
      </c>
      <c r="B40" s="128" t="s">
        <v>1580</v>
      </c>
      <c r="C40" t="s">
        <v>1584</v>
      </c>
      <c r="D40" t="s">
        <v>1585</v>
      </c>
      <c r="E40" s="129" t="s">
        <v>1598</v>
      </c>
    </row>
    <row r="41" spans="1:5" x14ac:dyDescent="0.25">
      <c r="A41" t="s">
        <v>1600</v>
      </c>
      <c r="C41" t="s">
        <v>1579</v>
      </c>
    </row>
    <row r="42" spans="1:5" x14ac:dyDescent="0.25">
      <c r="A42" t="s">
        <v>1086</v>
      </c>
      <c r="C42" t="s">
        <v>1579</v>
      </c>
    </row>
    <row r="43" spans="1:5" x14ac:dyDescent="0.25">
      <c r="A43" t="s">
        <v>1087</v>
      </c>
    </row>
    <row r="44" spans="1:5" x14ac:dyDescent="0.25">
      <c r="A44" t="s">
        <v>1088</v>
      </c>
      <c r="B44" s="127" t="s">
        <v>1580</v>
      </c>
      <c r="C44" t="s">
        <v>1584</v>
      </c>
      <c r="D44" t="s">
        <v>1585</v>
      </c>
      <c r="E44" s="129" t="s">
        <v>1598</v>
      </c>
    </row>
    <row r="45" spans="1:5" x14ac:dyDescent="0.25">
      <c r="A45" t="s">
        <v>916</v>
      </c>
    </row>
  </sheetData>
  <pageMargins left="0.7" right="0.7" top="0.78749999999999998" bottom="0.78749999999999998" header="0.511811023622047" footer="0.511811023622047"/>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Tabelle8"/>
  <dimension ref="A1:Z205"/>
  <sheetViews>
    <sheetView zoomScaleNormal="100" workbookViewId="0">
      <selection activeCell="A9" sqref="A9"/>
    </sheetView>
  </sheetViews>
  <sheetFormatPr baseColWidth="10" defaultColWidth="11.5703125" defaultRowHeight="15" x14ac:dyDescent="0.25"/>
  <cols>
    <col min="1" max="1" width="30.42578125" customWidth="1"/>
    <col min="2" max="2" width="22.42578125" customWidth="1"/>
    <col min="3" max="3" width="17.5703125" customWidth="1"/>
    <col min="4" max="4" width="13.42578125" hidden="1" customWidth="1"/>
    <col min="5" max="25" width="11" hidden="1" customWidth="1"/>
    <col min="26" max="26" width="18.5703125" customWidth="1"/>
    <col min="27" max="1025" width="10.42578125" customWidth="1"/>
  </cols>
  <sheetData>
    <row r="1" spans="1:26" s="131" customFormat="1" x14ac:dyDescent="0.25">
      <c r="A1" s="130" t="str">
        <f>+'ex BH PW'!H1</f>
        <v>Gesellschaft / Partner</v>
      </c>
      <c r="B1" s="130" t="str">
        <f>+'ex BH PW'!J1</f>
        <v>BeraterHaus</v>
      </c>
      <c r="C1" s="130" t="str">
        <f>+'ex BH PW'!I1</f>
        <v>VEMA</v>
      </c>
      <c r="D1" s="130" t="str">
        <f>+'ex BH PW'!K1</f>
        <v>ASC</v>
      </c>
      <c r="E1" s="130" t="str">
        <f>+'ex BH PW'!L1</f>
        <v>Invers</v>
      </c>
      <c r="F1" s="130" t="str">
        <f>+'ex BH PW'!N1</f>
        <v>maxpool</v>
      </c>
      <c r="G1" s="130" t="str">
        <f>+'ex BH PW'!P1</f>
        <v>Petri</v>
      </c>
      <c r="H1" s="130" t="str">
        <f>+'ex BH PW'!Q1</f>
        <v>Tippmann</v>
      </c>
      <c r="I1" s="130" t="str">
        <f>+'ex BH PW'!R1</f>
        <v>Röder</v>
      </c>
      <c r="J1" s="130" t="str">
        <f>+'ex BH PW'!S1</f>
        <v>Hesselbarth</v>
      </c>
      <c r="K1" s="130" t="str">
        <f>+'ex BH PW'!T1</f>
        <v>Furch</v>
      </c>
      <c r="L1" s="130" t="str">
        <f>+'ex BH PW'!U1</f>
        <v>Hartkopf</v>
      </c>
      <c r="M1" s="130" t="str">
        <f>+'ex BH PW'!V1</f>
        <v>Hildebrandt</v>
      </c>
      <c r="N1" s="130" t="str">
        <f>+'ex BH PW'!W1</f>
        <v>Hollatz</v>
      </c>
      <c r="O1" s="130" t="str">
        <f>+'ex BH PW'!X1</f>
        <v>Hopf</v>
      </c>
      <c r="P1" s="130" t="str">
        <f>+'ex BH PW'!Y1</f>
        <v>Kramer</v>
      </c>
      <c r="Q1" s="130" t="str">
        <f>+'ex BH PW'!Z1</f>
        <v>Schellhorn</v>
      </c>
      <c r="R1" s="130" t="str">
        <f>+'ex BH PW'!AA1</f>
        <v>Lins</v>
      </c>
      <c r="S1" s="130" t="str">
        <f>+'ex BH PW'!AB1</f>
        <v>Littig</v>
      </c>
      <c r="T1" s="130" t="str">
        <f>+'ex BH PW'!AC1</f>
        <v>Lobe</v>
      </c>
      <c r="U1" s="130" t="str">
        <f>+'ex BH PW'!AD1</f>
        <v>Scharlach</v>
      </c>
      <c r="V1" s="130" t="str">
        <f>+'ex BH PW'!AE1</f>
        <v>Weißkopf</v>
      </c>
      <c r="W1" s="130" t="str">
        <f>+'ex BH PW'!AF1</f>
        <v>Schumacher</v>
      </c>
      <c r="X1" s="130" t="str">
        <f>+'ex BH PW'!AG1</f>
        <v>Autohaus Hüther</v>
      </c>
      <c r="Y1" s="130" t="str">
        <f>+'ex BH PW'!AH1</f>
        <v>Motorrad Henkel</v>
      </c>
      <c r="Z1" s="130" t="str">
        <f>+'ex BH PW'!AI1</f>
        <v>Reif</v>
      </c>
    </row>
    <row r="2" spans="1:26" x14ac:dyDescent="0.25">
      <c r="A2" s="132" t="str">
        <f>+'ex BH PW'!H2</f>
        <v>AAB Augsburger Aktienbank (Invers)</v>
      </c>
      <c r="B2" s="133">
        <f>+'ex BH PW'!J2</f>
        <v>0</v>
      </c>
      <c r="C2" s="133">
        <f>+'ex BH PW'!I2</f>
        <v>0</v>
      </c>
      <c r="D2" s="133">
        <f>+'ex BH PW'!K2</f>
        <v>0</v>
      </c>
      <c r="E2" s="133">
        <f>+'ex BH PW'!L2</f>
        <v>0</v>
      </c>
      <c r="F2" s="133">
        <f>+'ex BH PW'!M2</f>
        <v>0</v>
      </c>
      <c r="G2" s="133">
        <f>+'ex BH PW'!N2</f>
        <v>0</v>
      </c>
      <c r="H2" s="133">
        <f>+'ex BH PW'!P2</f>
        <v>0</v>
      </c>
      <c r="I2" s="133">
        <f>+'ex BH PW'!Q2</f>
        <v>0</v>
      </c>
      <c r="J2" s="133">
        <f>+'ex BH PW'!R2</f>
        <v>0</v>
      </c>
      <c r="K2" s="133">
        <f>+'ex BH PW'!S2</f>
        <v>0</v>
      </c>
      <c r="L2" s="133">
        <f>+'ex BH PW'!T2</f>
        <v>0</v>
      </c>
      <c r="M2" s="133">
        <f>+'ex BH PW'!U2</f>
        <v>0</v>
      </c>
      <c r="N2" s="133">
        <f>+'ex BH PW'!V2</f>
        <v>0</v>
      </c>
      <c r="O2" s="133">
        <f>+'ex BH PW'!W2</f>
        <v>0</v>
      </c>
      <c r="P2" s="133">
        <f>+'ex BH PW'!X2</f>
        <v>0</v>
      </c>
      <c r="Q2" s="133">
        <f>+'ex BH PW'!Y2</f>
        <v>0</v>
      </c>
      <c r="R2" s="133">
        <f>+'ex BH PW'!Z2</f>
        <v>0</v>
      </c>
      <c r="S2" s="133">
        <f>+'ex BH PW'!AA2</f>
        <v>0</v>
      </c>
      <c r="T2" s="133">
        <f>+'ex BH PW'!AB2</f>
        <v>0</v>
      </c>
      <c r="U2" s="133">
        <f>+'ex BH PW'!AC2</f>
        <v>0</v>
      </c>
      <c r="V2" s="133">
        <f>+'ex BH PW'!AD2</f>
        <v>0</v>
      </c>
      <c r="W2" s="133">
        <f>+'ex BH PW'!AE2</f>
        <v>0</v>
      </c>
      <c r="X2" s="133">
        <f>+'ex BH PW'!AF2</f>
        <v>0</v>
      </c>
      <c r="Y2" s="133">
        <f>+'ex BH PW'!AG2</f>
        <v>0</v>
      </c>
      <c r="Z2" s="133">
        <f>+'ex BH PW'!AH2</f>
        <v>0</v>
      </c>
    </row>
    <row r="3" spans="1:26" x14ac:dyDescent="0.25">
      <c r="A3" s="132" t="str">
        <f>+'ex BH PW'!H4</f>
        <v>abc-teleconsult</v>
      </c>
      <c r="B3" s="133">
        <f>+'ex BH PW'!J4</f>
        <v>0</v>
      </c>
      <c r="C3" s="133">
        <f>+'ex BH PW'!I4</f>
        <v>0</v>
      </c>
      <c r="D3" s="133">
        <f>+'ex BH PW'!K4</f>
        <v>0</v>
      </c>
      <c r="E3" s="133">
        <f>+'ex BH PW'!L4</f>
        <v>0</v>
      </c>
      <c r="F3" s="133">
        <f>+'ex BH PW'!M4</f>
        <v>0</v>
      </c>
      <c r="G3" s="133">
        <f>+'ex BH PW'!N4</f>
        <v>0</v>
      </c>
      <c r="H3" s="133">
        <f>+'ex BH PW'!P4</f>
        <v>0</v>
      </c>
      <c r="I3" s="133">
        <f>+'ex BH PW'!Q4</f>
        <v>0</v>
      </c>
      <c r="J3" s="133">
        <f>+'ex BH PW'!R4</f>
        <v>0</v>
      </c>
      <c r="K3" s="133">
        <f>+'ex BH PW'!S4</f>
        <v>0</v>
      </c>
      <c r="L3" s="133">
        <f>+'ex BH PW'!T4</f>
        <v>0</v>
      </c>
      <c r="M3" s="133">
        <f>+'ex BH PW'!U4</f>
        <v>0</v>
      </c>
      <c r="N3" s="133">
        <f>+'ex BH PW'!V4</f>
        <v>0</v>
      </c>
      <c r="O3" s="133">
        <f>+'ex BH PW'!W4</f>
        <v>0</v>
      </c>
      <c r="P3" s="133">
        <f>+'ex BH PW'!X4</f>
        <v>0</v>
      </c>
      <c r="Q3" s="133">
        <f>+'ex BH PW'!Y4</f>
        <v>0</v>
      </c>
      <c r="R3" s="133">
        <f>+'ex BH PW'!Z4</f>
        <v>0</v>
      </c>
      <c r="S3" s="133">
        <f>+'ex BH PW'!AA4</f>
        <v>0</v>
      </c>
      <c r="T3" s="133">
        <f>+'ex BH PW'!AB4</f>
        <v>0</v>
      </c>
      <c r="U3" s="133">
        <f>+'ex BH PW'!AC4</f>
        <v>0</v>
      </c>
      <c r="V3" s="133">
        <f>+'ex BH PW'!AD4</f>
        <v>0</v>
      </c>
      <c r="W3" s="133">
        <f>+'ex BH PW'!AE4</f>
        <v>0</v>
      </c>
      <c r="X3" s="133">
        <f>+'ex BH PW'!AF4</f>
        <v>0</v>
      </c>
      <c r="Y3" s="133">
        <f>+'ex BH PW'!AG4</f>
        <v>0</v>
      </c>
      <c r="Z3" s="133">
        <f>+'ex BH PW'!AH4</f>
        <v>0</v>
      </c>
    </row>
    <row r="4" spans="1:26" x14ac:dyDescent="0.25">
      <c r="A4" s="132" t="str">
        <f>+'ex BH PW'!H5</f>
        <v>ACE European Group Limited Direktion für Deutschland</v>
      </c>
      <c r="B4" s="133" t="str">
        <f>+'ex BH PW'!J5</f>
        <v xml:space="preserve"> </v>
      </c>
      <c r="C4" s="133" t="str">
        <f>+'ex BH PW'!I5</f>
        <v>2202_VEMA</v>
      </c>
      <c r="D4" s="133">
        <f>+'ex BH PW'!K5</f>
        <v>0</v>
      </c>
      <c r="E4" s="133">
        <f>+'ex BH PW'!L5</f>
        <v>0</v>
      </c>
      <c r="F4" s="133">
        <f>+'ex BH PW'!M5</f>
        <v>0</v>
      </c>
      <c r="G4" s="133">
        <f>+'ex BH PW'!N5</f>
        <v>0</v>
      </c>
      <c r="H4" s="133">
        <f>+'ex BH PW'!P5</f>
        <v>0</v>
      </c>
      <c r="I4" s="133">
        <f>+'ex BH PW'!Q5</f>
        <v>0</v>
      </c>
      <c r="J4" s="133">
        <f>+'ex BH PW'!R5</f>
        <v>0</v>
      </c>
      <c r="K4" s="133">
        <f>+'ex BH PW'!S5</f>
        <v>0</v>
      </c>
      <c r="L4" s="133">
        <f>+'ex BH PW'!T5</f>
        <v>0</v>
      </c>
      <c r="M4" s="133">
        <f>+'ex BH PW'!U5</f>
        <v>0</v>
      </c>
      <c r="N4" s="133">
        <f>+'ex BH PW'!V5</f>
        <v>0</v>
      </c>
      <c r="O4" s="133">
        <f>+'ex BH PW'!W5</f>
        <v>0</v>
      </c>
      <c r="P4" s="133">
        <f>+'ex BH PW'!X5</f>
        <v>0</v>
      </c>
      <c r="Q4" s="133">
        <f>+'ex BH PW'!Y5</f>
        <v>0</v>
      </c>
      <c r="R4" s="133">
        <f>+'ex BH PW'!Z5</f>
        <v>0</v>
      </c>
      <c r="S4" s="133">
        <f>+'ex BH PW'!AA5</f>
        <v>0</v>
      </c>
      <c r="T4" s="133">
        <f>+'ex BH PW'!AB5</f>
        <v>0</v>
      </c>
      <c r="U4" s="133">
        <f>+'ex BH PW'!AC5</f>
        <v>0</v>
      </c>
      <c r="V4" s="133">
        <f>+'ex BH PW'!AD5</f>
        <v>0</v>
      </c>
      <c r="W4" s="133">
        <f>+'ex BH PW'!AE5</f>
        <v>0</v>
      </c>
      <c r="X4" s="133">
        <f>+'ex BH PW'!AF5</f>
        <v>0</v>
      </c>
      <c r="Y4" s="133">
        <f>+'ex BH PW'!AG5</f>
        <v>0</v>
      </c>
      <c r="Z4" s="133">
        <f>+'ex BH PW'!AH5</f>
        <v>0</v>
      </c>
    </row>
    <row r="5" spans="1:26" x14ac:dyDescent="0.25">
      <c r="A5" s="132" t="str">
        <f>+'ex BH PW'!H6</f>
        <v>Adcuri</v>
      </c>
      <c r="B5" s="133" t="str">
        <f>+'ex BH PW'!J6</f>
        <v>950086739</v>
      </c>
      <c r="C5" s="133" t="str">
        <f>+'ex BH PW'!I6</f>
        <v>950212022</v>
      </c>
      <c r="D5" s="133">
        <f>+'ex BH PW'!K6</f>
        <v>0</v>
      </c>
      <c r="E5" s="133">
        <f>+'ex BH PW'!L6</f>
        <v>0</v>
      </c>
      <c r="F5" s="133">
        <f>+'ex BH PW'!M6</f>
        <v>0</v>
      </c>
      <c r="G5" s="133">
        <f>+'ex BH PW'!N6</f>
        <v>0</v>
      </c>
      <c r="H5" s="133">
        <f>+'ex BH PW'!P6</f>
        <v>0</v>
      </c>
      <c r="I5" s="133">
        <f>+'ex BH PW'!Q6</f>
        <v>0</v>
      </c>
      <c r="J5" s="133">
        <f>+'ex BH PW'!R6</f>
        <v>0</v>
      </c>
      <c r="K5" s="133">
        <f>+'ex BH PW'!S6</f>
        <v>0</v>
      </c>
      <c r="L5" s="133">
        <f>+'ex BH PW'!T6</f>
        <v>0</v>
      </c>
      <c r="M5" s="133">
        <f>+'ex BH PW'!U6</f>
        <v>0</v>
      </c>
      <c r="N5" s="133">
        <f>+'ex BH PW'!V6</f>
        <v>0</v>
      </c>
      <c r="O5" s="133">
        <f>+'ex BH PW'!W6</f>
        <v>0</v>
      </c>
      <c r="P5" s="133">
        <f>+'ex BH PW'!X6</f>
        <v>0</v>
      </c>
      <c r="Q5" s="133">
        <f>+'ex BH PW'!Y6</f>
        <v>0</v>
      </c>
      <c r="R5" s="133">
        <f>+'ex BH PW'!Z6</f>
        <v>0</v>
      </c>
      <c r="S5" s="133">
        <f>+'ex BH PW'!AA6</f>
        <v>0</v>
      </c>
      <c r="T5" s="133">
        <f>+'ex BH PW'!AB6</f>
        <v>0</v>
      </c>
      <c r="U5" s="133">
        <f>+'ex BH PW'!AC6</f>
        <v>0</v>
      </c>
      <c r="V5" s="133">
        <f>+'ex BH PW'!AD6</f>
        <v>0</v>
      </c>
      <c r="W5" s="133">
        <f>+'ex BH PW'!AE6</f>
        <v>0</v>
      </c>
      <c r="X5" s="133">
        <f>+'ex BH PW'!AF6</f>
        <v>0</v>
      </c>
      <c r="Y5" s="133">
        <f>+'ex BH PW'!AG6</f>
        <v>0</v>
      </c>
      <c r="Z5" s="133">
        <f>+'ex BH PW'!AH6</f>
        <v>0</v>
      </c>
    </row>
    <row r="6" spans="1:26" x14ac:dyDescent="0.25">
      <c r="A6" s="132" t="str">
        <f>+'ex BH PW'!H8</f>
        <v>Adcuri (VEMA)</v>
      </c>
      <c r="B6" s="133" t="str">
        <f>+'ex BH PW'!J8</f>
        <v>950205963 alt</v>
      </c>
      <c r="C6" s="133" t="str">
        <f>+'ex BH PW'!I8</f>
        <v>950212022</v>
      </c>
      <c r="D6" s="133">
        <f>+'ex BH PW'!K8</f>
        <v>0</v>
      </c>
      <c r="E6" s="133">
        <f>+'ex BH PW'!L8</f>
        <v>0</v>
      </c>
      <c r="F6" s="133">
        <f>+'ex BH PW'!M8</f>
        <v>0</v>
      </c>
      <c r="G6" s="133">
        <f>+'ex BH PW'!N8</f>
        <v>0</v>
      </c>
      <c r="H6" s="133">
        <f>+'ex BH PW'!P8</f>
        <v>0</v>
      </c>
      <c r="I6" s="133">
        <f>+'ex BH PW'!Q8</f>
        <v>0</v>
      </c>
      <c r="J6" s="133">
        <f>+'ex BH PW'!R8</f>
        <v>0</v>
      </c>
      <c r="K6" s="133">
        <f>+'ex BH PW'!S8</f>
        <v>0</v>
      </c>
      <c r="L6" s="133">
        <f>+'ex BH PW'!T8</f>
        <v>0</v>
      </c>
      <c r="M6" s="133">
        <f>+'ex BH PW'!U8</f>
        <v>0</v>
      </c>
      <c r="N6" s="133">
        <f>+'ex BH PW'!V8</f>
        <v>0</v>
      </c>
      <c r="O6" s="133">
        <f>+'ex BH PW'!W8</f>
        <v>0</v>
      </c>
      <c r="P6" s="133">
        <f>+'ex BH PW'!X8</f>
        <v>0</v>
      </c>
      <c r="Q6" s="133">
        <f>+'ex BH PW'!Y8</f>
        <v>0</v>
      </c>
      <c r="R6" s="133">
        <f>+'ex BH PW'!Z8</f>
        <v>0</v>
      </c>
      <c r="S6" s="133">
        <f>+'ex BH PW'!AA8</f>
        <v>0</v>
      </c>
      <c r="T6" s="133">
        <f>+'ex BH PW'!AB8</f>
        <v>0</v>
      </c>
      <c r="U6" s="133">
        <f>+'ex BH PW'!AC8</f>
        <v>0</v>
      </c>
      <c r="V6" s="133">
        <f>+'ex BH PW'!AD8</f>
        <v>0</v>
      </c>
      <c r="W6" s="133">
        <f>+'ex BH PW'!AE8</f>
        <v>0</v>
      </c>
      <c r="X6" s="133">
        <f>+'ex BH PW'!AF8</f>
        <v>0</v>
      </c>
      <c r="Y6" s="133">
        <f>+'ex BH PW'!AG8</f>
        <v>0</v>
      </c>
      <c r="Z6" s="133">
        <f>+'ex BH PW'!AH8</f>
        <v>0</v>
      </c>
    </row>
    <row r="7" spans="1:26" x14ac:dyDescent="0.25">
      <c r="A7" s="132" t="str">
        <f>+'ex BH PW'!H9</f>
        <v>Advigon (ex CSS 80002841)</v>
      </c>
      <c r="B7" s="133" t="str">
        <f>+'ex BH PW'!J9</f>
        <v>3780145</v>
      </c>
      <c r="C7" s="133" t="str">
        <f>+'ex BH PW'!I9</f>
        <v>3780145</v>
      </c>
      <c r="D7" s="133">
        <f>+'ex BH PW'!K9</f>
        <v>0</v>
      </c>
      <c r="E7" s="133">
        <f>+'ex BH PW'!L9</f>
        <v>0</v>
      </c>
      <c r="F7" s="133">
        <f>+'ex BH PW'!M9</f>
        <v>0</v>
      </c>
      <c r="G7" s="133">
        <f>+'ex BH PW'!N9</f>
        <v>0</v>
      </c>
      <c r="H7" s="133">
        <f>+'ex BH PW'!P9</f>
        <v>0</v>
      </c>
      <c r="I7" s="133">
        <f>+'ex BH PW'!Q9</f>
        <v>0</v>
      </c>
      <c r="J7" s="133">
        <f>+'ex BH PW'!R9</f>
        <v>0</v>
      </c>
      <c r="K7" s="133">
        <f>+'ex BH PW'!S9</f>
        <v>0</v>
      </c>
      <c r="L7" s="133">
        <f>+'ex BH PW'!T9</f>
        <v>0</v>
      </c>
      <c r="M7" s="133">
        <f>+'ex BH PW'!U9</f>
        <v>0</v>
      </c>
      <c r="N7" s="133">
        <f>+'ex BH PW'!V9</f>
        <v>0</v>
      </c>
      <c r="O7" s="133">
        <f>+'ex BH PW'!W9</f>
        <v>0</v>
      </c>
      <c r="P7" s="133">
        <f>+'ex BH PW'!X9</f>
        <v>0</v>
      </c>
      <c r="Q7" s="133">
        <f>+'ex BH PW'!Y9</f>
        <v>0</v>
      </c>
      <c r="R7" s="133">
        <f>+'ex BH PW'!Z9</f>
        <v>0</v>
      </c>
      <c r="S7" s="133">
        <f>+'ex BH PW'!AA9</f>
        <v>0</v>
      </c>
      <c r="T7" s="133">
        <f>+'ex BH PW'!AB9</f>
        <v>0</v>
      </c>
      <c r="U7" s="133">
        <f>+'ex BH PW'!AC9</f>
        <v>0</v>
      </c>
      <c r="V7" s="133">
        <f>+'ex BH PW'!AD9</f>
        <v>0</v>
      </c>
      <c r="W7" s="133">
        <f>+'ex BH PW'!AE9</f>
        <v>0</v>
      </c>
      <c r="X7" s="133">
        <f>+'ex BH PW'!AF9</f>
        <v>0</v>
      </c>
      <c r="Y7" s="133">
        <f>+'ex BH PW'!AG9</f>
        <v>0</v>
      </c>
      <c r="Z7" s="133">
        <f>+'ex BH PW'!AH9</f>
        <v>0</v>
      </c>
    </row>
    <row r="8" spans="1:26" x14ac:dyDescent="0.25">
      <c r="A8" s="132" t="str">
        <f>+'ex BH PW'!H10</f>
        <v>AdvoCard (Dialog)</v>
      </c>
      <c r="B8" s="133" t="str">
        <f>+'ex BH PW'!J10</f>
        <v>70/5523/00122700</v>
      </c>
      <c r="C8" s="133" t="str">
        <f>+'ex BH PW'!I10</f>
        <v>106151</v>
      </c>
      <c r="D8" s="133">
        <f>+'ex BH PW'!K10</f>
        <v>0</v>
      </c>
      <c r="E8" s="133">
        <f>+'ex BH PW'!L10</f>
        <v>0</v>
      </c>
      <c r="F8" s="133">
        <f>+'ex BH PW'!M10</f>
        <v>0</v>
      </c>
      <c r="G8" s="133">
        <f>+'ex BH PW'!N10</f>
        <v>0</v>
      </c>
      <c r="H8" s="133" t="str">
        <f>+'ex BH PW'!P10</f>
        <v>590/5509</v>
      </c>
      <c r="I8" s="133">
        <f>+'ex BH PW'!Q10</f>
        <v>0</v>
      </c>
      <c r="J8" s="133">
        <f>+'ex BH PW'!R10</f>
        <v>0</v>
      </c>
      <c r="K8" s="133">
        <f>+'ex BH PW'!S10</f>
        <v>0</v>
      </c>
      <c r="L8" s="133">
        <f>+'ex BH PW'!T10</f>
        <v>0</v>
      </c>
      <c r="M8" s="133">
        <f>+'ex BH PW'!U10</f>
        <v>0</v>
      </c>
      <c r="N8" s="133">
        <f>+'ex BH PW'!V10</f>
        <v>0</v>
      </c>
      <c r="O8" s="133">
        <f>+'ex BH PW'!W10</f>
        <v>0</v>
      </c>
      <c r="P8" s="133">
        <f>+'ex BH PW'!X10</f>
        <v>0</v>
      </c>
      <c r="Q8" s="133">
        <f>+'ex BH PW'!Y10</f>
        <v>0</v>
      </c>
      <c r="R8" s="133">
        <f>+'ex BH PW'!Z10</f>
        <v>0</v>
      </c>
      <c r="S8" s="133">
        <f>+'ex BH PW'!AA10</f>
        <v>0</v>
      </c>
      <c r="T8" s="133">
        <f>+'ex BH PW'!AB10</f>
        <v>0</v>
      </c>
      <c r="U8" s="133">
        <f>+'ex BH PW'!AC10</f>
        <v>0</v>
      </c>
      <c r="V8" s="133">
        <f>+'ex BH PW'!AD10</f>
        <v>0</v>
      </c>
      <c r="W8" s="133">
        <f>+'ex BH PW'!AE10</f>
        <v>0</v>
      </c>
      <c r="X8" s="133">
        <f>+'ex BH PW'!AF10</f>
        <v>0</v>
      </c>
      <c r="Y8" s="133">
        <f>+'ex BH PW'!AG10</f>
        <v>0</v>
      </c>
      <c r="Z8" s="133">
        <f>+'ex BH PW'!AH10</f>
        <v>0</v>
      </c>
    </row>
    <row r="9" spans="1:26" x14ac:dyDescent="0.25">
      <c r="A9" s="132" t="e">
        <f>+[1]passwörter_agenturen!#REF!</f>
        <v>#REF!</v>
      </c>
      <c r="B9" s="133" t="e">
        <f>+[1]passwörter_agenturen!#REF!</f>
        <v>#REF!</v>
      </c>
      <c r="C9" s="133" t="e">
        <f>+[1]passwörter_agenturen!#REF!</f>
        <v>#REF!</v>
      </c>
      <c r="D9" s="133" t="e">
        <f>+[1]passwörter_agenturen!#REF!</f>
        <v>#REF!</v>
      </c>
      <c r="E9" s="133" t="e">
        <f>+[1]passwörter_agenturen!#REF!</f>
        <v>#REF!</v>
      </c>
      <c r="F9" s="133" t="e">
        <f>+[1]passwörter_agenturen!#REF!</f>
        <v>#REF!</v>
      </c>
      <c r="G9" s="133" t="e">
        <f>+[1]passwörter_agenturen!#REF!</f>
        <v>#REF!</v>
      </c>
      <c r="H9" s="133" t="e">
        <f>+[1]passwörter_agenturen!#REF!</f>
        <v>#REF!</v>
      </c>
      <c r="I9" s="133" t="e">
        <f>+[1]passwörter_agenturen!#REF!</f>
        <v>#REF!</v>
      </c>
      <c r="J9" s="133" t="e">
        <f>+[1]passwörter_agenturen!#REF!</f>
        <v>#REF!</v>
      </c>
      <c r="K9" s="133" t="e">
        <f>+[1]passwörter_agenturen!#REF!</f>
        <v>#REF!</v>
      </c>
      <c r="L9" s="133" t="e">
        <f>+[1]passwörter_agenturen!#REF!</f>
        <v>#REF!</v>
      </c>
      <c r="M9" s="133" t="e">
        <f>+[1]passwörter_agenturen!#REF!</f>
        <v>#REF!</v>
      </c>
      <c r="N9" s="133" t="e">
        <f>+[1]passwörter_agenturen!#REF!</f>
        <v>#REF!</v>
      </c>
      <c r="O9" s="133" t="e">
        <f>+[1]passwörter_agenturen!#REF!</f>
        <v>#REF!</v>
      </c>
      <c r="P9" s="133" t="e">
        <f>+[1]passwörter_agenturen!#REF!</f>
        <v>#REF!</v>
      </c>
      <c r="Q9" s="133" t="e">
        <f>+[1]passwörter_agenturen!#REF!</f>
        <v>#REF!</v>
      </c>
      <c r="R9" s="133" t="e">
        <f>+[1]passwörter_agenturen!#REF!</f>
        <v>#REF!</v>
      </c>
      <c r="S9" s="133" t="e">
        <f>+[1]passwörter_agenturen!#REF!</f>
        <v>#REF!</v>
      </c>
      <c r="T9" s="133" t="e">
        <f>+[1]passwörter_agenturen!#REF!</f>
        <v>#REF!</v>
      </c>
      <c r="U9" s="133" t="e">
        <f>+[1]passwörter_agenturen!#REF!</f>
        <v>#REF!</v>
      </c>
      <c r="V9" s="133" t="e">
        <f>+[1]passwörter_agenturen!#REF!</f>
        <v>#REF!</v>
      </c>
      <c r="W9" s="133" t="e">
        <f>+[1]passwörter_agenturen!#REF!</f>
        <v>#REF!</v>
      </c>
      <c r="X9" s="133" t="e">
        <f>+[1]passwörter_agenturen!#REF!</f>
        <v>#REF!</v>
      </c>
      <c r="Y9" s="133" t="e">
        <f>+[1]passwörter_agenturen!#REF!</f>
        <v>#REF!</v>
      </c>
      <c r="Z9" s="133" t="e">
        <f>+[1]passwörter_agenturen!#REF!</f>
        <v>#REF!</v>
      </c>
    </row>
    <row r="10" spans="1:26" x14ac:dyDescent="0.25">
      <c r="A10" s="132" t="str">
        <f>+'ex BH PW'!H12</f>
        <v>AIG Europe Limited (Marke WüBa)</v>
      </c>
      <c r="B10" s="133" t="str">
        <f>+'ex BH PW'!J12</f>
        <v>16603000</v>
      </c>
      <c r="C10" s="133" t="str">
        <f>+'ex BH PW'!I12</f>
        <v>16603000</v>
      </c>
      <c r="D10" s="133">
        <f>+'ex BH PW'!K12</f>
        <v>0</v>
      </c>
      <c r="E10" s="133">
        <f>+'ex BH PW'!L12</f>
        <v>0</v>
      </c>
      <c r="F10" s="133">
        <f>+'ex BH PW'!M12</f>
        <v>0</v>
      </c>
      <c r="G10" s="133">
        <f>+'ex BH PW'!N12</f>
        <v>0</v>
      </c>
      <c r="H10" s="133">
        <f>+'ex BH PW'!P12</f>
        <v>0</v>
      </c>
      <c r="I10" s="133">
        <f>+'ex BH PW'!Q12</f>
        <v>0</v>
      </c>
      <c r="J10" s="133">
        <f>+'ex BH PW'!R12</f>
        <v>0</v>
      </c>
      <c r="K10" s="133">
        <f>+'ex BH PW'!S12</f>
        <v>0</v>
      </c>
      <c r="L10" s="133">
        <f>+'ex BH PW'!T12</f>
        <v>0</v>
      </c>
      <c r="M10" s="133">
        <f>+'ex BH PW'!U12</f>
        <v>0</v>
      </c>
      <c r="N10" s="133">
        <f>+'ex BH PW'!V12</f>
        <v>0</v>
      </c>
      <c r="O10" s="133">
        <f>+'ex BH PW'!W12</f>
        <v>0</v>
      </c>
      <c r="P10" s="133">
        <f>+'ex BH PW'!X12</f>
        <v>0</v>
      </c>
      <c r="Q10" s="133">
        <f>+'ex BH PW'!Y12</f>
        <v>0</v>
      </c>
      <c r="R10" s="133">
        <f>+'ex BH PW'!Z12</f>
        <v>0</v>
      </c>
      <c r="S10" s="133">
        <f>+'ex BH PW'!AA12</f>
        <v>0</v>
      </c>
      <c r="T10" s="133">
        <f>+'ex BH PW'!AB12</f>
        <v>0</v>
      </c>
      <c r="U10" s="133">
        <f>+'ex BH PW'!AC12</f>
        <v>0</v>
      </c>
      <c r="V10" s="133">
        <f>+'ex BH PW'!AD12</f>
        <v>0</v>
      </c>
      <c r="W10" s="133">
        <f>+'ex BH PW'!AE12</f>
        <v>0</v>
      </c>
      <c r="X10" s="133">
        <f>+'ex BH PW'!AF12</f>
        <v>0</v>
      </c>
      <c r="Y10" s="133">
        <f>+'ex BH PW'!AG12</f>
        <v>0</v>
      </c>
      <c r="Z10" s="133">
        <f>+'ex BH PW'!AH12</f>
        <v>0</v>
      </c>
    </row>
    <row r="11" spans="1:26" x14ac:dyDescent="0.25">
      <c r="A11" s="132" t="str">
        <f>+'ex BH PW'!H13</f>
        <v>Allianz  Leben</v>
      </c>
      <c r="B11" s="133" t="str">
        <f>+'ex BH PW'!J13</f>
        <v>50/110/2650</v>
      </c>
      <c r="C11" s="133" t="str">
        <f>+'ex BH PW'!I13</f>
        <v>50/110/2650</v>
      </c>
      <c r="D11" s="133">
        <f>+'ex BH PW'!K13</f>
        <v>0</v>
      </c>
      <c r="E11" s="133">
        <f>+'ex BH PW'!L13</f>
        <v>0</v>
      </c>
      <c r="F11" s="133">
        <f>+'ex BH PW'!M13</f>
        <v>0</v>
      </c>
      <c r="G11" s="133">
        <f>+'ex BH PW'!N13</f>
        <v>0</v>
      </c>
      <c r="H11" s="133">
        <f>+'ex BH PW'!P13</f>
        <v>0</v>
      </c>
      <c r="I11" s="133">
        <f>+'ex BH PW'!Q13</f>
        <v>0</v>
      </c>
      <c r="J11" s="133">
        <f>+'ex BH PW'!R13</f>
        <v>0</v>
      </c>
      <c r="K11" s="133">
        <f>+'ex BH PW'!S13</f>
        <v>0</v>
      </c>
      <c r="L11" s="133">
        <f>+'ex BH PW'!T13</f>
        <v>0</v>
      </c>
      <c r="M11" s="133">
        <f>+'ex BH PW'!U13</f>
        <v>0</v>
      </c>
      <c r="N11" s="133">
        <f>+'ex BH PW'!V13</f>
        <v>0</v>
      </c>
      <c r="O11" s="133">
        <f>+'ex BH PW'!W13</f>
        <v>0</v>
      </c>
      <c r="P11" s="133">
        <f>+'ex BH PW'!X13</f>
        <v>0</v>
      </c>
      <c r="Q11" s="133">
        <f>+'ex BH PW'!Y13</f>
        <v>0</v>
      </c>
      <c r="R11" s="133">
        <f>+'ex BH PW'!Z13</f>
        <v>0</v>
      </c>
      <c r="S11" s="133">
        <f>+'ex BH PW'!AA13</f>
        <v>0</v>
      </c>
      <c r="T11" s="133">
        <f>+'ex BH PW'!AB13</f>
        <v>0</v>
      </c>
      <c r="U11" s="133">
        <f>+'ex BH PW'!AC13</f>
        <v>0</v>
      </c>
      <c r="V11" s="133">
        <f>+'ex BH PW'!AD13</f>
        <v>0</v>
      </c>
      <c r="W11" s="133">
        <f>+'ex BH PW'!AE13</f>
        <v>0</v>
      </c>
      <c r="X11" s="133" t="str">
        <f>+'ex BH PW'!AF13</f>
        <v>72020435</v>
      </c>
      <c r="Y11" s="133">
        <f>+'ex BH PW'!AG13</f>
        <v>0</v>
      </c>
      <c r="Z11" s="133">
        <f>+'ex BH PW'!AH13</f>
        <v>0</v>
      </c>
    </row>
    <row r="12" spans="1:26" x14ac:dyDescent="0.25">
      <c r="A12" s="132" t="str">
        <f>+'ex BH PW'!H14</f>
        <v>Allianz Kranken</v>
      </c>
      <c r="B12" s="133" t="str">
        <f>+'ex BH PW'!J14</f>
        <v xml:space="preserve">70/585/0637 </v>
      </c>
      <c r="C12" s="133">
        <f>+'ex BH PW'!I14</f>
        <v>705850637</v>
      </c>
      <c r="D12" s="133">
        <f>+'ex BH PW'!K14</f>
        <v>0</v>
      </c>
      <c r="E12" s="133">
        <f>+'ex BH PW'!L14</f>
        <v>0</v>
      </c>
      <c r="F12" s="133">
        <f>+'ex BH PW'!M14</f>
        <v>0</v>
      </c>
      <c r="G12" s="133">
        <f>+'ex BH PW'!N14</f>
        <v>0</v>
      </c>
      <c r="H12" s="133">
        <f>+'ex BH PW'!P14</f>
        <v>0</v>
      </c>
      <c r="I12" s="133">
        <f>+'ex BH PW'!Q14</f>
        <v>0</v>
      </c>
      <c r="J12" s="133">
        <f>+'ex BH PW'!R14</f>
        <v>0</v>
      </c>
      <c r="K12" s="133">
        <f>+'ex BH PW'!S14</f>
        <v>0</v>
      </c>
      <c r="L12" s="133">
        <f>+'ex BH PW'!T14</f>
        <v>0</v>
      </c>
      <c r="M12" s="133">
        <f>+'ex BH PW'!U14</f>
        <v>0</v>
      </c>
      <c r="N12" s="133">
        <f>+'ex BH PW'!V14</f>
        <v>0</v>
      </c>
      <c r="O12" s="133">
        <f>+'ex BH PW'!W14</f>
        <v>0</v>
      </c>
      <c r="P12" s="133">
        <f>+'ex BH PW'!X14</f>
        <v>0</v>
      </c>
      <c r="Q12" s="133">
        <f>+'ex BH PW'!Y14</f>
        <v>0</v>
      </c>
      <c r="R12" s="133">
        <f>+'ex BH PW'!Z14</f>
        <v>0</v>
      </c>
      <c r="S12" s="133">
        <f>+'ex BH PW'!AA14</f>
        <v>0</v>
      </c>
      <c r="T12" s="133">
        <f>+'ex BH PW'!AB14</f>
        <v>0</v>
      </c>
      <c r="U12" s="133">
        <f>+'ex BH PW'!AC14</f>
        <v>0</v>
      </c>
      <c r="V12" s="133">
        <f>+'ex BH PW'!AD14</f>
        <v>0</v>
      </c>
      <c r="W12" s="133">
        <f>+'ex BH PW'!AE14</f>
        <v>0</v>
      </c>
      <c r="X12" s="133" t="str">
        <f>+'ex BH PW'!AF14</f>
        <v>72020435</v>
      </c>
      <c r="Y12" s="133">
        <f>+'ex BH PW'!AG14</f>
        <v>0</v>
      </c>
      <c r="Z12" s="133">
        <f>+'ex BH PW'!AH14</f>
        <v>0</v>
      </c>
    </row>
    <row r="13" spans="1:26" x14ac:dyDescent="0.25">
      <c r="A13" s="132" t="str">
        <f>+'ex BH PW'!H16</f>
        <v>Alte Leipziger Bauspar AG</v>
      </c>
      <c r="B13" s="133">
        <f>+'ex BH PW'!J16</f>
        <v>5124</v>
      </c>
      <c r="C13" s="133">
        <f>+'ex BH PW'!I16</f>
        <v>0</v>
      </c>
      <c r="D13" s="133">
        <f>+'ex BH PW'!K16</f>
        <v>0</v>
      </c>
      <c r="E13" s="133">
        <f>+'ex BH PW'!L16</f>
        <v>0</v>
      </c>
      <c r="F13" s="133">
        <f>+'ex BH PW'!M16</f>
        <v>0</v>
      </c>
      <c r="G13" s="133">
        <f>+'ex BH PW'!N16</f>
        <v>0</v>
      </c>
      <c r="H13" s="133">
        <f>+'ex BH PW'!P16</f>
        <v>0</v>
      </c>
      <c r="I13" s="133">
        <f>+'ex BH PW'!Q16</f>
        <v>0</v>
      </c>
      <c r="J13" s="133">
        <f>+'ex BH PW'!R16</f>
        <v>0</v>
      </c>
      <c r="K13" s="133">
        <f>+'ex BH PW'!S16</f>
        <v>0</v>
      </c>
      <c r="L13" s="133">
        <f>+'ex BH PW'!T16</f>
        <v>0</v>
      </c>
      <c r="M13" s="133">
        <f>+'ex BH PW'!U16</f>
        <v>0</v>
      </c>
      <c r="N13" s="133">
        <f>+'ex BH PW'!V16</f>
        <v>0</v>
      </c>
      <c r="O13" s="133">
        <f>+'ex BH PW'!W16</f>
        <v>0</v>
      </c>
      <c r="P13" s="133">
        <f>+'ex BH PW'!X16</f>
        <v>0</v>
      </c>
      <c r="Q13" s="133">
        <f>+'ex BH PW'!Y16</f>
        <v>0</v>
      </c>
      <c r="R13" s="133">
        <f>+'ex BH PW'!Z16</f>
        <v>0</v>
      </c>
      <c r="S13" s="133">
        <f>+'ex BH PW'!AA16</f>
        <v>0</v>
      </c>
      <c r="T13" s="133">
        <f>+'ex BH PW'!AB16</f>
        <v>0</v>
      </c>
      <c r="U13" s="133">
        <f>+'ex BH PW'!AC16</f>
        <v>0</v>
      </c>
      <c r="V13" s="133">
        <f>+'ex BH PW'!AD16</f>
        <v>0</v>
      </c>
      <c r="W13" s="133">
        <f>+'ex BH PW'!AE16</f>
        <v>0</v>
      </c>
      <c r="X13" s="133">
        <f>+'ex BH PW'!AF16</f>
        <v>0</v>
      </c>
      <c r="Y13" s="133">
        <f>+'ex BH PW'!AG16</f>
        <v>0</v>
      </c>
      <c r="Z13" s="133">
        <f>+'ex BH PW'!AH16</f>
        <v>0</v>
      </c>
    </row>
    <row r="14" spans="1:26" x14ac:dyDescent="0.25">
      <c r="A14" s="132" t="str">
        <f>+'ex BH PW'!H18</f>
        <v>Amex</v>
      </c>
      <c r="B14" s="133" t="str">
        <f>+'ex BH PW'!J18</f>
        <v>55956</v>
      </c>
      <c r="C14" s="133">
        <f>+'ex BH PW'!I18</f>
        <v>0</v>
      </c>
      <c r="D14" s="133">
        <f>+'ex BH PW'!K18</f>
        <v>0</v>
      </c>
      <c r="E14" s="133">
        <f>+'ex BH PW'!L18</f>
        <v>0</v>
      </c>
      <c r="F14" s="133">
        <f>+'ex BH PW'!M18</f>
        <v>0</v>
      </c>
      <c r="G14" s="133">
        <f>+'ex BH PW'!N18</f>
        <v>0</v>
      </c>
      <c r="H14" s="133">
        <f>+'ex BH PW'!P18</f>
        <v>0</v>
      </c>
      <c r="I14" s="133">
        <f>+'ex BH PW'!Q18</f>
        <v>0</v>
      </c>
      <c r="J14" s="133">
        <f>+'ex BH PW'!R18</f>
        <v>0</v>
      </c>
      <c r="K14" s="133">
        <f>+'ex BH PW'!S18</f>
        <v>0</v>
      </c>
      <c r="L14" s="133">
        <f>+'ex BH PW'!T18</f>
        <v>0</v>
      </c>
      <c r="M14" s="133">
        <f>+'ex BH PW'!U18</f>
        <v>0</v>
      </c>
      <c r="N14" s="133">
        <f>+'ex BH PW'!V18</f>
        <v>0</v>
      </c>
      <c r="O14" s="133">
        <f>+'ex BH PW'!W18</f>
        <v>0</v>
      </c>
      <c r="P14" s="133">
        <f>+'ex BH PW'!X18</f>
        <v>0</v>
      </c>
      <c r="Q14" s="133">
        <f>+'ex BH PW'!Y18</f>
        <v>0</v>
      </c>
      <c r="R14" s="133">
        <f>+'ex BH PW'!Z18</f>
        <v>0</v>
      </c>
      <c r="S14" s="133">
        <f>+'ex BH PW'!AA18</f>
        <v>0</v>
      </c>
      <c r="T14" s="133">
        <f>+'ex BH PW'!AB18</f>
        <v>0</v>
      </c>
      <c r="U14" s="133">
        <f>+'ex BH PW'!AC18</f>
        <v>0</v>
      </c>
      <c r="V14" s="133">
        <f>+'ex BH PW'!AD18</f>
        <v>0</v>
      </c>
      <c r="W14" s="133">
        <f>+'ex BH PW'!AE18</f>
        <v>0</v>
      </c>
      <c r="X14" s="133">
        <f>+'ex BH PW'!AF18</f>
        <v>0</v>
      </c>
      <c r="Y14" s="133">
        <f>+'ex BH PW'!AG18</f>
        <v>0</v>
      </c>
      <c r="Z14" s="133">
        <f>+'ex BH PW'!AH18</f>
        <v>0</v>
      </c>
    </row>
    <row r="15" spans="1:26" x14ac:dyDescent="0.25">
      <c r="A15" s="132" t="str">
        <f>+'ex BH PW'!H19</f>
        <v>Ammerländer</v>
      </c>
      <c r="B15" s="133" t="str">
        <f>+'ex BH PW'!J19</f>
        <v>24600</v>
      </c>
      <c r="C15" s="133" t="str">
        <f>+'ex BH PW'!I19</f>
        <v>24600</v>
      </c>
      <c r="D15" s="133">
        <f>+'ex BH PW'!K19</f>
        <v>0</v>
      </c>
      <c r="E15" s="133">
        <f>+'ex BH PW'!L19</f>
        <v>0</v>
      </c>
      <c r="F15" s="133">
        <f>+'ex BH PW'!M19</f>
        <v>0</v>
      </c>
      <c r="G15" s="133">
        <f>+'ex BH PW'!N19</f>
        <v>0</v>
      </c>
      <c r="H15" s="133">
        <f>+'ex BH PW'!P19</f>
        <v>0</v>
      </c>
      <c r="I15" s="133">
        <f>+'ex BH PW'!Q19</f>
        <v>0</v>
      </c>
      <c r="J15" s="133">
        <f>+'ex BH PW'!R19</f>
        <v>0</v>
      </c>
      <c r="K15" s="133">
        <f>+'ex BH PW'!S19</f>
        <v>0</v>
      </c>
      <c r="L15" s="133">
        <f>+'ex BH PW'!T19</f>
        <v>0</v>
      </c>
      <c r="M15" s="133">
        <f>+'ex BH PW'!U19</f>
        <v>0</v>
      </c>
      <c r="N15" s="133">
        <f>+'ex BH PW'!V19</f>
        <v>0</v>
      </c>
      <c r="O15" s="133">
        <f>+'ex BH PW'!W19</f>
        <v>0</v>
      </c>
      <c r="P15" s="133">
        <f>+'ex BH PW'!X19</f>
        <v>0</v>
      </c>
      <c r="Q15" s="133">
        <f>+'ex BH PW'!Y19</f>
        <v>0</v>
      </c>
      <c r="R15" s="133">
        <f>+'ex BH PW'!Z19</f>
        <v>0</v>
      </c>
      <c r="S15" s="133">
        <f>+'ex BH PW'!AA19</f>
        <v>0</v>
      </c>
      <c r="T15" s="133">
        <f>+'ex BH PW'!AB19</f>
        <v>0</v>
      </c>
      <c r="U15" s="133">
        <f>+'ex BH PW'!AC19</f>
        <v>0</v>
      </c>
      <c r="V15" s="133">
        <f>+'ex BH PW'!AD19</f>
        <v>0</v>
      </c>
      <c r="W15" s="133">
        <f>+'ex BH PW'!AE19</f>
        <v>0</v>
      </c>
      <c r="X15" s="133">
        <f>+'ex BH PW'!AF19</f>
        <v>0</v>
      </c>
      <c r="Y15" s="133">
        <f>+'ex BH PW'!AG19</f>
        <v>0</v>
      </c>
      <c r="Z15" s="133">
        <f>+'ex BH PW'!AH19</f>
        <v>0</v>
      </c>
    </row>
    <row r="16" spans="1:26" x14ac:dyDescent="0.25">
      <c r="A16" s="132" t="str">
        <f>+'ex BH PW'!H20</f>
        <v>Ammerländer</v>
      </c>
      <c r="B16" s="133">
        <f>+'ex BH PW'!J20</f>
        <v>0</v>
      </c>
      <c r="C16" s="133" t="str">
        <f>+'ex BH PW'!I20</f>
        <v>24600</v>
      </c>
      <c r="D16" s="133">
        <f>+'ex BH PW'!K20</f>
        <v>0</v>
      </c>
      <c r="E16" s="133">
        <f>+'ex BH PW'!L20</f>
        <v>0</v>
      </c>
      <c r="F16" s="133">
        <f>+'ex BH PW'!M20</f>
        <v>0</v>
      </c>
      <c r="G16" s="133">
        <f>+'ex BH PW'!N20</f>
        <v>0</v>
      </c>
      <c r="H16" s="133">
        <f>+'ex BH PW'!P20</f>
        <v>0</v>
      </c>
      <c r="I16" s="133">
        <f>+'ex BH PW'!Q20</f>
        <v>0</v>
      </c>
      <c r="J16" s="133">
        <f>+'ex BH PW'!R20</f>
        <v>0</v>
      </c>
      <c r="K16" s="133">
        <f>+'ex BH PW'!S20</f>
        <v>0</v>
      </c>
      <c r="L16" s="133">
        <f>+'ex BH PW'!T20</f>
        <v>0</v>
      </c>
      <c r="M16" s="133">
        <f>+'ex BH PW'!U20</f>
        <v>0</v>
      </c>
      <c r="N16" s="133">
        <f>+'ex BH PW'!V20</f>
        <v>0</v>
      </c>
      <c r="O16" s="133">
        <f>+'ex BH PW'!W20</f>
        <v>0</v>
      </c>
      <c r="P16" s="133">
        <f>+'ex BH PW'!X20</f>
        <v>0</v>
      </c>
      <c r="Q16" s="133">
        <f>+'ex BH PW'!Y20</f>
        <v>0</v>
      </c>
      <c r="R16" s="133">
        <f>+'ex BH PW'!Z20</f>
        <v>0</v>
      </c>
      <c r="S16" s="133">
        <f>+'ex BH PW'!AA20</f>
        <v>0</v>
      </c>
      <c r="T16" s="133">
        <f>+'ex BH PW'!AB20</f>
        <v>0</v>
      </c>
      <c r="U16" s="133">
        <f>+'ex BH PW'!AC20</f>
        <v>0</v>
      </c>
      <c r="V16" s="133">
        <f>+'ex BH PW'!AD20</f>
        <v>0</v>
      </c>
      <c r="W16" s="133">
        <f>+'ex BH PW'!AE20</f>
        <v>0</v>
      </c>
      <c r="X16" s="133">
        <f>+'ex BH PW'!AF20</f>
        <v>0</v>
      </c>
      <c r="Y16" s="133">
        <f>+'ex BH PW'!AG20</f>
        <v>0</v>
      </c>
      <c r="Z16" s="133">
        <f>+'ex BH PW'!AH20</f>
        <v>0</v>
      </c>
    </row>
    <row r="17" spans="1:26" x14ac:dyDescent="0.25">
      <c r="A17" s="132" t="str">
        <f>+'ex BH PW'!H22</f>
        <v>Apella</v>
      </c>
      <c r="B17" s="133" t="str">
        <f>+'ex BH PW'!J22</f>
        <v>05065</v>
      </c>
      <c r="C17" s="133">
        <f>+'ex BH PW'!I22</f>
        <v>0</v>
      </c>
      <c r="D17" s="133">
        <f>+'ex BH PW'!K22</f>
        <v>0</v>
      </c>
      <c r="E17" s="133">
        <f>+'ex BH PW'!L22</f>
        <v>0</v>
      </c>
      <c r="F17" s="133">
        <f>+'ex BH PW'!M22</f>
        <v>0</v>
      </c>
      <c r="G17" s="133">
        <f>+'ex BH PW'!N22</f>
        <v>0</v>
      </c>
      <c r="H17" s="133">
        <f>+'ex BH PW'!P22</f>
        <v>0</v>
      </c>
      <c r="I17" s="133">
        <f>+'ex BH PW'!Q22</f>
        <v>0</v>
      </c>
      <c r="J17" s="133">
        <f>+'ex BH PW'!R22</f>
        <v>0</v>
      </c>
      <c r="K17" s="133">
        <f>+'ex BH PW'!S22</f>
        <v>0</v>
      </c>
      <c r="L17" s="133">
        <f>+'ex BH PW'!T22</f>
        <v>0</v>
      </c>
      <c r="M17" s="133">
        <f>+'ex BH PW'!U22</f>
        <v>0</v>
      </c>
      <c r="N17" s="133">
        <f>+'ex BH PW'!V22</f>
        <v>0</v>
      </c>
      <c r="O17" s="133">
        <f>+'ex BH PW'!W22</f>
        <v>0</v>
      </c>
      <c r="P17" s="133">
        <f>+'ex BH PW'!X22</f>
        <v>0</v>
      </c>
      <c r="Q17" s="133">
        <f>+'ex BH PW'!Y22</f>
        <v>0</v>
      </c>
      <c r="R17" s="133">
        <f>+'ex BH PW'!Z22</f>
        <v>0</v>
      </c>
      <c r="S17" s="133">
        <f>+'ex BH PW'!AA22</f>
        <v>0</v>
      </c>
      <c r="T17" s="133">
        <f>+'ex BH PW'!AB22</f>
        <v>0</v>
      </c>
      <c r="U17" s="133">
        <f>+'ex BH PW'!AC22</f>
        <v>0</v>
      </c>
      <c r="V17" s="133">
        <f>+'ex BH PW'!AD22</f>
        <v>0</v>
      </c>
      <c r="W17" s="133">
        <f>+'ex BH PW'!AE22</f>
        <v>0</v>
      </c>
      <c r="X17" s="133">
        <f>+'ex BH PW'!AF22</f>
        <v>0</v>
      </c>
      <c r="Y17" s="133">
        <f>+'ex BH PW'!AG22</f>
        <v>0</v>
      </c>
      <c r="Z17" s="133">
        <f>+'ex BH PW'!AH22</f>
        <v>0</v>
      </c>
    </row>
    <row r="18" spans="1:26" x14ac:dyDescent="0.25">
      <c r="A18" s="132" t="str">
        <f>+'ex BH PW'!H23</f>
        <v>Apella</v>
      </c>
      <c r="B18" s="133">
        <f>+'ex BH PW'!J23</f>
        <v>0</v>
      </c>
      <c r="C18" s="133">
        <f>+'ex BH PW'!I23</f>
        <v>0</v>
      </c>
      <c r="D18" s="133">
        <f>+'ex BH PW'!K23</f>
        <v>0</v>
      </c>
      <c r="E18" s="133">
        <f>+'ex BH PW'!L23</f>
        <v>0</v>
      </c>
      <c r="F18" s="133">
        <f>+'ex BH PW'!M23</f>
        <v>0</v>
      </c>
      <c r="G18" s="133">
        <f>+'ex BH PW'!N23</f>
        <v>0</v>
      </c>
      <c r="H18" s="133">
        <f>+'ex BH PW'!P23</f>
        <v>0</v>
      </c>
      <c r="I18" s="133">
        <f>+'ex BH PW'!Q23</f>
        <v>0</v>
      </c>
      <c r="J18" s="133">
        <f>+'ex BH PW'!R23</f>
        <v>0</v>
      </c>
      <c r="K18" s="133">
        <f>+'ex BH PW'!S23</f>
        <v>0</v>
      </c>
      <c r="L18" s="133">
        <f>+'ex BH PW'!T23</f>
        <v>0</v>
      </c>
      <c r="M18" s="133">
        <f>+'ex BH PW'!U23</f>
        <v>0</v>
      </c>
      <c r="N18" s="133">
        <f>+'ex BH PW'!V23</f>
        <v>0</v>
      </c>
      <c r="O18" s="133">
        <f>+'ex BH PW'!W23</f>
        <v>0</v>
      </c>
      <c r="P18" s="133">
        <f>+'ex BH PW'!X23</f>
        <v>0</v>
      </c>
      <c r="Q18" s="133">
        <f>+'ex BH PW'!Y23</f>
        <v>0</v>
      </c>
      <c r="R18" s="133">
        <f>+'ex BH PW'!Z23</f>
        <v>0</v>
      </c>
      <c r="S18" s="133">
        <f>+'ex BH PW'!AA23</f>
        <v>0</v>
      </c>
      <c r="T18" s="133">
        <f>+'ex BH PW'!AB23</f>
        <v>0</v>
      </c>
      <c r="U18" s="133">
        <f>+'ex BH PW'!AC23</f>
        <v>0</v>
      </c>
      <c r="V18" s="133">
        <f>+'ex BH PW'!AD23</f>
        <v>0</v>
      </c>
      <c r="W18" s="133">
        <f>+'ex BH PW'!AE23</f>
        <v>0</v>
      </c>
      <c r="X18" s="133">
        <f>+'ex BH PW'!AF23</f>
        <v>0</v>
      </c>
      <c r="Y18" s="133">
        <f>+'ex BH PW'!AG23</f>
        <v>0</v>
      </c>
      <c r="Z18" s="133">
        <f>+'ex BH PW'!AH23</f>
        <v>0</v>
      </c>
    </row>
    <row r="19" spans="1:26" x14ac:dyDescent="0.25">
      <c r="A19" s="132" t="str">
        <f>+'ex BH PW'!H24</f>
        <v>ARAG Krankenversicherungen</v>
      </c>
      <c r="B19" s="133" t="str">
        <f>+'ex BH PW'!J24</f>
        <v>643/060344</v>
      </c>
      <c r="C19" s="133">
        <f>+'ex BH PW'!I24</f>
        <v>60344</v>
      </c>
      <c r="D19" s="133">
        <f>+'ex BH PW'!K24</f>
        <v>0</v>
      </c>
      <c r="E19" s="133">
        <f>+'ex BH PW'!L24</f>
        <v>0</v>
      </c>
      <c r="F19" s="133">
        <f>+'ex BH PW'!M24</f>
        <v>0</v>
      </c>
      <c r="G19" s="133">
        <f>+'ex BH PW'!N24</f>
        <v>0</v>
      </c>
      <c r="H19" s="133">
        <f>+'ex BH PW'!P24</f>
        <v>0</v>
      </c>
      <c r="I19" s="133">
        <f>+'ex BH PW'!Q24</f>
        <v>0</v>
      </c>
      <c r="J19" s="133">
        <f>+'ex BH PW'!R24</f>
        <v>0</v>
      </c>
      <c r="K19" s="133">
        <f>+'ex BH PW'!S24</f>
        <v>0</v>
      </c>
      <c r="L19" s="133">
        <f>+'ex BH PW'!T24</f>
        <v>0</v>
      </c>
      <c r="M19" s="133">
        <f>+'ex BH PW'!U24</f>
        <v>0</v>
      </c>
      <c r="N19" s="133">
        <f>+'ex BH PW'!V24</f>
        <v>0</v>
      </c>
      <c r="O19" s="133">
        <f>+'ex BH PW'!W24</f>
        <v>0</v>
      </c>
      <c r="P19" s="133">
        <f>+'ex BH PW'!X24</f>
        <v>0</v>
      </c>
      <c r="Q19" s="133">
        <f>+'ex BH PW'!Y24</f>
        <v>0</v>
      </c>
      <c r="R19" s="133">
        <f>+'ex BH PW'!Z24</f>
        <v>0</v>
      </c>
      <c r="S19" s="133">
        <f>+'ex BH PW'!AA24</f>
        <v>0</v>
      </c>
      <c r="T19" s="133">
        <f>+'ex BH PW'!AB24</f>
        <v>0</v>
      </c>
      <c r="U19" s="133">
        <f>+'ex BH PW'!AC24</f>
        <v>0</v>
      </c>
      <c r="V19" s="133">
        <f>+'ex BH PW'!AD24</f>
        <v>0</v>
      </c>
      <c r="W19" s="133">
        <f>+'ex BH PW'!AE24</f>
        <v>0</v>
      </c>
      <c r="X19" s="133">
        <f>+'ex BH PW'!AF24</f>
        <v>0</v>
      </c>
      <c r="Y19" s="133">
        <f>+'ex BH PW'!AG24</f>
        <v>0</v>
      </c>
      <c r="Z19" s="133">
        <f>+'ex BH PW'!AH24</f>
        <v>0</v>
      </c>
    </row>
    <row r="20" spans="1:26" x14ac:dyDescent="0.25">
      <c r="A20" s="132" t="str">
        <f>+'ex BH PW'!H25</f>
        <v>ARAG Rechtsschutzversicherung</v>
      </c>
      <c r="B20" s="133" t="str">
        <f>+'ex BH PW'!J25</f>
        <v>643/AA2481-3</v>
      </c>
      <c r="C20" s="133" t="str">
        <f>+'ex BH PW'!I25</f>
        <v>AA2481-3</v>
      </c>
      <c r="D20" s="133">
        <f>+'ex BH PW'!K25</f>
        <v>0</v>
      </c>
      <c r="E20" s="133" t="str">
        <f>+'ex BH PW'!L25</f>
        <v>7975101</v>
      </c>
      <c r="F20" s="133">
        <f>+'ex BH PW'!M25</f>
        <v>0</v>
      </c>
      <c r="G20" s="133">
        <f>+'ex BH PW'!N25</f>
        <v>0</v>
      </c>
      <c r="H20" s="133">
        <f>+'ex BH PW'!P25</f>
        <v>0</v>
      </c>
      <c r="I20" s="133">
        <f>+'ex BH PW'!Q25</f>
        <v>0</v>
      </c>
      <c r="J20" s="133">
        <f>+'ex BH PW'!R25</f>
        <v>0</v>
      </c>
      <c r="K20" s="133">
        <f>+'ex BH PW'!S25</f>
        <v>0</v>
      </c>
      <c r="L20" s="133">
        <f>+'ex BH PW'!T25</f>
        <v>0</v>
      </c>
      <c r="M20" s="133">
        <f>+'ex BH PW'!U25</f>
        <v>0</v>
      </c>
      <c r="N20" s="133">
        <f>+'ex BH PW'!V25</f>
        <v>0</v>
      </c>
      <c r="O20" s="133">
        <f>+'ex BH PW'!W25</f>
        <v>0</v>
      </c>
      <c r="P20" s="133">
        <f>+'ex BH PW'!X25</f>
        <v>0</v>
      </c>
      <c r="Q20" s="133">
        <f>+'ex BH PW'!Y25</f>
        <v>0</v>
      </c>
      <c r="R20" s="133">
        <f>+'ex BH PW'!Z25</f>
        <v>0</v>
      </c>
      <c r="S20" s="133">
        <f>+'ex BH PW'!AA25</f>
        <v>0</v>
      </c>
      <c r="T20" s="133">
        <f>+'ex BH PW'!AB25</f>
        <v>0</v>
      </c>
      <c r="U20" s="133">
        <f>+'ex BH PW'!AC25</f>
        <v>0</v>
      </c>
      <c r="V20" s="133">
        <f>+'ex BH PW'!AD25</f>
        <v>0</v>
      </c>
      <c r="W20" s="133">
        <f>+'ex BH PW'!AE25</f>
        <v>0</v>
      </c>
      <c r="X20" s="133">
        <f>+'ex BH PW'!AF25</f>
        <v>0</v>
      </c>
      <c r="Y20" s="133">
        <f>+'ex BH PW'!AG25</f>
        <v>0</v>
      </c>
      <c r="Z20" s="133">
        <f>+'ex BH PW'!AH25</f>
        <v>0</v>
      </c>
    </row>
    <row r="21" spans="1:26" x14ac:dyDescent="0.25">
      <c r="A21" s="132" t="str">
        <f>+'ex BH PW'!H26</f>
        <v>ARAG Versicherungen</v>
      </c>
      <c r="B21" s="133" t="str">
        <f>+'ex BH PW'!J26</f>
        <v>643/AA2481-3</v>
      </c>
      <c r="C21" s="133" t="str">
        <f>+'ex BH PW'!I26</f>
        <v>AA2481-3</v>
      </c>
      <c r="D21" s="133">
        <f>+'ex BH PW'!K26</f>
        <v>0</v>
      </c>
      <c r="E21" s="133">
        <f>+'ex BH PW'!L26</f>
        <v>0</v>
      </c>
      <c r="F21" s="133">
        <f>+'ex BH PW'!M26</f>
        <v>0</v>
      </c>
      <c r="G21" s="133">
        <f>+'ex BH PW'!N26</f>
        <v>0</v>
      </c>
      <c r="H21" s="133">
        <f>+'ex BH PW'!P26</f>
        <v>0</v>
      </c>
      <c r="I21" s="133">
        <f>+'ex BH PW'!Q26</f>
        <v>0</v>
      </c>
      <c r="J21" s="133">
        <f>+'ex BH PW'!R26</f>
        <v>0</v>
      </c>
      <c r="K21" s="133">
        <f>+'ex BH PW'!S26</f>
        <v>0</v>
      </c>
      <c r="L21" s="133">
        <f>+'ex BH PW'!T26</f>
        <v>0</v>
      </c>
      <c r="M21" s="133">
        <f>+'ex BH PW'!U26</f>
        <v>0</v>
      </c>
      <c r="N21" s="133">
        <f>+'ex BH PW'!V26</f>
        <v>0</v>
      </c>
      <c r="O21" s="133">
        <f>+'ex BH PW'!W26</f>
        <v>0</v>
      </c>
      <c r="P21" s="133">
        <f>+'ex BH PW'!X26</f>
        <v>0</v>
      </c>
      <c r="Q21" s="133">
        <f>+'ex BH PW'!Y26</f>
        <v>0</v>
      </c>
      <c r="R21" s="133">
        <f>+'ex BH PW'!Z26</f>
        <v>0</v>
      </c>
      <c r="S21" s="133">
        <f>+'ex BH PW'!AA26</f>
        <v>0</v>
      </c>
      <c r="T21" s="133">
        <f>+'ex BH PW'!AB26</f>
        <v>0</v>
      </c>
      <c r="U21" s="133">
        <f>+'ex BH PW'!AC26</f>
        <v>0</v>
      </c>
      <c r="V21" s="133">
        <f>+'ex BH PW'!AD26</f>
        <v>0</v>
      </c>
      <c r="W21" s="133">
        <f>+'ex BH PW'!AE26</f>
        <v>0</v>
      </c>
      <c r="X21" s="133">
        <f>+'ex BH PW'!AF26</f>
        <v>0</v>
      </c>
      <c r="Y21" s="133">
        <f>+'ex BH PW'!AG26</f>
        <v>0</v>
      </c>
      <c r="Z21" s="133">
        <f>+'ex BH PW'!AH26</f>
        <v>0</v>
      </c>
    </row>
    <row r="22" spans="1:26" x14ac:dyDescent="0.25">
      <c r="A22" s="132" t="str">
        <f>+'ex BH PW'!H27</f>
        <v>ASC</v>
      </c>
      <c r="B22" s="133" t="str">
        <f>+'ex BH PW'!J27</f>
        <v>89299</v>
      </c>
      <c r="C22" s="133">
        <f>+'ex BH PW'!I27</f>
        <v>0</v>
      </c>
      <c r="D22" s="133">
        <f>+'ex BH PW'!K27</f>
        <v>0</v>
      </c>
      <c r="E22" s="133">
        <f>+'ex BH PW'!L27</f>
        <v>0</v>
      </c>
      <c r="F22" s="133">
        <f>+'ex BH PW'!M27</f>
        <v>0</v>
      </c>
      <c r="G22" s="133">
        <f>+'ex BH PW'!N27</f>
        <v>0</v>
      </c>
      <c r="H22" s="133">
        <f>+'ex BH PW'!P27</f>
        <v>0</v>
      </c>
      <c r="I22" s="133">
        <f>+'ex BH PW'!Q27</f>
        <v>0</v>
      </c>
      <c r="J22" s="133">
        <f>+'ex BH PW'!R27</f>
        <v>0</v>
      </c>
      <c r="K22" s="133">
        <f>+'ex BH PW'!S27</f>
        <v>0</v>
      </c>
      <c r="L22" s="133">
        <f>+'ex BH PW'!T27</f>
        <v>0</v>
      </c>
      <c r="M22" s="133">
        <f>+'ex BH PW'!U27</f>
        <v>0</v>
      </c>
      <c r="N22" s="133">
        <f>+'ex BH PW'!V27</f>
        <v>0</v>
      </c>
      <c r="O22" s="133">
        <f>+'ex BH PW'!W27</f>
        <v>0</v>
      </c>
      <c r="P22" s="133">
        <f>+'ex BH PW'!X27</f>
        <v>0</v>
      </c>
      <c r="Q22" s="133">
        <f>+'ex BH PW'!Y27</f>
        <v>0</v>
      </c>
      <c r="R22" s="133">
        <f>+'ex BH PW'!Z27</f>
        <v>0</v>
      </c>
      <c r="S22" s="133">
        <f>+'ex BH PW'!AA27</f>
        <v>0</v>
      </c>
      <c r="T22" s="133">
        <f>+'ex BH PW'!AB27</f>
        <v>0</v>
      </c>
      <c r="U22" s="133">
        <f>+'ex BH PW'!AC27</f>
        <v>0</v>
      </c>
      <c r="V22" s="133">
        <f>+'ex BH PW'!AD27</f>
        <v>0</v>
      </c>
      <c r="W22" s="133">
        <f>+'ex BH PW'!AE27</f>
        <v>0</v>
      </c>
      <c r="X22" s="133">
        <f>+'ex BH PW'!AF27</f>
        <v>0</v>
      </c>
      <c r="Y22" s="133">
        <f>+'ex BH PW'!AG27</f>
        <v>0</v>
      </c>
      <c r="Z22" s="133">
        <f>+'ex BH PW'!AH27</f>
        <v>0</v>
      </c>
    </row>
    <row r="23" spans="1:26" x14ac:dyDescent="0.25">
      <c r="A23" s="132" t="str">
        <f>+'ex BH PW'!H28</f>
        <v>Athora (alt Athene ;Delta Lloyd)</v>
      </c>
      <c r="B23" s="133" t="str">
        <f>+'ex BH PW'!J28</f>
        <v>4187038</v>
      </c>
      <c r="C23" s="133">
        <f>+'ex BH PW'!I28</f>
        <v>0</v>
      </c>
      <c r="D23" s="133">
        <f>+'ex BH PW'!K28</f>
        <v>0</v>
      </c>
      <c r="E23" s="133">
        <f>+'ex BH PW'!L28</f>
        <v>0</v>
      </c>
      <c r="F23" s="133">
        <f>+'ex BH PW'!M28</f>
        <v>0</v>
      </c>
      <c r="G23" s="133">
        <f>+'ex BH PW'!N28</f>
        <v>0</v>
      </c>
      <c r="H23" s="133">
        <f>+'ex BH PW'!P28</f>
        <v>0</v>
      </c>
      <c r="I23" s="133">
        <f>+'ex BH PW'!Q28</f>
        <v>0</v>
      </c>
      <c r="J23" s="133">
        <f>+'ex BH PW'!R28</f>
        <v>0</v>
      </c>
      <c r="K23" s="133">
        <f>+'ex BH PW'!S28</f>
        <v>0</v>
      </c>
      <c r="L23" s="133">
        <f>+'ex BH PW'!T28</f>
        <v>0</v>
      </c>
      <c r="M23" s="133">
        <f>+'ex BH PW'!U28</f>
        <v>0</v>
      </c>
      <c r="N23" s="133">
        <f>+'ex BH PW'!V28</f>
        <v>0</v>
      </c>
      <c r="O23" s="133">
        <f>+'ex BH PW'!W28</f>
        <v>0</v>
      </c>
      <c r="P23" s="133">
        <f>+'ex BH PW'!X28</f>
        <v>0</v>
      </c>
      <c r="Q23" s="133">
        <f>+'ex BH PW'!Y28</f>
        <v>0</v>
      </c>
      <c r="R23" s="133">
        <f>+'ex BH PW'!Z28</f>
        <v>0</v>
      </c>
      <c r="S23" s="133">
        <f>+'ex BH PW'!AA28</f>
        <v>0</v>
      </c>
      <c r="T23" s="133">
        <f>+'ex BH PW'!AB28</f>
        <v>0</v>
      </c>
      <c r="U23" s="133">
        <f>+'ex BH PW'!AC28</f>
        <v>0</v>
      </c>
      <c r="V23" s="133">
        <f>+'ex BH PW'!AD28</f>
        <v>0</v>
      </c>
      <c r="W23" s="133">
        <f>+'ex BH PW'!AE28</f>
        <v>0</v>
      </c>
      <c r="X23" s="133">
        <f>+'ex BH PW'!AF28</f>
        <v>0</v>
      </c>
      <c r="Y23" s="133">
        <f>+'ex BH PW'!AG28</f>
        <v>0</v>
      </c>
      <c r="Z23" s="133">
        <f>+'ex BH PW'!AH28</f>
        <v>0</v>
      </c>
    </row>
    <row r="24" spans="1:26" x14ac:dyDescent="0.25">
      <c r="A24" s="132" t="str">
        <f>+'ex BH PW'!H29</f>
        <v>AUXILIA Rechtsschutz-Versicherungs AG</v>
      </c>
      <c r="B24" s="133" t="str">
        <f>+'ex BH PW'!J29</f>
        <v>107175</v>
      </c>
      <c r="C24" s="133" t="str">
        <f>+'ex BH PW'!I29</f>
        <v>107175</v>
      </c>
      <c r="D24" s="133">
        <f>+'ex BH PW'!K29</f>
        <v>0</v>
      </c>
      <c r="E24" s="133" t="str">
        <f>+'ex BH PW'!L29</f>
        <v>108980</v>
      </c>
      <c r="F24" s="133">
        <f>+'ex BH PW'!M29</f>
        <v>0</v>
      </c>
      <c r="G24" s="133">
        <f>+'ex BH PW'!N29</f>
        <v>0</v>
      </c>
      <c r="H24" s="133">
        <f>+'ex BH PW'!P29</f>
        <v>0</v>
      </c>
      <c r="I24" s="133">
        <f>+'ex BH PW'!Q29</f>
        <v>0</v>
      </c>
      <c r="J24" s="133">
        <f>+'ex BH PW'!R29</f>
        <v>0</v>
      </c>
      <c r="K24" s="133">
        <f>+'ex BH PW'!S29</f>
        <v>0</v>
      </c>
      <c r="L24" s="133" t="str">
        <f>+'ex BH PW'!T29</f>
        <v>112366</v>
      </c>
      <c r="M24" s="133">
        <f>+'ex BH PW'!U29</f>
        <v>0</v>
      </c>
      <c r="N24" s="133">
        <f>+'ex BH PW'!V29</f>
        <v>0</v>
      </c>
      <c r="O24" s="133">
        <f>+'ex BH PW'!W29</f>
        <v>0</v>
      </c>
      <c r="P24" s="133">
        <f>+'ex BH PW'!X29</f>
        <v>0</v>
      </c>
      <c r="Q24" s="133">
        <f>+'ex BH PW'!Y29</f>
        <v>0</v>
      </c>
      <c r="R24" s="133">
        <f>+'ex BH PW'!Z29</f>
        <v>0</v>
      </c>
      <c r="S24" s="133">
        <f>+'ex BH PW'!AA29</f>
        <v>0</v>
      </c>
      <c r="T24" s="133">
        <f>+'ex BH PW'!AB29</f>
        <v>0</v>
      </c>
      <c r="U24" s="133">
        <f>+'ex BH PW'!AC29</f>
        <v>0</v>
      </c>
      <c r="V24" s="133">
        <f>+'ex BH PW'!AD29</f>
        <v>0</v>
      </c>
      <c r="W24" s="133">
        <f>+'ex BH PW'!AE29</f>
        <v>0</v>
      </c>
      <c r="X24" s="133">
        <f>+'ex BH PW'!AF29</f>
        <v>0</v>
      </c>
      <c r="Y24" s="133">
        <f>+'ex BH PW'!AG29</f>
        <v>0</v>
      </c>
      <c r="Z24" s="133">
        <f>+'ex BH PW'!AH29</f>
        <v>0</v>
      </c>
    </row>
    <row r="25" spans="1:26" x14ac:dyDescent="0.25">
      <c r="A25" s="132" t="str">
        <f>+'ex BH PW'!H30</f>
        <v>AXA (Innendienst) Kfz</v>
      </c>
      <c r="B25" s="133">
        <f>+'ex BH PW'!J30</f>
        <v>0</v>
      </c>
      <c r="C25" s="133">
        <f>+'ex BH PW'!I30</f>
        <v>0</v>
      </c>
      <c r="D25" s="133">
        <f>+'ex BH PW'!K30</f>
        <v>0</v>
      </c>
      <c r="E25" s="133">
        <f>+'ex BH PW'!L30</f>
        <v>0</v>
      </c>
      <c r="F25" s="133">
        <f>+'ex BH PW'!M30</f>
        <v>0</v>
      </c>
      <c r="G25" s="133">
        <f>+'ex BH PW'!N30</f>
        <v>0</v>
      </c>
      <c r="H25" s="133" t="str">
        <f>+'ex BH PW'!P30</f>
        <v>10/48/00/1783</v>
      </c>
      <c r="I25" s="133" t="str">
        <f>+'ex BH PW'!Q30</f>
        <v>10/48/00/1778</v>
      </c>
      <c r="J25" s="133">
        <f>+'ex BH PW'!R30</f>
        <v>0</v>
      </c>
      <c r="K25" s="133">
        <f>+'ex BH PW'!S30</f>
        <v>0</v>
      </c>
      <c r="L25" s="133">
        <f>+'ex BH PW'!T30</f>
        <v>0</v>
      </c>
      <c r="M25" s="133">
        <f>+'ex BH PW'!U30</f>
        <v>0</v>
      </c>
      <c r="N25" s="133">
        <f>+'ex BH PW'!V30</f>
        <v>0</v>
      </c>
      <c r="O25" s="133">
        <f>+'ex BH PW'!W30</f>
        <v>0</v>
      </c>
      <c r="P25" s="133">
        <f>+'ex BH PW'!X30</f>
        <v>0</v>
      </c>
      <c r="Q25" s="133">
        <f>+'ex BH PW'!Y30</f>
        <v>0</v>
      </c>
      <c r="R25" s="133">
        <f>+'ex BH PW'!Z30</f>
        <v>0</v>
      </c>
      <c r="S25" s="133">
        <f>+'ex BH PW'!AA30</f>
        <v>0</v>
      </c>
      <c r="T25" s="133">
        <f>+'ex BH PW'!AB30</f>
        <v>0</v>
      </c>
      <c r="U25" s="133">
        <f>+'ex BH PW'!AC30</f>
        <v>0</v>
      </c>
      <c r="V25" s="133">
        <f>+'ex BH PW'!AD30</f>
        <v>0</v>
      </c>
      <c r="W25" s="133">
        <f>+'ex BH PW'!AE30</f>
        <v>0</v>
      </c>
      <c r="X25" s="133">
        <f>+'ex BH PW'!AF30</f>
        <v>0</v>
      </c>
      <c r="Y25" s="133">
        <f>+'ex BH PW'!AG30</f>
        <v>0</v>
      </c>
      <c r="Z25" s="133">
        <f>+'ex BH PW'!AH30</f>
        <v>0</v>
      </c>
    </row>
    <row r="26" spans="1:26" x14ac:dyDescent="0.25">
      <c r="A26" s="132" t="str">
        <f>+'ex BH PW'!H31</f>
        <v>AXA Leben</v>
      </c>
      <c r="B26" s="133" t="str">
        <f>+'ex BH PW'!J31</f>
        <v>10/35/00/6249</v>
      </c>
      <c r="C26" s="133" t="str">
        <f>+'ex BH PW'!I31</f>
        <v>1035006249</v>
      </c>
      <c r="D26" s="133">
        <f>+'ex BH PW'!K31</f>
        <v>0</v>
      </c>
      <c r="E26" s="133">
        <f>+'ex BH PW'!L31</f>
        <v>0</v>
      </c>
      <c r="F26" s="133">
        <f>+'ex BH PW'!M31</f>
        <v>0</v>
      </c>
      <c r="G26" s="133">
        <f>+'ex BH PW'!N31</f>
        <v>0</v>
      </c>
      <c r="H26" s="133">
        <f>+'ex BH PW'!P31</f>
        <v>0</v>
      </c>
      <c r="I26" s="133">
        <f>+'ex BH PW'!Q31</f>
        <v>0</v>
      </c>
      <c r="J26" s="133">
        <f>+'ex BH PW'!R31</f>
        <v>0</v>
      </c>
      <c r="K26" s="133">
        <f>+'ex BH PW'!S31</f>
        <v>0</v>
      </c>
      <c r="L26" s="133">
        <f>+'ex BH PW'!T31</f>
        <v>0</v>
      </c>
      <c r="M26" s="133">
        <f>+'ex BH PW'!U31</f>
        <v>0</v>
      </c>
      <c r="N26" s="133">
        <f>+'ex BH PW'!V31</f>
        <v>0</v>
      </c>
      <c r="O26" s="133">
        <f>+'ex BH PW'!W31</f>
        <v>0</v>
      </c>
      <c r="P26" s="133">
        <f>+'ex BH PW'!X31</f>
        <v>0</v>
      </c>
      <c r="Q26" s="133">
        <f>+'ex BH PW'!Y31</f>
        <v>0</v>
      </c>
      <c r="R26" s="133">
        <f>+'ex BH PW'!Z31</f>
        <v>0</v>
      </c>
      <c r="S26" s="133">
        <f>+'ex BH PW'!AA31</f>
        <v>0</v>
      </c>
      <c r="T26" s="133">
        <f>+'ex BH PW'!AB31</f>
        <v>0</v>
      </c>
      <c r="U26" s="133">
        <f>+'ex BH PW'!AC31</f>
        <v>0</v>
      </c>
      <c r="V26" s="133">
        <f>+'ex BH PW'!AD31</f>
        <v>0</v>
      </c>
      <c r="W26" s="133">
        <f>+'ex BH PW'!AE31</f>
        <v>0</v>
      </c>
      <c r="X26" s="133">
        <f>+'ex BH PW'!AF31</f>
        <v>0</v>
      </c>
      <c r="Y26" s="133">
        <f>+'ex BH PW'!AG31</f>
        <v>0</v>
      </c>
      <c r="Z26" s="133">
        <f>+'ex BH PW'!AH31</f>
        <v>0</v>
      </c>
    </row>
    <row r="27" spans="1:26" x14ac:dyDescent="0.25">
      <c r="A27" s="132" t="str">
        <f>+'ex BH PW'!H32</f>
        <v>AXA Leben (alt  DBV-Leben)</v>
      </c>
      <c r="B27" s="133" t="str">
        <f>+'ex BH PW'!J32</f>
        <v>10/36/00/2754</v>
      </c>
      <c r="C27" s="133">
        <f>+'ex BH PW'!I32</f>
        <v>0</v>
      </c>
      <c r="D27" s="133">
        <f>+'ex BH PW'!K32</f>
        <v>0</v>
      </c>
      <c r="E27" s="133">
        <f>+'ex BH PW'!L32</f>
        <v>0</v>
      </c>
      <c r="F27" s="133">
        <f>+'ex BH PW'!M32</f>
        <v>0</v>
      </c>
      <c r="G27" s="133">
        <f>+'ex BH PW'!N32</f>
        <v>0</v>
      </c>
      <c r="H27" s="133">
        <f>+'ex BH PW'!P32</f>
        <v>0</v>
      </c>
      <c r="I27" s="133">
        <f>+'ex BH PW'!Q32</f>
        <v>0</v>
      </c>
      <c r="J27" s="133">
        <f>+'ex BH PW'!R32</f>
        <v>0</v>
      </c>
      <c r="K27" s="133">
        <f>+'ex BH PW'!S32</f>
        <v>0</v>
      </c>
      <c r="L27" s="133">
        <f>+'ex BH PW'!T32</f>
        <v>0</v>
      </c>
      <c r="M27" s="133">
        <f>+'ex BH PW'!U32</f>
        <v>0</v>
      </c>
      <c r="N27" s="133">
        <f>+'ex BH PW'!V32</f>
        <v>0</v>
      </c>
      <c r="O27" s="133">
        <f>+'ex BH PW'!W32</f>
        <v>0</v>
      </c>
      <c r="P27" s="133">
        <f>+'ex BH PW'!X32</f>
        <v>0</v>
      </c>
      <c r="Q27" s="133">
        <f>+'ex BH PW'!Y32</f>
        <v>0</v>
      </c>
      <c r="R27" s="133">
        <f>+'ex BH PW'!Z32</f>
        <v>0</v>
      </c>
      <c r="S27" s="133">
        <f>+'ex BH PW'!AA32</f>
        <v>0</v>
      </c>
      <c r="T27" s="133">
        <f>+'ex BH PW'!AB32</f>
        <v>0</v>
      </c>
      <c r="U27" s="133">
        <f>+'ex BH PW'!AC32</f>
        <v>0</v>
      </c>
      <c r="V27" s="133">
        <f>+'ex BH PW'!AD32</f>
        <v>0</v>
      </c>
      <c r="W27" s="133">
        <f>+'ex BH PW'!AE32</f>
        <v>0</v>
      </c>
      <c r="X27" s="133">
        <f>+'ex BH PW'!AF32</f>
        <v>0</v>
      </c>
      <c r="Y27" s="133">
        <f>+'ex BH PW'!AG32</f>
        <v>0</v>
      </c>
      <c r="Z27" s="133">
        <f>+'ex BH PW'!AH32</f>
        <v>0</v>
      </c>
    </row>
    <row r="28" spans="1:26" x14ac:dyDescent="0.25">
      <c r="A28" s="132" t="str">
        <f>+'ex BH PW'!H33</f>
        <v>AXA Sach</v>
      </c>
      <c r="B28" s="133" t="str">
        <f>+'ex BH PW'!J33</f>
        <v>10/48/00/0805</v>
      </c>
      <c r="C28" s="133" t="str">
        <f>+'ex BH PW'!I33</f>
        <v xml:space="preserve">1048000805, 1048001741, 1048001767, 1048001772, </v>
      </c>
      <c r="D28" s="133">
        <f>+'ex BH PW'!K33</f>
        <v>0</v>
      </c>
      <c r="E28" s="133">
        <f>+'ex BH PW'!L33</f>
        <v>0</v>
      </c>
      <c r="F28" s="133">
        <f>+'ex BH PW'!M33</f>
        <v>0</v>
      </c>
      <c r="G28" s="133">
        <f>+'ex BH PW'!N33</f>
        <v>0</v>
      </c>
      <c r="H28" s="133" t="str">
        <f>+'ex BH PW'!P33</f>
        <v>10/48/00/1767</v>
      </c>
      <c r="I28" s="133" t="str">
        <f>+'ex BH PW'!Q33</f>
        <v>10/48/00/1741</v>
      </c>
      <c r="J28" s="133" t="str">
        <f>+'ex BH PW'!R33</f>
        <v>10/48/00/1772</v>
      </c>
      <c r="K28" s="133">
        <f>+'ex BH PW'!S33</f>
        <v>0</v>
      </c>
      <c r="L28" s="133">
        <f>+'ex BH PW'!T33</f>
        <v>0</v>
      </c>
      <c r="M28" s="133">
        <f>+'ex BH PW'!U33</f>
        <v>0</v>
      </c>
      <c r="N28" s="133" t="str">
        <f>+'ex BH PW'!V33</f>
        <v>10/48/00/1791</v>
      </c>
      <c r="O28" s="133" t="str">
        <f>+'ex BH PW'!W33</f>
        <v>10/48/00/1296</v>
      </c>
      <c r="P28" s="133">
        <f>+'ex BH PW'!X33</f>
        <v>0</v>
      </c>
      <c r="Q28" s="133" t="str">
        <f>+'ex BH PW'!Y33</f>
        <v>10/48/00/1268</v>
      </c>
      <c r="R28" s="133" t="str">
        <f>+'ex BH PW'!Z33</f>
        <v>10/48/00/1674</v>
      </c>
      <c r="S28" s="133" t="str">
        <f>+'ex BH PW'!AA33</f>
        <v>10/48/00/1743</v>
      </c>
      <c r="T28" s="133" t="str">
        <f>+'ex BH PW'!AB33</f>
        <v>10/48/00/1190</v>
      </c>
      <c r="U28" s="133">
        <f>+'ex BH PW'!AC33</f>
        <v>0</v>
      </c>
      <c r="V28" s="133">
        <f>+'ex BH PW'!AD33</f>
        <v>0</v>
      </c>
      <c r="W28" s="133">
        <f>+'ex BH PW'!AE33</f>
        <v>0</v>
      </c>
      <c r="X28" s="133">
        <f>+'ex BH PW'!AF33</f>
        <v>0</v>
      </c>
      <c r="Y28" s="133">
        <f>+'ex BH PW'!AG33</f>
        <v>0</v>
      </c>
      <c r="Z28" s="133">
        <f>+'ex BH PW'!AH33</f>
        <v>0</v>
      </c>
    </row>
    <row r="29" spans="1:26" x14ac:dyDescent="0.25">
      <c r="A29" s="132" t="str">
        <f>+'ex BH PW'!H34</f>
        <v>AXA Sach (Rahmenvertrag Kfz)</v>
      </c>
      <c r="B29" s="133" t="str">
        <f>+'ex BH PW'!J34</f>
        <v>130040363</v>
      </c>
      <c r="C29" s="133" t="e">
        <f>+[1]passwörter_agenturen!#REF!</f>
        <v>#REF!</v>
      </c>
      <c r="D29" s="133">
        <f>+'ex BH PW'!K34</f>
        <v>0</v>
      </c>
      <c r="E29" s="133">
        <f>+'ex BH PW'!L34</f>
        <v>0</v>
      </c>
      <c r="F29" s="133">
        <f>+'ex BH PW'!M34</f>
        <v>0</v>
      </c>
      <c r="G29" s="133">
        <f>+'ex BH PW'!N34</f>
        <v>0</v>
      </c>
      <c r="H29" s="133">
        <f>+'ex BH PW'!P34</f>
        <v>0</v>
      </c>
      <c r="I29" s="133">
        <f>+'ex BH PW'!Q34</f>
        <v>0</v>
      </c>
      <c r="J29" s="133">
        <f>+'ex BH PW'!R34</f>
        <v>0</v>
      </c>
      <c r="K29" s="133">
        <f>+'ex BH PW'!S34</f>
        <v>0</v>
      </c>
      <c r="L29" s="133">
        <f>+'ex BH PW'!T34</f>
        <v>0</v>
      </c>
      <c r="M29" s="133">
        <f>+'ex BH PW'!U34</f>
        <v>0</v>
      </c>
      <c r="N29" s="133">
        <f>+'ex BH PW'!V34</f>
        <v>0</v>
      </c>
      <c r="O29" s="133">
        <f>+'ex BH PW'!W34</f>
        <v>0</v>
      </c>
      <c r="P29" s="133">
        <f>+'ex BH PW'!X34</f>
        <v>0</v>
      </c>
      <c r="Q29" s="133">
        <f>+'ex BH PW'!Y34</f>
        <v>0</v>
      </c>
      <c r="R29" s="133">
        <f>+'ex BH PW'!Z34</f>
        <v>0</v>
      </c>
      <c r="S29" s="133">
        <f>+'ex BH PW'!AA34</f>
        <v>0</v>
      </c>
      <c r="T29" s="133">
        <f>+'ex BH PW'!AB34</f>
        <v>0</v>
      </c>
      <c r="U29" s="133">
        <f>+'ex BH PW'!AC34</f>
        <v>0</v>
      </c>
      <c r="V29" s="133">
        <f>+'ex BH PW'!AD34</f>
        <v>0</v>
      </c>
      <c r="W29" s="133">
        <f>+'ex BH PW'!AE34</f>
        <v>0</v>
      </c>
      <c r="X29" s="133">
        <f>+'ex BH PW'!AF34</f>
        <v>0</v>
      </c>
      <c r="Y29" s="133">
        <f>+'ex BH PW'!AG34</f>
        <v>0</v>
      </c>
      <c r="Z29" s="133">
        <f>+'ex BH PW'!AH34</f>
        <v>0</v>
      </c>
    </row>
    <row r="30" spans="1:26" x14ac:dyDescent="0.25">
      <c r="A30" s="132" t="str">
        <f>+'ex BH PW'!H35</f>
        <v>AXA Sach (Rahmenvertrag Sach)</v>
      </c>
      <c r="B30" s="133" t="str">
        <f>+'ex BH PW'!J35</f>
        <v>003816</v>
      </c>
      <c r="C30" s="133">
        <f>+'ex BH PW'!I34</f>
        <v>0</v>
      </c>
      <c r="D30" s="133">
        <f>+'ex BH PW'!K35</f>
        <v>0</v>
      </c>
      <c r="E30" s="133">
        <f>+'ex BH PW'!L35</f>
        <v>0</v>
      </c>
      <c r="F30" s="133">
        <f>+'ex BH PW'!M35</f>
        <v>0</v>
      </c>
      <c r="G30" s="133">
        <f>+'ex BH PW'!N35</f>
        <v>0</v>
      </c>
      <c r="H30" s="133">
        <f>+'ex BH PW'!P35</f>
        <v>0</v>
      </c>
      <c r="I30" s="133">
        <f>+'ex BH PW'!Q35</f>
        <v>0</v>
      </c>
      <c r="J30" s="133">
        <f>+'ex BH PW'!R35</f>
        <v>0</v>
      </c>
      <c r="K30" s="133">
        <f>+'ex BH PW'!S35</f>
        <v>0</v>
      </c>
      <c r="L30" s="133">
        <f>+'ex BH PW'!T35</f>
        <v>0</v>
      </c>
      <c r="M30" s="133">
        <f>+'ex BH PW'!U35</f>
        <v>0</v>
      </c>
      <c r="N30" s="133">
        <f>+'ex BH PW'!V35</f>
        <v>0</v>
      </c>
      <c r="O30" s="133">
        <f>+'ex BH PW'!W35</f>
        <v>0</v>
      </c>
      <c r="P30" s="133">
        <f>+'ex BH PW'!X35</f>
        <v>0</v>
      </c>
      <c r="Q30" s="133">
        <f>+'ex BH PW'!Y35</f>
        <v>0</v>
      </c>
      <c r="R30" s="133">
        <f>+'ex BH PW'!Z35</f>
        <v>0</v>
      </c>
      <c r="S30" s="133">
        <f>+'ex BH PW'!AA35</f>
        <v>0</v>
      </c>
      <c r="T30" s="133">
        <f>+'ex BH PW'!AB35</f>
        <v>0</v>
      </c>
      <c r="U30" s="133">
        <f>+'ex BH PW'!AC35</f>
        <v>0</v>
      </c>
      <c r="V30" s="133">
        <f>+'ex BH PW'!AD35</f>
        <v>0</v>
      </c>
      <c r="W30" s="133">
        <f>+'ex BH PW'!AE35</f>
        <v>0</v>
      </c>
      <c r="X30" s="133">
        <f>+'ex BH PW'!AF35</f>
        <v>0</v>
      </c>
      <c r="Y30" s="133">
        <f>+'ex BH PW'!AG35</f>
        <v>0</v>
      </c>
      <c r="Z30" s="133">
        <f>+'ex BH PW'!AH35</f>
        <v>0</v>
      </c>
    </row>
    <row r="31" spans="1:26" x14ac:dyDescent="0.25">
      <c r="A31" s="132" t="str">
        <f>+'ex BH PW'!H37</f>
        <v>Zurich Sach / fbs (ex Baden-Badener)</v>
      </c>
      <c r="B31" s="133" t="str">
        <f>+'ex BH PW'!J37</f>
        <v>782644</v>
      </c>
      <c r="C31" s="133">
        <f>+'ex BH PW'!I37</f>
        <v>0</v>
      </c>
      <c r="D31" s="133">
        <f>+'ex BH PW'!K37</f>
        <v>0</v>
      </c>
      <c r="E31" s="133" t="str">
        <f>+'ex BH PW'!L37</f>
        <v>76993201</v>
      </c>
      <c r="F31" s="133">
        <f>+'ex BH PW'!M37</f>
        <v>0</v>
      </c>
      <c r="G31" s="133">
        <f>+'ex BH PW'!N37</f>
        <v>0</v>
      </c>
      <c r="H31" s="133">
        <f>+'ex BH PW'!P37</f>
        <v>0</v>
      </c>
      <c r="I31" s="133">
        <f>+'ex BH PW'!Q37</f>
        <v>0</v>
      </c>
      <c r="J31" s="133">
        <f>+'ex BH PW'!R37</f>
        <v>0</v>
      </c>
      <c r="K31" s="133">
        <f>+'ex BH PW'!S37</f>
        <v>0</v>
      </c>
      <c r="L31" s="133">
        <f>+'ex BH PW'!T37</f>
        <v>0</v>
      </c>
      <c r="M31" s="133">
        <f>+'ex BH PW'!U37</f>
        <v>0</v>
      </c>
      <c r="N31" s="133">
        <f>+'ex BH PW'!V37</f>
        <v>0</v>
      </c>
      <c r="O31" s="133">
        <f>+'ex BH PW'!W37</f>
        <v>0</v>
      </c>
      <c r="P31" s="133">
        <f>+'ex BH PW'!X37</f>
        <v>0</v>
      </c>
      <c r="Q31" s="133">
        <f>+'ex BH PW'!Y37</f>
        <v>0</v>
      </c>
      <c r="R31" s="133">
        <f>+'ex BH PW'!Z37</f>
        <v>0</v>
      </c>
      <c r="S31" s="133">
        <f>+'ex BH PW'!AA37</f>
        <v>0</v>
      </c>
      <c r="T31" s="133">
        <f>+'ex BH PW'!AB37</f>
        <v>0</v>
      </c>
      <c r="U31" s="133">
        <f>+'ex BH PW'!AC37</f>
        <v>0</v>
      </c>
      <c r="V31" s="133">
        <f>+'ex BH PW'!AD37</f>
        <v>0</v>
      </c>
      <c r="W31" s="133">
        <f>+'ex BH PW'!AE37</f>
        <v>0</v>
      </c>
      <c r="X31" s="133">
        <f>+'ex BH PW'!AF37</f>
        <v>0</v>
      </c>
      <c r="Y31" s="133">
        <f>+'ex BH PW'!AG37</f>
        <v>0</v>
      </c>
      <c r="Z31" s="133">
        <f>+'ex BH PW'!AH37</f>
        <v>0</v>
      </c>
    </row>
    <row r="32" spans="1:26" x14ac:dyDescent="0.25">
      <c r="A32" s="132" t="str">
        <f>+'ex BH PW'!H41</f>
        <v>Baloise Lebensversicherung AG</v>
      </c>
      <c r="B32" s="133" t="str">
        <f>+'ex BH PW'!J41</f>
        <v>871/0929</v>
      </c>
      <c r="C32" s="133" t="str">
        <f>+'ex BH PW'!I41</f>
        <v>871/0929</v>
      </c>
      <c r="D32" s="133">
        <f>+'ex BH PW'!K41</f>
        <v>0</v>
      </c>
      <c r="E32" s="133">
        <f>+'ex BH PW'!L41</f>
        <v>0</v>
      </c>
      <c r="F32" s="133">
        <f>+'ex BH PW'!M41</f>
        <v>0</v>
      </c>
      <c r="G32" s="133">
        <f>+'ex BH PW'!N41</f>
        <v>0</v>
      </c>
      <c r="H32" s="133">
        <f>+'ex BH PW'!P41</f>
        <v>0</v>
      </c>
      <c r="I32" s="133">
        <f>+'ex BH PW'!Q41</f>
        <v>0</v>
      </c>
      <c r="J32" s="133">
        <f>+'ex BH PW'!R41</f>
        <v>0</v>
      </c>
      <c r="K32" s="133">
        <f>+'ex BH PW'!S41</f>
        <v>0</v>
      </c>
      <c r="L32" s="133">
        <f>+'ex BH PW'!T41</f>
        <v>0</v>
      </c>
      <c r="M32" s="133">
        <f>+'ex BH PW'!U41</f>
        <v>0</v>
      </c>
      <c r="N32" s="133">
        <f>+'ex BH PW'!V41</f>
        <v>0</v>
      </c>
      <c r="O32" s="133">
        <f>+'ex BH PW'!W41</f>
        <v>0</v>
      </c>
      <c r="P32" s="133">
        <f>+'ex BH PW'!X41</f>
        <v>0</v>
      </c>
      <c r="Q32" s="133">
        <f>+'ex BH PW'!Y41</f>
        <v>0</v>
      </c>
      <c r="R32" s="133">
        <f>+'ex BH PW'!Z41</f>
        <v>0</v>
      </c>
      <c r="S32" s="133">
        <f>+'ex BH PW'!AA41</f>
        <v>0</v>
      </c>
      <c r="T32" s="133">
        <f>+'ex BH PW'!AB41</f>
        <v>0</v>
      </c>
      <c r="U32" s="133">
        <f>+'ex BH PW'!AC41</f>
        <v>0</v>
      </c>
      <c r="V32" s="133">
        <f>+'ex BH PW'!AD41</f>
        <v>0</v>
      </c>
      <c r="W32" s="133">
        <f>+'ex BH PW'!AE41</f>
        <v>0</v>
      </c>
      <c r="X32" s="133">
        <f>+'ex BH PW'!AF41</f>
        <v>0</v>
      </c>
      <c r="Y32" s="133">
        <f>+'ex BH PW'!AG41</f>
        <v>0</v>
      </c>
      <c r="Z32" s="133">
        <f>+'ex BH PW'!AH41</f>
        <v>0</v>
      </c>
    </row>
    <row r="33" spans="1:26" x14ac:dyDescent="0.25">
      <c r="A33" s="132" t="str">
        <f>+'ex BH PW'!H42</f>
        <v>BSG Baloise Service GmbH</v>
      </c>
      <c r="B33" s="133">
        <f>+'ex BH PW'!J42</f>
        <v>0</v>
      </c>
      <c r="C33" s="133" t="str">
        <f>+'ex BH PW'!I42</f>
        <v>2202-00</v>
      </c>
      <c r="D33" s="133">
        <f>+'ex BH PW'!K42</f>
        <v>0</v>
      </c>
      <c r="E33" s="133">
        <f>+'ex BH PW'!L42</f>
        <v>0</v>
      </c>
      <c r="F33" s="133">
        <f>+'ex BH PW'!M42</f>
        <v>0</v>
      </c>
      <c r="G33" s="133">
        <f>+'ex BH PW'!N42</f>
        <v>0</v>
      </c>
      <c r="H33" s="133">
        <f>+'ex BH PW'!P42</f>
        <v>0</v>
      </c>
      <c r="I33" s="133">
        <f>+'ex BH PW'!Q42</f>
        <v>0</v>
      </c>
      <c r="J33" s="133">
        <f>+'ex BH PW'!R42</f>
        <v>0</v>
      </c>
      <c r="K33" s="133">
        <f>+'ex BH PW'!S42</f>
        <v>0</v>
      </c>
      <c r="L33" s="133">
        <f>+'ex BH PW'!T42</f>
        <v>0</v>
      </c>
      <c r="M33" s="133">
        <f>+'ex BH PW'!U42</f>
        <v>0</v>
      </c>
      <c r="N33" s="133">
        <f>+'ex BH PW'!V42</f>
        <v>0</v>
      </c>
      <c r="O33" s="133">
        <f>+'ex BH PW'!W42</f>
        <v>0</v>
      </c>
      <c r="P33" s="133">
        <f>+'ex BH PW'!X42</f>
        <v>0</v>
      </c>
      <c r="Q33" s="133">
        <f>+'ex BH PW'!Y42</f>
        <v>0</v>
      </c>
      <c r="R33" s="133">
        <f>+'ex BH PW'!Z42</f>
        <v>0</v>
      </c>
      <c r="S33" s="133">
        <f>+'ex BH PW'!AA42</f>
        <v>0</v>
      </c>
      <c r="T33" s="133">
        <f>+'ex BH PW'!AB42</f>
        <v>0</v>
      </c>
      <c r="U33" s="133">
        <f>+'ex BH PW'!AC42</f>
        <v>0</v>
      </c>
      <c r="V33" s="133">
        <f>+'ex BH PW'!AD42</f>
        <v>0</v>
      </c>
      <c r="W33" s="133">
        <f>+'ex BH PW'!AE42</f>
        <v>0</v>
      </c>
      <c r="X33" s="133">
        <f>+'ex BH PW'!AF42</f>
        <v>0</v>
      </c>
      <c r="Y33" s="133">
        <f>+'ex BH PW'!AG42</f>
        <v>0</v>
      </c>
      <c r="Z33" s="133">
        <f>+'ex BH PW'!AH42</f>
        <v>0</v>
      </c>
    </row>
    <row r="34" spans="1:26" x14ac:dyDescent="0.25">
      <c r="A34" s="132" t="str">
        <f>+'ex BH PW'!H44</f>
        <v>Bayerische Hausbesitzer Versicherung</v>
      </c>
      <c r="B34" s="133" t="str">
        <f>+'ex BH PW'!J44</f>
        <v>6255</v>
      </c>
      <c r="C34" s="133" t="str">
        <f>+'ex BH PW'!I44</f>
        <v>6255</v>
      </c>
      <c r="D34" s="133">
        <f>+'ex BH PW'!K44</f>
        <v>0</v>
      </c>
      <c r="E34" s="133">
        <f>+'ex BH PW'!L44</f>
        <v>0</v>
      </c>
      <c r="F34" s="133">
        <f>+'ex BH PW'!M44</f>
        <v>0</v>
      </c>
      <c r="G34" s="133">
        <f>+'ex BH PW'!N44</f>
        <v>0</v>
      </c>
      <c r="H34" s="133">
        <f>+'ex BH PW'!P44</f>
        <v>0</v>
      </c>
      <c r="I34" s="133">
        <f>+'ex BH PW'!Q44</f>
        <v>0</v>
      </c>
      <c r="J34" s="133">
        <f>+'ex BH PW'!R44</f>
        <v>0</v>
      </c>
      <c r="K34" s="133">
        <f>+'ex BH PW'!S44</f>
        <v>0</v>
      </c>
      <c r="L34" s="133">
        <f>+'ex BH PW'!T44</f>
        <v>0</v>
      </c>
      <c r="M34" s="133">
        <f>+'ex BH PW'!U44</f>
        <v>0</v>
      </c>
      <c r="N34" s="133">
        <f>+'ex BH PW'!V44</f>
        <v>0</v>
      </c>
      <c r="O34" s="133">
        <f>+'ex BH PW'!W44</f>
        <v>0</v>
      </c>
      <c r="P34" s="133">
        <f>+'ex BH PW'!X44</f>
        <v>0</v>
      </c>
      <c r="Q34" s="133">
        <f>+'ex BH PW'!Y44</f>
        <v>0</v>
      </c>
      <c r="R34" s="133">
        <f>+'ex BH PW'!Z44</f>
        <v>0</v>
      </c>
      <c r="S34" s="133">
        <f>+'ex BH PW'!AA44</f>
        <v>0</v>
      </c>
      <c r="T34" s="133">
        <f>+'ex BH PW'!AB44</f>
        <v>0</v>
      </c>
      <c r="U34" s="133">
        <f>+'ex BH PW'!AC44</f>
        <v>0</v>
      </c>
      <c r="V34" s="133">
        <f>+'ex BH PW'!AD44</f>
        <v>0</v>
      </c>
      <c r="W34" s="133">
        <f>+'ex BH PW'!AE44</f>
        <v>0</v>
      </c>
      <c r="X34" s="133">
        <f>+'ex BH PW'!AF44</f>
        <v>0</v>
      </c>
      <c r="Y34" s="133">
        <f>+'ex BH PW'!AG44</f>
        <v>0</v>
      </c>
      <c r="Z34" s="133">
        <f>+'ex BH PW'!AH44</f>
        <v>0</v>
      </c>
    </row>
    <row r="35" spans="1:26" x14ac:dyDescent="0.25">
      <c r="A35" s="132" t="e">
        <f>+[1]passwörter_agenturen!#REF!</f>
        <v>#REF!</v>
      </c>
      <c r="B35" s="133" t="e">
        <f>+[1]passwörter_agenturen!#REF!</f>
        <v>#REF!</v>
      </c>
      <c r="C35" s="133" t="e">
        <f>+[1]passwörter_agenturen!#REF!</f>
        <v>#REF!</v>
      </c>
      <c r="D35" s="133" t="e">
        <f>+[1]passwörter_agenturen!#REF!</f>
        <v>#REF!</v>
      </c>
      <c r="E35" s="133" t="e">
        <f>+[1]passwörter_agenturen!#REF!</f>
        <v>#REF!</v>
      </c>
      <c r="F35" s="133" t="e">
        <f>+[1]passwörter_agenturen!#REF!</f>
        <v>#REF!</v>
      </c>
      <c r="G35" s="133" t="e">
        <f>+[1]passwörter_agenturen!#REF!</f>
        <v>#REF!</v>
      </c>
      <c r="H35" s="133" t="e">
        <f>+[1]passwörter_agenturen!#REF!</f>
        <v>#REF!</v>
      </c>
      <c r="I35" s="133" t="e">
        <f>+[1]passwörter_agenturen!#REF!</f>
        <v>#REF!</v>
      </c>
      <c r="J35" s="133" t="e">
        <f>+[1]passwörter_agenturen!#REF!</f>
        <v>#REF!</v>
      </c>
      <c r="K35" s="133" t="e">
        <f>+[1]passwörter_agenturen!#REF!</f>
        <v>#REF!</v>
      </c>
      <c r="L35" s="133" t="e">
        <f>+[1]passwörter_agenturen!#REF!</f>
        <v>#REF!</v>
      </c>
      <c r="M35" s="133" t="e">
        <f>+[1]passwörter_agenturen!#REF!</f>
        <v>#REF!</v>
      </c>
      <c r="N35" s="133" t="e">
        <f>+[1]passwörter_agenturen!#REF!</f>
        <v>#REF!</v>
      </c>
      <c r="O35" s="133" t="e">
        <f>+[1]passwörter_agenturen!#REF!</f>
        <v>#REF!</v>
      </c>
      <c r="P35" s="133" t="e">
        <f>+[1]passwörter_agenturen!#REF!</f>
        <v>#REF!</v>
      </c>
      <c r="Q35" s="133" t="e">
        <f>+[1]passwörter_agenturen!#REF!</f>
        <v>#REF!</v>
      </c>
      <c r="R35" s="133" t="e">
        <f>+[1]passwörter_agenturen!#REF!</f>
        <v>#REF!</v>
      </c>
      <c r="S35" s="133" t="e">
        <f>+[1]passwörter_agenturen!#REF!</f>
        <v>#REF!</v>
      </c>
      <c r="T35" s="133" t="e">
        <f>+[1]passwörter_agenturen!#REF!</f>
        <v>#REF!</v>
      </c>
      <c r="U35" s="133" t="e">
        <f>+[1]passwörter_agenturen!#REF!</f>
        <v>#REF!</v>
      </c>
      <c r="V35" s="133" t="e">
        <f>+[1]passwörter_agenturen!#REF!</f>
        <v>#REF!</v>
      </c>
      <c r="W35" s="133" t="e">
        <f>+[1]passwörter_agenturen!#REF!</f>
        <v>#REF!</v>
      </c>
      <c r="X35" s="133" t="e">
        <f>+[1]passwörter_agenturen!#REF!</f>
        <v>#REF!</v>
      </c>
      <c r="Y35" s="133" t="e">
        <f>+[1]passwörter_agenturen!#REF!</f>
        <v>#REF!</v>
      </c>
      <c r="Z35" s="133" t="e">
        <f>+[1]passwörter_agenturen!#REF!</f>
        <v>#REF!</v>
      </c>
    </row>
    <row r="36" spans="1:26" x14ac:dyDescent="0.25">
      <c r="A36" s="132" t="str">
        <f>+'ex BH PW'!H46</f>
        <v>BHW (Invers)</v>
      </c>
      <c r="B36" s="133">
        <f>+'ex BH PW'!J46</f>
        <v>0</v>
      </c>
      <c r="C36" s="133">
        <f>+'ex BH PW'!I46</f>
        <v>0</v>
      </c>
      <c r="D36" s="133">
        <f>+'ex BH PW'!K46</f>
        <v>0</v>
      </c>
      <c r="E36" s="133" t="str">
        <f>+'ex BH PW'!L46</f>
        <v>02431917357</v>
      </c>
      <c r="F36" s="133">
        <f>+'ex BH PW'!M46</f>
        <v>0</v>
      </c>
      <c r="G36" s="133">
        <f>+'ex BH PW'!N46</f>
        <v>0</v>
      </c>
      <c r="H36" s="133">
        <f>+'ex BH PW'!P46</f>
        <v>0</v>
      </c>
      <c r="I36" s="133">
        <f>+'ex BH PW'!Q46</f>
        <v>0</v>
      </c>
      <c r="J36" s="133">
        <f>+'ex BH PW'!R46</f>
        <v>0</v>
      </c>
      <c r="K36" s="133">
        <f>+'ex BH PW'!S46</f>
        <v>0</v>
      </c>
      <c r="L36" s="133">
        <f>+'ex BH PW'!T46</f>
        <v>0</v>
      </c>
      <c r="M36" s="133">
        <f>+'ex BH PW'!U46</f>
        <v>0</v>
      </c>
      <c r="N36" s="133">
        <f>+'ex BH PW'!V46</f>
        <v>0</v>
      </c>
      <c r="O36" s="133">
        <f>+'ex BH PW'!W46</f>
        <v>0</v>
      </c>
      <c r="P36" s="133">
        <f>+'ex BH PW'!X46</f>
        <v>0</v>
      </c>
      <c r="Q36" s="133">
        <f>+'ex BH PW'!Y46</f>
        <v>0</v>
      </c>
      <c r="R36" s="133">
        <f>+'ex BH PW'!Z46</f>
        <v>0</v>
      </c>
      <c r="S36" s="133">
        <f>+'ex BH PW'!AA46</f>
        <v>0</v>
      </c>
      <c r="T36" s="133">
        <f>+'ex BH PW'!AB46</f>
        <v>0</v>
      </c>
      <c r="U36" s="133">
        <f>+'ex BH PW'!AC46</f>
        <v>0</v>
      </c>
      <c r="V36" s="133">
        <f>+'ex BH PW'!AD46</f>
        <v>0</v>
      </c>
      <c r="W36" s="133">
        <f>+'ex BH PW'!AE46</f>
        <v>0</v>
      </c>
      <c r="X36" s="133">
        <f>+'ex BH PW'!AF46</f>
        <v>0</v>
      </c>
      <c r="Y36" s="133">
        <f>+'ex BH PW'!AG46</f>
        <v>0</v>
      </c>
      <c r="Z36" s="133">
        <f>+'ex BH PW'!AH46</f>
        <v>0</v>
      </c>
    </row>
    <row r="37" spans="1:26" x14ac:dyDescent="0.25">
      <c r="A37" s="132" t="str">
        <f>+'ex BH PW'!H47</f>
        <v>BKM Bausparkasse Mainz</v>
      </c>
      <c r="B37" s="133" t="str">
        <f>+'ex BH PW'!J47</f>
        <v>568063</v>
      </c>
      <c r="C37" s="133">
        <f>+'ex BH PW'!I47</f>
        <v>0</v>
      </c>
      <c r="D37" s="133">
        <f>+'ex BH PW'!K47</f>
        <v>0</v>
      </c>
      <c r="E37" s="133">
        <f>+'ex BH PW'!L47</f>
        <v>0</v>
      </c>
      <c r="F37" s="133">
        <f>+'ex BH PW'!M47</f>
        <v>0</v>
      </c>
      <c r="G37" s="133">
        <f>+'ex BH PW'!N47</f>
        <v>0</v>
      </c>
      <c r="H37" s="133">
        <f>+'ex BH PW'!P47</f>
        <v>0</v>
      </c>
      <c r="I37" s="133">
        <f>+'ex BH PW'!Q47</f>
        <v>0</v>
      </c>
      <c r="J37" s="133">
        <f>+'ex BH PW'!R47</f>
        <v>0</v>
      </c>
      <c r="K37" s="133">
        <f>+'ex BH PW'!S47</f>
        <v>0</v>
      </c>
      <c r="L37" s="133">
        <f>+'ex BH PW'!T47</f>
        <v>0</v>
      </c>
      <c r="M37" s="133">
        <f>+'ex BH PW'!U47</f>
        <v>0</v>
      </c>
      <c r="N37" s="133">
        <f>+'ex BH PW'!V47</f>
        <v>0</v>
      </c>
      <c r="O37" s="133">
        <f>+'ex BH PW'!W47</f>
        <v>0</v>
      </c>
      <c r="P37" s="133">
        <f>+'ex BH PW'!X47</f>
        <v>0</v>
      </c>
      <c r="Q37" s="133">
        <f>+'ex BH PW'!Y47</f>
        <v>0</v>
      </c>
      <c r="R37" s="133">
        <f>+'ex BH PW'!Z47</f>
        <v>0</v>
      </c>
      <c r="S37" s="133">
        <f>+'ex BH PW'!AA47</f>
        <v>0</v>
      </c>
      <c r="T37" s="133">
        <f>+'ex BH PW'!AB47</f>
        <v>0</v>
      </c>
      <c r="U37" s="133">
        <f>+'ex BH PW'!AC47</f>
        <v>0</v>
      </c>
      <c r="V37" s="133">
        <f>+'ex BH PW'!AD47</f>
        <v>0</v>
      </c>
      <c r="W37" s="133">
        <f>+'ex BH PW'!AE47</f>
        <v>0</v>
      </c>
      <c r="X37" s="133">
        <f>+'ex BH PW'!AF47</f>
        <v>0</v>
      </c>
      <c r="Y37" s="133">
        <f>+'ex BH PW'!AG47</f>
        <v>0</v>
      </c>
      <c r="Z37" s="133">
        <f>+'ex BH PW'!AH47</f>
        <v>0</v>
      </c>
    </row>
    <row r="38" spans="1:26" x14ac:dyDescent="0.25">
      <c r="A38" s="132" t="str">
        <f>+'ex BH PW'!H48</f>
        <v>Brandgilde Versicherung</v>
      </c>
      <c r="B38" s="133" t="str">
        <f>+'ex BH PW'!J48</f>
        <v>14356</v>
      </c>
      <c r="C38" s="133">
        <f>+'ex BH PW'!I48</f>
        <v>0</v>
      </c>
      <c r="D38" s="133">
        <f>+'ex BH PW'!K48</f>
        <v>0</v>
      </c>
      <c r="E38" s="133">
        <f>+'ex BH PW'!L48</f>
        <v>0</v>
      </c>
      <c r="F38" s="133">
        <f>+'ex BH PW'!M48</f>
        <v>0</v>
      </c>
      <c r="G38" s="133">
        <f>+'ex BH PW'!N48</f>
        <v>0</v>
      </c>
      <c r="H38" s="133">
        <f>+'ex BH PW'!P48</f>
        <v>0</v>
      </c>
      <c r="I38" s="133">
        <f>+'ex BH PW'!Q48</f>
        <v>0</v>
      </c>
      <c r="J38" s="133">
        <f>+'ex BH PW'!R48</f>
        <v>0</v>
      </c>
      <c r="K38" s="133">
        <f>+'ex BH PW'!S48</f>
        <v>0</v>
      </c>
      <c r="L38" s="133">
        <f>+'ex BH PW'!T48</f>
        <v>0</v>
      </c>
      <c r="M38" s="133">
        <f>+'ex BH PW'!U48</f>
        <v>0</v>
      </c>
      <c r="N38" s="133">
        <f>+'ex BH PW'!V48</f>
        <v>0</v>
      </c>
      <c r="O38" s="133">
        <f>+'ex BH PW'!W48</f>
        <v>0</v>
      </c>
      <c r="P38" s="133">
        <f>+'ex BH PW'!X48</f>
        <v>0</v>
      </c>
      <c r="Q38" s="133">
        <f>+'ex BH PW'!Y48</f>
        <v>0</v>
      </c>
      <c r="R38" s="133">
        <f>+'ex BH PW'!Z48</f>
        <v>0</v>
      </c>
      <c r="S38" s="133">
        <f>+'ex BH PW'!AA48</f>
        <v>0</v>
      </c>
      <c r="T38" s="133">
        <f>+'ex BH PW'!AB48</f>
        <v>0</v>
      </c>
      <c r="U38" s="133">
        <f>+'ex BH PW'!AC48</f>
        <v>0</v>
      </c>
      <c r="V38" s="133">
        <f>+'ex BH PW'!AD48</f>
        <v>0</v>
      </c>
      <c r="W38" s="133">
        <f>+'ex BH PW'!AE48</f>
        <v>0</v>
      </c>
      <c r="X38" s="133">
        <f>+'ex BH PW'!AF48</f>
        <v>0</v>
      </c>
      <c r="Y38" s="133">
        <f>+'ex BH PW'!AG48</f>
        <v>0</v>
      </c>
      <c r="Z38" s="133">
        <f>+'ex BH PW'!AH48</f>
        <v>0</v>
      </c>
    </row>
    <row r="39" spans="1:26" x14ac:dyDescent="0.25">
      <c r="A39" s="132" t="str">
        <f>+'ex BH PW'!H49</f>
        <v>Canada Life</v>
      </c>
      <c r="B39" s="133" t="str">
        <f>+'ex BH PW'!J49</f>
        <v>A5G6</v>
      </c>
      <c r="C39" s="133" t="str">
        <f>+'ex BH PW'!I49</f>
        <v>A5G6</v>
      </c>
      <c r="D39" s="133">
        <f>+'ex BH PW'!K49</f>
        <v>0</v>
      </c>
      <c r="E39" s="133">
        <f>+'ex BH PW'!L49</f>
        <v>0</v>
      </c>
      <c r="F39" s="133">
        <f>+'ex BH PW'!M49</f>
        <v>0</v>
      </c>
      <c r="G39" s="133">
        <f>+'ex BH PW'!N49</f>
        <v>0</v>
      </c>
      <c r="H39" s="133">
        <f>+'ex BH PW'!P49</f>
        <v>0</v>
      </c>
      <c r="I39" s="133">
        <f>+'ex BH PW'!Q49</f>
        <v>0</v>
      </c>
      <c r="J39" s="133">
        <f>+'ex BH PW'!R49</f>
        <v>0</v>
      </c>
      <c r="K39" s="133">
        <f>+'ex BH PW'!S49</f>
        <v>0</v>
      </c>
      <c r="L39" s="133">
        <f>+'ex BH PW'!T49</f>
        <v>0</v>
      </c>
      <c r="M39" s="133">
        <f>+'ex BH PW'!U49</f>
        <v>0</v>
      </c>
      <c r="N39" s="133">
        <f>+'ex BH PW'!V49</f>
        <v>0</v>
      </c>
      <c r="O39" s="133">
        <f>+'ex BH PW'!W49</f>
        <v>0</v>
      </c>
      <c r="P39" s="133">
        <f>+'ex BH PW'!X49</f>
        <v>0</v>
      </c>
      <c r="Q39" s="133">
        <f>+'ex BH PW'!Y49</f>
        <v>0</v>
      </c>
      <c r="R39" s="133">
        <f>+'ex BH PW'!Z49</f>
        <v>0</v>
      </c>
      <c r="S39" s="133">
        <f>+'ex BH PW'!AA49</f>
        <v>0</v>
      </c>
      <c r="T39" s="133">
        <f>+'ex BH PW'!AB49</f>
        <v>0</v>
      </c>
      <c r="U39" s="133">
        <f>+'ex BH PW'!AC49</f>
        <v>0</v>
      </c>
      <c r="V39" s="133">
        <f>+'ex BH PW'!AD49</f>
        <v>0</v>
      </c>
      <c r="W39" s="133">
        <f>+'ex BH PW'!AE49</f>
        <v>0</v>
      </c>
      <c r="X39" s="133">
        <f>+'ex BH PW'!AF49</f>
        <v>0</v>
      </c>
      <c r="Y39" s="133">
        <f>+'ex BH PW'!AG49</f>
        <v>0</v>
      </c>
      <c r="Z39" s="133">
        <f>+'ex BH PW'!AH49</f>
        <v>0</v>
      </c>
    </row>
    <row r="40" spans="1:26" x14ac:dyDescent="0.25">
      <c r="A40" s="132" t="str">
        <f>+'ex BH PW'!H50</f>
        <v>Care Concept</v>
      </c>
      <c r="B40" s="133" t="str">
        <f>+'ex BH PW'!J50</f>
        <v>000 20 50000</v>
      </c>
      <c r="C40" s="133">
        <f>+'ex BH PW'!I50</f>
        <v>0</v>
      </c>
      <c r="D40" s="133">
        <f>+'ex BH PW'!K50</f>
        <v>0</v>
      </c>
      <c r="E40" s="133">
        <f>+'ex BH PW'!L50</f>
        <v>0</v>
      </c>
      <c r="F40" s="133">
        <f>+'ex BH PW'!M50</f>
        <v>0</v>
      </c>
      <c r="G40" s="133">
        <f>+'ex BH PW'!N50</f>
        <v>0</v>
      </c>
      <c r="H40" s="133">
        <f>+'ex BH PW'!P50</f>
        <v>0</v>
      </c>
      <c r="I40" s="133">
        <f>+'ex BH PW'!Q50</f>
        <v>0</v>
      </c>
      <c r="J40" s="133">
        <f>+'ex BH PW'!R50</f>
        <v>0</v>
      </c>
      <c r="K40" s="133">
        <f>+'ex BH PW'!S50</f>
        <v>0</v>
      </c>
      <c r="L40" s="133">
        <f>+'ex BH PW'!T50</f>
        <v>0</v>
      </c>
      <c r="M40" s="133">
        <f>+'ex BH PW'!U50</f>
        <v>0</v>
      </c>
      <c r="N40" s="133">
        <f>+'ex BH PW'!V50</f>
        <v>0</v>
      </c>
      <c r="O40" s="133">
        <f>+'ex BH PW'!W50</f>
        <v>0</v>
      </c>
      <c r="P40" s="133">
        <f>+'ex BH PW'!X50</f>
        <v>0</v>
      </c>
      <c r="Q40" s="133">
        <f>+'ex BH PW'!Y50</f>
        <v>0</v>
      </c>
      <c r="R40" s="133">
        <f>+'ex BH PW'!Z50</f>
        <v>0</v>
      </c>
      <c r="S40" s="133">
        <f>+'ex BH PW'!AA50</f>
        <v>0</v>
      </c>
      <c r="T40" s="133">
        <f>+'ex BH PW'!AB50</f>
        <v>0</v>
      </c>
      <c r="U40" s="133">
        <f>+'ex BH PW'!AC50</f>
        <v>0</v>
      </c>
      <c r="V40" s="133">
        <f>+'ex BH PW'!AD50</f>
        <v>0</v>
      </c>
      <c r="W40" s="133">
        <f>+'ex BH PW'!AE50</f>
        <v>0</v>
      </c>
      <c r="X40" s="133">
        <f>+'ex BH PW'!AF50</f>
        <v>0</v>
      </c>
      <c r="Y40" s="133">
        <f>+'ex BH PW'!AG50</f>
        <v>0</v>
      </c>
      <c r="Z40" s="133">
        <f>+'ex BH PW'!AH50</f>
        <v>0</v>
      </c>
    </row>
    <row r="41" spans="1:26" x14ac:dyDescent="0.25">
      <c r="A41" s="132" t="str">
        <f>+'ex BH PW'!H51</f>
        <v>carglass</v>
      </c>
      <c r="B41" s="133" t="str">
        <f>+'ex BH PW'!J51</f>
        <v>3655829222</v>
      </c>
      <c r="C41" s="133">
        <f>+'ex BH PW'!I51</f>
        <v>0</v>
      </c>
      <c r="D41" s="133">
        <f>+'ex BH PW'!K51</f>
        <v>0</v>
      </c>
      <c r="E41" s="133">
        <f>+'ex BH PW'!L51</f>
        <v>0</v>
      </c>
      <c r="F41" s="133">
        <f>+'ex BH PW'!M51</f>
        <v>0</v>
      </c>
      <c r="G41" s="133">
        <f>+'ex BH PW'!N51</f>
        <v>0</v>
      </c>
      <c r="H41" s="133">
        <f>+'ex BH PW'!P51</f>
        <v>0</v>
      </c>
      <c r="I41" s="133">
        <f>+'ex BH PW'!Q51</f>
        <v>0</v>
      </c>
      <c r="J41" s="133">
        <f>+'ex BH PW'!R51</f>
        <v>0</v>
      </c>
      <c r="K41" s="133">
        <f>+'ex BH PW'!S51</f>
        <v>0</v>
      </c>
      <c r="L41" s="133">
        <f>+'ex BH PW'!T51</f>
        <v>0</v>
      </c>
      <c r="M41" s="133">
        <f>+'ex BH PW'!U51</f>
        <v>0</v>
      </c>
      <c r="N41" s="133">
        <f>+'ex BH PW'!V51</f>
        <v>0</v>
      </c>
      <c r="O41" s="133">
        <f>+'ex BH PW'!W51</f>
        <v>0</v>
      </c>
      <c r="P41" s="133">
        <f>+'ex BH PW'!X51</f>
        <v>0</v>
      </c>
      <c r="Q41" s="133">
        <f>+'ex BH PW'!Y51</f>
        <v>0</v>
      </c>
      <c r="R41" s="133">
        <f>+'ex BH PW'!Z51</f>
        <v>0</v>
      </c>
      <c r="S41" s="133">
        <f>+'ex BH PW'!AA51</f>
        <v>0</v>
      </c>
      <c r="T41" s="133">
        <f>+'ex BH PW'!AB51</f>
        <v>0</v>
      </c>
      <c r="U41" s="133">
        <f>+'ex BH PW'!AC51</f>
        <v>0</v>
      </c>
      <c r="V41" s="133">
        <f>+'ex BH PW'!AD51</f>
        <v>0</v>
      </c>
      <c r="W41" s="133">
        <f>+'ex BH PW'!AE51</f>
        <v>0</v>
      </c>
      <c r="X41" s="133">
        <f>+'ex BH PW'!AF51</f>
        <v>0</v>
      </c>
      <c r="Y41" s="133">
        <f>+'ex BH PW'!AG51</f>
        <v>0</v>
      </c>
      <c r="Z41" s="133">
        <f>+'ex BH PW'!AH51</f>
        <v>0</v>
      </c>
    </row>
    <row r="42" spans="1:26" x14ac:dyDescent="0.25">
      <c r="A42" s="132" t="str">
        <f>+'ex BH PW'!H52</f>
        <v>Concenter</v>
      </c>
      <c r="B42" s="133">
        <f>+'ex BH PW'!J52</f>
        <v>0</v>
      </c>
      <c r="C42" s="133">
        <f>+'ex BH PW'!I52</f>
        <v>0</v>
      </c>
      <c r="D42" s="133">
        <f>+'ex BH PW'!K52</f>
        <v>0</v>
      </c>
      <c r="E42" s="133">
        <f>+'ex BH PW'!L52</f>
        <v>0</v>
      </c>
      <c r="F42" s="133">
        <f>+'ex BH PW'!M52</f>
        <v>0</v>
      </c>
      <c r="G42" s="133">
        <f>+'ex BH PW'!N52</f>
        <v>0</v>
      </c>
      <c r="H42" s="133">
        <f>+'ex BH PW'!P52</f>
        <v>0</v>
      </c>
      <c r="I42" s="133">
        <f>+'ex BH PW'!Q52</f>
        <v>0</v>
      </c>
      <c r="J42" s="133">
        <f>+'ex BH PW'!R52</f>
        <v>0</v>
      </c>
      <c r="K42" s="133">
        <f>+'ex BH PW'!S52</f>
        <v>0</v>
      </c>
      <c r="L42" s="133">
        <f>+'ex BH PW'!T52</f>
        <v>0</v>
      </c>
      <c r="M42" s="133">
        <f>+'ex BH PW'!U52</f>
        <v>0</v>
      </c>
      <c r="N42" s="133">
        <f>+'ex BH PW'!V52</f>
        <v>0</v>
      </c>
      <c r="O42" s="133">
        <f>+'ex BH PW'!W52</f>
        <v>0</v>
      </c>
      <c r="P42" s="133">
        <f>+'ex BH PW'!X52</f>
        <v>0</v>
      </c>
      <c r="Q42" s="133">
        <f>+'ex BH PW'!Y52</f>
        <v>0</v>
      </c>
      <c r="R42" s="133">
        <f>+'ex BH PW'!Z52</f>
        <v>0</v>
      </c>
      <c r="S42" s="133">
        <f>+'ex BH PW'!AA52</f>
        <v>0</v>
      </c>
      <c r="T42" s="133">
        <f>+'ex BH PW'!AB52</f>
        <v>0</v>
      </c>
      <c r="U42" s="133">
        <f>+'ex BH PW'!AC52</f>
        <v>0</v>
      </c>
      <c r="V42" s="133">
        <f>+'ex BH PW'!AD52</f>
        <v>0</v>
      </c>
      <c r="W42" s="133">
        <f>+'ex BH PW'!AE52</f>
        <v>0</v>
      </c>
      <c r="X42" s="133">
        <f>+'ex BH PW'!AF52</f>
        <v>0</v>
      </c>
      <c r="Y42" s="133">
        <f>+'ex BH PW'!AG52</f>
        <v>0</v>
      </c>
      <c r="Z42" s="133">
        <f>+'ex BH PW'!AH52</f>
        <v>0</v>
      </c>
    </row>
    <row r="43" spans="1:26" x14ac:dyDescent="0.25">
      <c r="A43" s="132" t="str">
        <f>+'ex BH PW'!H53</f>
        <v>Conceptif</v>
      </c>
      <c r="B43" s="133">
        <f>+'ex BH PW'!J53</f>
        <v>0</v>
      </c>
      <c r="C43" s="133">
        <f>+'ex BH PW'!I53</f>
        <v>0</v>
      </c>
      <c r="D43" s="133">
        <f>+'ex BH PW'!K53</f>
        <v>0</v>
      </c>
      <c r="E43" s="133">
        <f>+'ex BH PW'!L53</f>
        <v>0</v>
      </c>
      <c r="F43" s="133">
        <f>+'ex BH PW'!M53</f>
        <v>0</v>
      </c>
      <c r="G43" s="133">
        <f>+'ex BH PW'!N53</f>
        <v>0</v>
      </c>
      <c r="H43" s="133">
        <f>+'ex BH PW'!P53</f>
        <v>0</v>
      </c>
      <c r="I43" s="133">
        <f>+'ex BH PW'!Q53</f>
        <v>0</v>
      </c>
      <c r="J43" s="133">
        <f>+'ex BH PW'!R53</f>
        <v>0</v>
      </c>
      <c r="K43" s="133">
        <f>+'ex BH PW'!S53</f>
        <v>0</v>
      </c>
      <c r="L43" s="133">
        <f>+'ex BH PW'!T53</f>
        <v>0</v>
      </c>
      <c r="M43" s="133">
        <f>+'ex BH PW'!U53</f>
        <v>0</v>
      </c>
      <c r="N43" s="133">
        <f>+'ex BH PW'!V53</f>
        <v>0</v>
      </c>
      <c r="O43" s="133">
        <f>+'ex BH PW'!W53</f>
        <v>0</v>
      </c>
      <c r="P43" s="133">
        <f>+'ex BH PW'!X53</f>
        <v>0</v>
      </c>
      <c r="Q43" s="133">
        <f>+'ex BH PW'!Y53</f>
        <v>0</v>
      </c>
      <c r="R43" s="133">
        <f>+'ex BH PW'!Z53</f>
        <v>0</v>
      </c>
      <c r="S43" s="133">
        <f>+'ex BH PW'!AA53</f>
        <v>0</v>
      </c>
      <c r="T43" s="133">
        <f>+'ex BH PW'!AB53</f>
        <v>0</v>
      </c>
      <c r="U43" s="133">
        <f>+'ex BH PW'!AC53</f>
        <v>0</v>
      </c>
      <c r="V43" s="133">
        <f>+'ex BH PW'!AD53</f>
        <v>0</v>
      </c>
      <c r="W43" s="133">
        <f>+'ex BH PW'!AE53</f>
        <v>0</v>
      </c>
      <c r="X43" s="133">
        <f>+'ex BH PW'!AF53</f>
        <v>0</v>
      </c>
      <c r="Y43" s="133">
        <f>+'ex BH PW'!AG53</f>
        <v>0</v>
      </c>
      <c r="Z43" s="133">
        <f>+'ex BH PW'!AH53</f>
        <v>0</v>
      </c>
    </row>
    <row r="44" spans="1:26" x14ac:dyDescent="0.25">
      <c r="A44" s="132" t="e">
        <f>+[1]passwörter_agenturen!#REF!</f>
        <v>#REF!</v>
      </c>
      <c r="B44" s="133" t="e">
        <f>+[1]passwörter_agenturen!#REF!</f>
        <v>#REF!</v>
      </c>
      <c r="C44" s="133" t="e">
        <f>+[1]passwörter_agenturen!#REF!</f>
        <v>#REF!</v>
      </c>
      <c r="D44" s="133" t="e">
        <f>+[1]passwörter_agenturen!#REF!</f>
        <v>#REF!</v>
      </c>
      <c r="E44" s="133" t="e">
        <f>+[1]passwörter_agenturen!#REF!</f>
        <v>#REF!</v>
      </c>
      <c r="F44" s="133" t="e">
        <f>+[1]passwörter_agenturen!#REF!</f>
        <v>#REF!</v>
      </c>
      <c r="G44" s="133" t="e">
        <f>+[1]passwörter_agenturen!#REF!</f>
        <v>#REF!</v>
      </c>
      <c r="H44" s="133" t="e">
        <f>+[1]passwörter_agenturen!#REF!</f>
        <v>#REF!</v>
      </c>
      <c r="I44" s="133" t="e">
        <f>+[1]passwörter_agenturen!#REF!</f>
        <v>#REF!</v>
      </c>
      <c r="J44" s="133" t="e">
        <f>+[1]passwörter_agenturen!#REF!</f>
        <v>#REF!</v>
      </c>
      <c r="K44" s="133" t="e">
        <f>+[1]passwörter_agenturen!#REF!</f>
        <v>#REF!</v>
      </c>
      <c r="L44" s="133" t="e">
        <f>+[1]passwörter_agenturen!#REF!</f>
        <v>#REF!</v>
      </c>
      <c r="M44" s="133" t="e">
        <f>+[1]passwörter_agenturen!#REF!</f>
        <v>#REF!</v>
      </c>
      <c r="N44" s="133" t="e">
        <f>+[1]passwörter_agenturen!#REF!</f>
        <v>#REF!</v>
      </c>
      <c r="O44" s="133" t="e">
        <f>+[1]passwörter_agenturen!#REF!</f>
        <v>#REF!</v>
      </c>
      <c r="P44" s="133" t="e">
        <f>+[1]passwörter_agenturen!#REF!</f>
        <v>#REF!</v>
      </c>
      <c r="Q44" s="133" t="e">
        <f>+[1]passwörter_agenturen!#REF!</f>
        <v>#REF!</v>
      </c>
      <c r="R44" s="133" t="e">
        <f>+[1]passwörter_agenturen!#REF!</f>
        <v>#REF!</v>
      </c>
      <c r="S44" s="133" t="e">
        <f>+[1]passwörter_agenturen!#REF!</f>
        <v>#REF!</v>
      </c>
      <c r="T44" s="133" t="e">
        <f>+[1]passwörter_agenturen!#REF!</f>
        <v>#REF!</v>
      </c>
      <c r="U44" s="133" t="e">
        <f>+[1]passwörter_agenturen!#REF!</f>
        <v>#REF!</v>
      </c>
      <c r="V44" s="133" t="e">
        <f>+[1]passwörter_agenturen!#REF!</f>
        <v>#REF!</v>
      </c>
      <c r="W44" s="133" t="e">
        <f>+[1]passwörter_agenturen!#REF!</f>
        <v>#REF!</v>
      </c>
      <c r="X44" s="133" t="e">
        <f>+[1]passwörter_agenturen!#REF!</f>
        <v>#REF!</v>
      </c>
      <c r="Y44" s="133" t="e">
        <f>+[1]passwörter_agenturen!#REF!</f>
        <v>#REF!</v>
      </c>
      <c r="Z44" s="133" t="e">
        <f>+[1]passwörter_agenturen!#REF!</f>
        <v>#REF!</v>
      </c>
    </row>
    <row r="45" spans="1:26" x14ac:dyDescent="0.25">
      <c r="A45" s="132" t="str">
        <f>+'ex BH PW'!H54</f>
        <v>Concordia</v>
      </c>
      <c r="B45" s="133" t="str">
        <f>+'ex BH PW'!J54</f>
        <v>25111000</v>
      </c>
      <c r="C45" s="133" t="str">
        <f>+'ex BH PW'!I54</f>
        <v>25111000</v>
      </c>
      <c r="D45" s="133">
        <f>+'ex BH PW'!K54</f>
        <v>0</v>
      </c>
      <c r="E45" s="133" t="str">
        <f>+'ex BH PW'!L54</f>
        <v>55280055</v>
      </c>
      <c r="F45" s="133">
        <f>+'ex BH PW'!M54</f>
        <v>0</v>
      </c>
      <c r="G45" s="133">
        <f>+'ex BH PW'!N54</f>
        <v>0</v>
      </c>
      <c r="H45" s="133">
        <f>+'ex BH PW'!P54</f>
        <v>0</v>
      </c>
      <c r="I45" s="133">
        <f>+'ex BH PW'!Q54</f>
        <v>0</v>
      </c>
      <c r="J45" s="133">
        <f>+'ex BH PW'!R54</f>
        <v>0</v>
      </c>
      <c r="K45" s="133">
        <f>+'ex BH PW'!S54</f>
        <v>0</v>
      </c>
      <c r="L45" s="133">
        <f>+'ex BH PW'!T54</f>
        <v>0</v>
      </c>
      <c r="M45" s="133">
        <f>+'ex BH PW'!U54</f>
        <v>0</v>
      </c>
      <c r="N45" s="133">
        <f>+'ex BH PW'!V54</f>
        <v>0</v>
      </c>
      <c r="O45" s="133">
        <f>+'ex BH PW'!W54</f>
        <v>0</v>
      </c>
      <c r="P45" s="133">
        <f>+'ex BH PW'!X54</f>
        <v>0</v>
      </c>
      <c r="Q45" s="133">
        <f>+'ex BH PW'!Y54</f>
        <v>0</v>
      </c>
      <c r="R45" s="133">
        <f>+'ex BH PW'!Z54</f>
        <v>0</v>
      </c>
      <c r="S45" s="133">
        <f>+'ex BH PW'!AA54</f>
        <v>0</v>
      </c>
      <c r="T45" s="133">
        <f>+'ex BH PW'!AB54</f>
        <v>0</v>
      </c>
      <c r="U45" s="133">
        <f>+'ex BH PW'!AC54</f>
        <v>0</v>
      </c>
      <c r="V45" s="133">
        <f>+'ex BH PW'!AD54</f>
        <v>0</v>
      </c>
      <c r="W45" s="133">
        <f>+'ex BH PW'!AE54</f>
        <v>0</v>
      </c>
      <c r="X45" s="133">
        <f>+'ex BH PW'!AF54</f>
        <v>0</v>
      </c>
      <c r="Y45" s="133">
        <f>+'ex BH PW'!AG54</f>
        <v>0</v>
      </c>
      <c r="Z45" s="133">
        <f>+'ex BH PW'!AH54</f>
        <v>0</v>
      </c>
    </row>
    <row r="46" spans="1:26" x14ac:dyDescent="0.25">
      <c r="A46" s="132" t="str">
        <f>+'ex BH PW'!H55</f>
        <v>Condor Klass. LV/BU / Optima</v>
      </c>
      <c r="B46" s="133" t="str">
        <f>+'ex BH PW'!J55</f>
        <v>806252</v>
      </c>
      <c r="C46" s="133" t="str">
        <f>+'ex BH PW'!I55</f>
        <v>14855, (806252 alt)</v>
      </c>
      <c r="D46" s="133">
        <f>+'ex BH PW'!K55</f>
        <v>0</v>
      </c>
      <c r="E46" s="133">
        <f>+'ex BH PW'!L55</f>
        <v>0</v>
      </c>
      <c r="F46" s="133">
        <f>+'ex BH PW'!M55</f>
        <v>0</v>
      </c>
      <c r="G46" s="133">
        <f>+'ex BH PW'!N55</f>
        <v>0</v>
      </c>
      <c r="H46" s="133">
        <f>+'ex BH PW'!P55</f>
        <v>0</v>
      </c>
      <c r="I46" s="133">
        <f>+'ex BH PW'!Q55</f>
        <v>0</v>
      </c>
      <c r="J46" s="133">
        <f>+'ex BH PW'!R55</f>
        <v>0</v>
      </c>
      <c r="K46" s="133">
        <f>+'ex BH PW'!S55</f>
        <v>0</v>
      </c>
      <c r="L46" s="133">
        <f>+'ex BH PW'!T55</f>
        <v>0</v>
      </c>
      <c r="M46" s="133">
        <f>+'ex BH PW'!U55</f>
        <v>0</v>
      </c>
      <c r="N46" s="133">
        <f>+'ex BH PW'!V55</f>
        <v>0</v>
      </c>
      <c r="O46" s="133">
        <f>+'ex BH PW'!W55</f>
        <v>0</v>
      </c>
      <c r="P46" s="133">
        <f>+'ex BH PW'!X55</f>
        <v>0</v>
      </c>
      <c r="Q46" s="133">
        <f>+'ex BH PW'!Y55</f>
        <v>0</v>
      </c>
      <c r="R46" s="133">
        <f>+'ex BH PW'!Z55</f>
        <v>0</v>
      </c>
      <c r="S46" s="133">
        <f>+'ex BH PW'!AA55</f>
        <v>0</v>
      </c>
      <c r="T46" s="133">
        <f>+'ex BH PW'!AB55</f>
        <v>0</v>
      </c>
      <c r="U46" s="133">
        <f>+'ex BH PW'!AC55</f>
        <v>0</v>
      </c>
      <c r="V46" s="133">
        <f>+'ex BH PW'!AD55</f>
        <v>0</v>
      </c>
      <c r="W46" s="133">
        <f>+'ex BH PW'!AE55</f>
        <v>0</v>
      </c>
      <c r="X46" s="133">
        <f>+'ex BH PW'!AF55</f>
        <v>0</v>
      </c>
      <c r="Y46" s="133">
        <f>+'ex BH PW'!AG55</f>
        <v>0</v>
      </c>
      <c r="Z46" s="133">
        <f>+'ex BH PW'!AH55</f>
        <v>0</v>
      </c>
    </row>
    <row r="47" spans="1:26" x14ac:dyDescent="0.25">
      <c r="A47" s="132" t="str">
        <f>+'ex BH PW'!H56</f>
        <v>Condor Leben (FLV) / Optima</v>
      </c>
      <c r="B47" s="133" t="str">
        <f>+'ex BH PW'!J56</f>
        <v>58/14855</v>
      </c>
      <c r="C47" s="133" t="str">
        <f>+'ex BH PW'!I56</f>
        <v>14855, (806252 alt)</v>
      </c>
      <c r="D47" s="133">
        <f>+'ex BH PW'!K56</f>
        <v>0</v>
      </c>
      <c r="E47" s="133">
        <f>+'ex BH PW'!L56</f>
        <v>0</v>
      </c>
      <c r="F47" s="133">
        <f>+'ex BH PW'!M56</f>
        <v>0</v>
      </c>
      <c r="G47" s="133">
        <f>+'ex BH PW'!N56</f>
        <v>0</v>
      </c>
      <c r="H47" s="133">
        <f>+'ex BH PW'!P56</f>
        <v>0</v>
      </c>
      <c r="I47" s="133">
        <f>+'ex BH PW'!Q56</f>
        <v>0</v>
      </c>
      <c r="J47" s="133">
        <f>+'ex BH PW'!R56</f>
        <v>0</v>
      </c>
      <c r="K47" s="133">
        <f>+'ex BH PW'!S56</f>
        <v>0</v>
      </c>
      <c r="L47" s="133">
        <f>+'ex BH PW'!T56</f>
        <v>0</v>
      </c>
      <c r="M47" s="133">
        <f>+'ex BH PW'!U56</f>
        <v>0</v>
      </c>
      <c r="N47" s="133">
        <f>+'ex BH PW'!V56</f>
        <v>0</v>
      </c>
      <c r="O47" s="133">
        <f>+'ex BH PW'!W56</f>
        <v>0</v>
      </c>
      <c r="P47" s="133">
        <f>+'ex BH PW'!X56</f>
        <v>0</v>
      </c>
      <c r="Q47" s="133">
        <f>+'ex BH PW'!Y56</f>
        <v>0</v>
      </c>
      <c r="R47" s="133">
        <f>+'ex BH PW'!Z56</f>
        <v>0</v>
      </c>
      <c r="S47" s="133">
        <f>+'ex BH PW'!AA56</f>
        <v>0</v>
      </c>
      <c r="T47" s="133">
        <f>+'ex BH PW'!AB56</f>
        <v>0</v>
      </c>
      <c r="U47" s="133">
        <f>+'ex BH PW'!AC56</f>
        <v>0</v>
      </c>
      <c r="V47" s="133">
        <f>+'ex BH PW'!AD56</f>
        <v>0</v>
      </c>
      <c r="W47" s="133">
        <f>+'ex BH PW'!AE56</f>
        <v>0</v>
      </c>
      <c r="X47" s="133">
        <f>+'ex BH PW'!AF56</f>
        <v>0</v>
      </c>
      <c r="Y47" s="133">
        <f>+'ex BH PW'!AG56</f>
        <v>0</v>
      </c>
      <c r="Z47" s="133">
        <f>+'ex BH PW'!AH56</f>
        <v>0</v>
      </c>
    </row>
    <row r="48" spans="1:26" x14ac:dyDescent="0.25">
      <c r="A48" s="132" t="str">
        <f>+'ex BH PW'!H57</f>
        <v>Condor Sach (nur Altbestand)</v>
      </c>
      <c r="B48" s="133" t="str">
        <f>+'ex BH PW'!J57</f>
        <v xml:space="preserve">58/14855 </v>
      </c>
      <c r="C48" s="133">
        <f>+'ex BH PW'!I57</f>
        <v>0</v>
      </c>
      <c r="D48" s="133">
        <f>+'ex BH PW'!K57</f>
        <v>0</v>
      </c>
      <c r="E48" s="133">
        <f>+'ex BH PW'!L57</f>
        <v>0</v>
      </c>
      <c r="F48" s="133">
        <f>+'ex BH PW'!M57</f>
        <v>0</v>
      </c>
      <c r="G48" s="133">
        <f>+'ex BH PW'!N57</f>
        <v>0</v>
      </c>
      <c r="H48" s="133">
        <f>+'ex BH PW'!P57</f>
        <v>0</v>
      </c>
      <c r="I48" s="133">
        <f>+'ex BH PW'!Q57</f>
        <v>0</v>
      </c>
      <c r="J48" s="133">
        <f>+'ex BH PW'!R57</f>
        <v>0</v>
      </c>
      <c r="K48" s="133">
        <f>+'ex BH PW'!S57</f>
        <v>0</v>
      </c>
      <c r="L48" s="133">
        <f>+'ex BH PW'!T57</f>
        <v>0</v>
      </c>
      <c r="M48" s="133">
        <f>+'ex BH PW'!U57</f>
        <v>0</v>
      </c>
      <c r="N48" s="133">
        <f>+'ex BH PW'!V57</f>
        <v>0</v>
      </c>
      <c r="O48" s="133">
        <f>+'ex BH PW'!W57</f>
        <v>0</v>
      </c>
      <c r="P48" s="133">
        <f>+'ex BH PW'!X57</f>
        <v>0</v>
      </c>
      <c r="Q48" s="133">
        <f>+'ex BH PW'!Y57</f>
        <v>0</v>
      </c>
      <c r="R48" s="133">
        <f>+'ex BH PW'!Z57</f>
        <v>0</v>
      </c>
      <c r="S48" s="133">
        <f>+'ex BH PW'!AA57</f>
        <v>0</v>
      </c>
      <c r="T48" s="133">
        <f>+'ex BH PW'!AB57</f>
        <v>0</v>
      </c>
      <c r="U48" s="133">
        <f>+'ex BH PW'!AC57</f>
        <v>0</v>
      </c>
      <c r="V48" s="133">
        <f>+'ex BH PW'!AD57</f>
        <v>0</v>
      </c>
      <c r="W48" s="133">
        <f>+'ex BH PW'!AE57</f>
        <v>0</v>
      </c>
      <c r="X48" s="133">
        <f>+'ex BH PW'!AF57</f>
        <v>0</v>
      </c>
      <c r="Y48" s="133">
        <f>+'ex BH PW'!AG57</f>
        <v>0</v>
      </c>
      <c r="Z48" s="133">
        <f>+'ex BH PW'!AH57</f>
        <v>0</v>
      </c>
    </row>
    <row r="49" spans="1:26" x14ac:dyDescent="0.25">
      <c r="A49" s="132" t="str">
        <f>+'ex BH PW'!H58</f>
        <v>Continentale</v>
      </c>
      <c r="B49" s="133" t="str">
        <f>+'ex BH PW'!J58</f>
        <v>6100401</v>
      </c>
      <c r="C49" s="133">
        <f>+'ex BH PW'!I58</f>
        <v>0</v>
      </c>
      <c r="D49" s="133">
        <f>+'ex BH PW'!K58</f>
        <v>0</v>
      </c>
      <c r="E49" s="133">
        <f>+'ex BH PW'!L58</f>
        <v>0</v>
      </c>
      <c r="F49" s="133">
        <f>+'ex BH PW'!M58</f>
        <v>0</v>
      </c>
      <c r="G49" s="133">
        <f>+'ex BH PW'!N58</f>
        <v>0</v>
      </c>
      <c r="H49" s="133">
        <f>+'ex BH PW'!P58</f>
        <v>0</v>
      </c>
      <c r="I49" s="133">
        <f>+'ex BH PW'!Q58</f>
        <v>0</v>
      </c>
      <c r="J49" s="133">
        <f>+'ex BH PW'!R58</f>
        <v>0</v>
      </c>
      <c r="K49" s="133">
        <f>+'ex BH PW'!S58</f>
        <v>0</v>
      </c>
      <c r="L49" s="133">
        <f>+'ex BH PW'!T58</f>
        <v>0</v>
      </c>
      <c r="M49" s="133">
        <f>+'ex BH PW'!U58</f>
        <v>0</v>
      </c>
      <c r="N49" s="133">
        <f>+'ex BH PW'!V58</f>
        <v>0</v>
      </c>
      <c r="O49" s="133">
        <f>+'ex BH PW'!W58</f>
        <v>0</v>
      </c>
      <c r="P49" s="133">
        <f>+'ex BH PW'!X58</f>
        <v>0</v>
      </c>
      <c r="Q49" s="133">
        <f>+'ex BH PW'!Y58</f>
        <v>0</v>
      </c>
      <c r="R49" s="133">
        <f>+'ex BH PW'!Z58</f>
        <v>0</v>
      </c>
      <c r="S49" s="133">
        <f>+'ex BH PW'!AA58</f>
        <v>0</v>
      </c>
      <c r="T49" s="133">
        <f>+'ex BH PW'!AB58</f>
        <v>0</v>
      </c>
      <c r="U49" s="133">
        <f>+'ex BH PW'!AC58</f>
        <v>0</v>
      </c>
      <c r="V49" s="133">
        <f>+'ex BH PW'!AD58</f>
        <v>0</v>
      </c>
      <c r="W49" s="133">
        <f>+'ex BH PW'!AE58</f>
        <v>0</v>
      </c>
      <c r="X49" s="133">
        <f>+'ex BH PW'!AF58</f>
        <v>0</v>
      </c>
      <c r="Y49" s="133">
        <f>+'ex BH PW'!AG58</f>
        <v>0</v>
      </c>
      <c r="Z49" s="133">
        <f>+'ex BH PW'!AH58</f>
        <v>0</v>
      </c>
    </row>
    <row r="50" spans="1:26" x14ac:dyDescent="0.25">
      <c r="A50" s="132" t="str">
        <f>+'ex BH PW'!H59</f>
        <v>covomo</v>
      </c>
      <c r="B50" s="133" t="str">
        <f>+'ex BH PW'!J59</f>
        <v>49237783</v>
      </c>
      <c r="C50" s="133">
        <f>+'ex BH PW'!I59</f>
        <v>0</v>
      </c>
      <c r="D50" s="133">
        <f>+'ex BH PW'!K59</f>
        <v>0</v>
      </c>
      <c r="E50" s="133">
        <f>+'ex BH PW'!L59</f>
        <v>0</v>
      </c>
      <c r="F50" s="133">
        <f>+'ex BH PW'!M59</f>
        <v>0</v>
      </c>
      <c r="G50" s="133">
        <f>+'ex BH PW'!N59</f>
        <v>0</v>
      </c>
      <c r="H50" s="133">
        <f>+'ex BH PW'!P59</f>
        <v>0</v>
      </c>
      <c r="I50" s="133">
        <f>+'ex BH PW'!Q59</f>
        <v>0</v>
      </c>
      <c r="J50" s="133">
        <f>+'ex BH PW'!R59</f>
        <v>0</v>
      </c>
      <c r="K50" s="133">
        <f>+'ex BH PW'!S59</f>
        <v>0</v>
      </c>
      <c r="L50" s="133">
        <f>+'ex BH PW'!T59</f>
        <v>0</v>
      </c>
      <c r="M50" s="133">
        <f>+'ex BH PW'!U59</f>
        <v>0</v>
      </c>
      <c r="N50" s="133">
        <f>+'ex BH PW'!V59</f>
        <v>0</v>
      </c>
      <c r="O50" s="133">
        <f>+'ex BH PW'!W59</f>
        <v>0</v>
      </c>
      <c r="P50" s="133">
        <f>+'ex BH PW'!X59</f>
        <v>0</v>
      </c>
      <c r="Q50" s="133">
        <f>+'ex BH PW'!Y59</f>
        <v>0</v>
      </c>
      <c r="R50" s="133">
        <f>+'ex BH PW'!Z59</f>
        <v>0</v>
      </c>
      <c r="S50" s="133">
        <f>+'ex BH PW'!AA59</f>
        <v>0</v>
      </c>
      <c r="T50" s="133">
        <f>+'ex BH PW'!AB59</f>
        <v>0</v>
      </c>
      <c r="U50" s="133">
        <f>+'ex BH PW'!AC59</f>
        <v>0</v>
      </c>
      <c r="V50" s="133">
        <f>+'ex BH PW'!AD59</f>
        <v>0</v>
      </c>
      <c r="W50" s="133">
        <f>+'ex BH PW'!AE59</f>
        <v>0</v>
      </c>
      <c r="X50" s="133">
        <f>+'ex BH PW'!AF59</f>
        <v>0</v>
      </c>
      <c r="Y50" s="133">
        <f>+'ex BH PW'!AG59</f>
        <v>0</v>
      </c>
      <c r="Z50" s="133">
        <f>+'ex BH PW'!AH59</f>
        <v>0</v>
      </c>
    </row>
    <row r="51" spans="1:26" x14ac:dyDescent="0.25">
      <c r="A51" s="132" t="str">
        <f>+'ex BH PW'!H61</f>
        <v>DEGENIA</v>
      </c>
      <c r="B51" s="133" t="str">
        <f>+'ex BH PW'!J61</f>
        <v>00106876</v>
      </c>
      <c r="C51" s="133">
        <f>+'ex BH PW'!I61</f>
        <v>0</v>
      </c>
      <c r="D51" s="133">
        <f>+'ex BH PW'!K61</f>
        <v>0</v>
      </c>
      <c r="E51" s="133">
        <f>+'ex BH PW'!L61</f>
        <v>0</v>
      </c>
      <c r="F51" s="133">
        <f>+'ex BH PW'!M61</f>
        <v>0</v>
      </c>
      <c r="G51" s="133">
        <f>+'ex BH PW'!N61</f>
        <v>0</v>
      </c>
      <c r="H51" s="133">
        <f>+'ex BH PW'!P61</f>
        <v>0</v>
      </c>
      <c r="I51" s="133">
        <f>+'ex BH PW'!Q61</f>
        <v>0</v>
      </c>
      <c r="J51" s="133">
        <f>+'ex BH PW'!R61</f>
        <v>0</v>
      </c>
      <c r="K51" s="133">
        <f>+'ex BH PW'!S61</f>
        <v>0</v>
      </c>
      <c r="L51" s="133">
        <f>+'ex BH PW'!T61</f>
        <v>0</v>
      </c>
      <c r="M51" s="133">
        <f>+'ex BH PW'!U61</f>
        <v>0</v>
      </c>
      <c r="N51" s="133">
        <f>+'ex BH PW'!V61</f>
        <v>0</v>
      </c>
      <c r="O51" s="133">
        <f>+'ex BH PW'!W61</f>
        <v>0</v>
      </c>
      <c r="P51" s="133">
        <f>+'ex BH PW'!X61</f>
        <v>0</v>
      </c>
      <c r="Q51" s="133">
        <f>+'ex BH PW'!Y61</f>
        <v>0</v>
      </c>
      <c r="R51" s="133">
        <f>+'ex BH PW'!Z61</f>
        <v>0</v>
      </c>
      <c r="S51" s="133">
        <f>+'ex BH PW'!AA61</f>
        <v>0</v>
      </c>
      <c r="T51" s="133">
        <f>+'ex BH PW'!AB61</f>
        <v>0</v>
      </c>
      <c r="U51" s="133">
        <f>+'ex BH PW'!AC61</f>
        <v>0</v>
      </c>
      <c r="V51" s="133">
        <f>+'ex BH PW'!AD61</f>
        <v>0</v>
      </c>
      <c r="W51" s="133">
        <f>+'ex BH PW'!AE61</f>
        <v>0</v>
      </c>
      <c r="X51" s="133">
        <f>+'ex BH PW'!AF61</f>
        <v>0</v>
      </c>
      <c r="Y51" s="133">
        <f>+'ex BH PW'!AG61</f>
        <v>0</v>
      </c>
      <c r="Z51" s="133">
        <f>+'ex BH PW'!AH61</f>
        <v>0</v>
      </c>
    </row>
    <row r="52" spans="1:26" x14ac:dyDescent="0.25">
      <c r="A52" s="132" t="str">
        <f>+'ex BH PW'!H63</f>
        <v>Delta Direkt</v>
      </c>
      <c r="B52" s="133" t="str">
        <f>+'ex BH PW'!J63</f>
        <v>23226630</v>
      </c>
      <c r="C52" s="133">
        <f>+'ex BH PW'!I63</f>
        <v>0</v>
      </c>
      <c r="D52" s="133">
        <f>+'ex BH PW'!K63</f>
        <v>0</v>
      </c>
      <c r="E52" s="133">
        <f>+'ex BH PW'!L63</f>
        <v>0</v>
      </c>
      <c r="F52" s="133">
        <f>+'ex BH PW'!M63</f>
        <v>0</v>
      </c>
      <c r="G52" s="133">
        <f>+'ex BH PW'!N63</f>
        <v>0</v>
      </c>
      <c r="H52" s="133">
        <f>+'ex BH PW'!P63</f>
        <v>0</v>
      </c>
      <c r="I52" s="133">
        <f>+'ex BH PW'!Q63</f>
        <v>0</v>
      </c>
      <c r="J52" s="133">
        <f>+'ex BH PW'!R63</f>
        <v>0</v>
      </c>
      <c r="K52" s="133">
        <f>+'ex BH PW'!S63</f>
        <v>0</v>
      </c>
      <c r="L52" s="133">
        <f>+'ex BH PW'!T63</f>
        <v>0</v>
      </c>
      <c r="M52" s="133">
        <f>+'ex BH PW'!U63</f>
        <v>0</v>
      </c>
      <c r="N52" s="133">
        <f>+'ex BH PW'!V63</f>
        <v>0</v>
      </c>
      <c r="O52" s="133">
        <f>+'ex BH PW'!W63</f>
        <v>0</v>
      </c>
      <c r="P52" s="133">
        <f>+'ex BH PW'!X63</f>
        <v>0</v>
      </c>
      <c r="Q52" s="133">
        <f>+'ex BH PW'!Y63</f>
        <v>0</v>
      </c>
      <c r="R52" s="133">
        <f>+'ex BH PW'!Z63</f>
        <v>0</v>
      </c>
      <c r="S52" s="133">
        <f>+'ex BH PW'!AA63</f>
        <v>0</v>
      </c>
      <c r="T52" s="133">
        <f>+'ex BH PW'!AB63</f>
        <v>0</v>
      </c>
      <c r="U52" s="133">
        <f>+'ex BH PW'!AC63</f>
        <v>0</v>
      </c>
      <c r="V52" s="133">
        <f>+'ex BH PW'!AD63</f>
        <v>0</v>
      </c>
      <c r="W52" s="133">
        <f>+'ex BH PW'!AE63</f>
        <v>0</v>
      </c>
      <c r="X52" s="133">
        <f>+'ex BH PW'!AF63</f>
        <v>0</v>
      </c>
      <c r="Y52" s="133">
        <f>+'ex BH PW'!AG63</f>
        <v>0</v>
      </c>
      <c r="Z52" s="133">
        <f>+'ex BH PW'!AH63</f>
        <v>0</v>
      </c>
    </row>
    <row r="53" spans="1:26" x14ac:dyDescent="0.25">
      <c r="A53" s="132" t="str">
        <f>+'ex BH PW'!H65</f>
        <v>Der Sachpool</v>
      </c>
      <c r="B53" s="133">
        <f>+'ex BH PW'!J65</f>
        <v>0</v>
      </c>
      <c r="C53" s="133">
        <f>+'ex BH PW'!I65</f>
        <v>0</v>
      </c>
      <c r="D53" s="133">
        <f>+'ex BH PW'!K65</f>
        <v>0</v>
      </c>
      <c r="E53" s="133">
        <f>+'ex BH PW'!L65</f>
        <v>0</v>
      </c>
      <c r="F53" s="133">
        <f>+'ex BH PW'!M65</f>
        <v>0</v>
      </c>
      <c r="G53" s="133">
        <f>+'ex BH PW'!N65</f>
        <v>0</v>
      </c>
      <c r="H53" s="133">
        <f>+'ex BH PW'!P65</f>
        <v>0</v>
      </c>
      <c r="I53" s="133">
        <f>+'ex BH PW'!Q65</f>
        <v>0</v>
      </c>
      <c r="J53" s="133">
        <f>+'ex BH PW'!R65</f>
        <v>0</v>
      </c>
      <c r="K53" s="133">
        <f>+'ex BH PW'!S65</f>
        <v>0</v>
      </c>
      <c r="L53" s="133">
        <f>+'ex BH PW'!T65</f>
        <v>0</v>
      </c>
      <c r="M53" s="133">
        <f>+'ex BH PW'!U65</f>
        <v>0</v>
      </c>
      <c r="N53" s="133">
        <f>+'ex BH PW'!V65</f>
        <v>0</v>
      </c>
      <c r="O53" s="133">
        <f>+'ex BH PW'!W65</f>
        <v>0</v>
      </c>
      <c r="P53" s="133">
        <f>+'ex BH PW'!X65</f>
        <v>0</v>
      </c>
      <c r="Q53" s="133">
        <f>+'ex BH PW'!Y65</f>
        <v>0</v>
      </c>
      <c r="R53" s="133">
        <f>+'ex BH PW'!Z65</f>
        <v>0</v>
      </c>
      <c r="S53" s="133">
        <f>+'ex BH PW'!AA65</f>
        <v>0</v>
      </c>
      <c r="T53" s="133">
        <f>+'ex BH PW'!AB65</f>
        <v>0</v>
      </c>
      <c r="U53" s="133">
        <f>+'ex BH PW'!AC65</f>
        <v>0</v>
      </c>
      <c r="V53" s="133">
        <f>+'ex BH PW'!AD65</f>
        <v>0</v>
      </c>
      <c r="W53" s="133">
        <f>+'ex BH PW'!AE65</f>
        <v>0</v>
      </c>
      <c r="X53" s="133">
        <f>+'ex BH PW'!AF65</f>
        <v>0</v>
      </c>
      <c r="Y53" s="133">
        <f>+'ex BH PW'!AG65</f>
        <v>0</v>
      </c>
      <c r="Z53" s="133">
        <f>+'ex BH PW'!AH65</f>
        <v>0</v>
      </c>
    </row>
    <row r="54" spans="1:26" x14ac:dyDescent="0.25">
      <c r="A54" s="132" t="str">
        <f>+'ex BH PW'!H66</f>
        <v>Deurag</v>
      </c>
      <c r="B54" s="133" t="str">
        <f>+'ex BH PW'!J66</f>
        <v>47502</v>
      </c>
      <c r="C54" s="133" t="str">
        <f>+'ex BH PW'!I66</f>
        <v>47502</v>
      </c>
      <c r="D54" s="133">
        <f>+'ex BH PW'!K66</f>
        <v>0</v>
      </c>
      <c r="E54" s="133" t="str">
        <f>+'ex BH PW'!L66</f>
        <v>51089</v>
      </c>
      <c r="F54" s="133">
        <f>+'ex BH PW'!M66</f>
        <v>0</v>
      </c>
      <c r="G54" s="133">
        <f>+'ex BH PW'!N66</f>
        <v>0</v>
      </c>
      <c r="H54" s="133">
        <f>+'ex BH PW'!P66</f>
        <v>0</v>
      </c>
      <c r="I54" s="133">
        <f>+'ex BH PW'!Q66</f>
        <v>0</v>
      </c>
      <c r="J54" s="133">
        <f>+'ex BH PW'!R66</f>
        <v>0</v>
      </c>
      <c r="K54" s="133">
        <f>+'ex BH PW'!S66</f>
        <v>0</v>
      </c>
      <c r="L54" s="133">
        <f>+'ex BH PW'!T66</f>
        <v>0</v>
      </c>
      <c r="M54" s="133">
        <f>+'ex BH PW'!U66</f>
        <v>0</v>
      </c>
      <c r="N54" s="133">
        <f>+'ex BH PW'!V66</f>
        <v>0</v>
      </c>
      <c r="O54" s="133">
        <f>+'ex BH PW'!W66</f>
        <v>0</v>
      </c>
      <c r="P54" s="133">
        <f>+'ex BH PW'!X66</f>
        <v>0</v>
      </c>
      <c r="Q54" s="133">
        <f>+'ex BH PW'!Y66</f>
        <v>0</v>
      </c>
      <c r="R54" s="133">
        <f>+'ex BH PW'!Z66</f>
        <v>0</v>
      </c>
      <c r="S54" s="133">
        <f>+'ex BH PW'!AA66</f>
        <v>0</v>
      </c>
      <c r="T54" s="133">
        <f>+'ex BH PW'!AB66</f>
        <v>0</v>
      </c>
      <c r="U54" s="133">
        <f>+'ex BH PW'!AC66</f>
        <v>0</v>
      </c>
      <c r="V54" s="133">
        <f>+'ex BH PW'!AD66</f>
        <v>0</v>
      </c>
      <c r="W54" s="133">
        <f>+'ex BH PW'!AE66</f>
        <v>0</v>
      </c>
      <c r="X54" s="133" t="str">
        <f>+'ex BH PW'!AF66</f>
        <v>42992</v>
      </c>
      <c r="Y54" s="133">
        <f>+'ex BH PW'!AG66</f>
        <v>0</v>
      </c>
      <c r="Z54" s="133">
        <f>+'ex BH PW'!AH66</f>
        <v>0</v>
      </c>
    </row>
    <row r="55" spans="1:26" x14ac:dyDescent="0.25">
      <c r="A55" s="132" t="e">
        <f>+[1]passwörter_agenturen!#REF!</f>
        <v>#REF!</v>
      </c>
      <c r="B55" s="133" t="e">
        <f>+[1]passwörter_agenturen!#REF!</f>
        <v>#REF!</v>
      </c>
      <c r="C55" s="133" t="e">
        <f>+[1]passwörter_agenturen!#REF!</f>
        <v>#REF!</v>
      </c>
      <c r="D55" s="133" t="e">
        <f>+[1]passwörter_agenturen!#REF!</f>
        <v>#REF!</v>
      </c>
      <c r="E55" s="133" t="e">
        <f>+[1]passwörter_agenturen!#REF!</f>
        <v>#REF!</v>
      </c>
      <c r="F55" s="133" t="e">
        <f>+[1]passwörter_agenturen!#REF!</f>
        <v>#REF!</v>
      </c>
      <c r="G55" s="133" t="e">
        <f>+[1]passwörter_agenturen!#REF!</f>
        <v>#REF!</v>
      </c>
      <c r="H55" s="133" t="e">
        <f>+[1]passwörter_agenturen!#REF!</f>
        <v>#REF!</v>
      </c>
      <c r="I55" s="133" t="e">
        <f>+[1]passwörter_agenturen!#REF!</f>
        <v>#REF!</v>
      </c>
      <c r="J55" s="133" t="e">
        <f>+[1]passwörter_agenturen!#REF!</f>
        <v>#REF!</v>
      </c>
      <c r="K55" s="133" t="e">
        <f>+[1]passwörter_agenturen!#REF!</f>
        <v>#REF!</v>
      </c>
      <c r="L55" s="133" t="e">
        <f>+[1]passwörter_agenturen!#REF!</f>
        <v>#REF!</v>
      </c>
      <c r="M55" s="133" t="e">
        <f>+[1]passwörter_agenturen!#REF!</f>
        <v>#REF!</v>
      </c>
      <c r="N55" s="133" t="e">
        <f>+[1]passwörter_agenturen!#REF!</f>
        <v>#REF!</v>
      </c>
      <c r="O55" s="133" t="e">
        <f>+[1]passwörter_agenturen!#REF!</f>
        <v>#REF!</v>
      </c>
      <c r="P55" s="133" t="e">
        <f>+[1]passwörter_agenturen!#REF!</f>
        <v>#REF!</v>
      </c>
      <c r="Q55" s="133" t="e">
        <f>+[1]passwörter_agenturen!#REF!</f>
        <v>#REF!</v>
      </c>
      <c r="R55" s="133" t="e">
        <f>+[1]passwörter_agenturen!#REF!</f>
        <v>#REF!</v>
      </c>
      <c r="S55" s="133" t="e">
        <f>+[1]passwörter_agenturen!#REF!</f>
        <v>#REF!</v>
      </c>
      <c r="T55" s="133" t="e">
        <f>+[1]passwörter_agenturen!#REF!</f>
        <v>#REF!</v>
      </c>
      <c r="U55" s="133" t="e">
        <f>+[1]passwörter_agenturen!#REF!</f>
        <v>#REF!</v>
      </c>
      <c r="V55" s="133" t="e">
        <f>+[1]passwörter_agenturen!#REF!</f>
        <v>#REF!</v>
      </c>
      <c r="W55" s="133" t="e">
        <f>+[1]passwörter_agenturen!#REF!</f>
        <v>#REF!</v>
      </c>
      <c r="X55" s="133" t="e">
        <f>+[1]passwörter_agenturen!#REF!</f>
        <v>#REF!</v>
      </c>
      <c r="Y55" s="133" t="e">
        <f>+[1]passwörter_agenturen!#REF!</f>
        <v>#REF!</v>
      </c>
      <c r="Z55" s="133" t="e">
        <f>+[1]passwörter_agenturen!#REF!</f>
        <v>#REF!</v>
      </c>
    </row>
    <row r="56" spans="1:26" x14ac:dyDescent="0.25">
      <c r="A56" s="132" t="str">
        <f>+'ex BH PW'!H67</f>
        <v>Deutsche Lebensversicherung AG (Allianz)</v>
      </c>
      <c r="B56" s="133" t="str">
        <f>+'ex BH PW'!J67</f>
        <v>70/2020418</v>
      </c>
      <c r="C56" s="133">
        <f>+'ex BH PW'!I67</f>
        <v>0</v>
      </c>
      <c r="D56" s="133">
        <f>+'ex BH PW'!K67</f>
        <v>0</v>
      </c>
      <c r="E56" s="133">
        <f>+'ex BH PW'!L67</f>
        <v>0</v>
      </c>
      <c r="F56" s="133">
        <f>+'ex BH PW'!M67</f>
        <v>0</v>
      </c>
      <c r="G56" s="133">
        <f>+'ex BH PW'!N67</f>
        <v>0</v>
      </c>
      <c r="H56" s="133">
        <f>+'ex BH PW'!P67</f>
        <v>0</v>
      </c>
      <c r="I56" s="133">
        <f>+'ex BH PW'!Q67</f>
        <v>0</v>
      </c>
      <c r="J56" s="133">
        <f>+'ex BH PW'!R67</f>
        <v>0</v>
      </c>
      <c r="K56" s="133">
        <f>+'ex BH PW'!S67</f>
        <v>0</v>
      </c>
      <c r="L56" s="133">
        <f>+'ex BH PW'!T67</f>
        <v>0</v>
      </c>
      <c r="M56" s="133">
        <f>+'ex BH PW'!U67</f>
        <v>0</v>
      </c>
      <c r="N56" s="133">
        <f>+'ex BH PW'!V67</f>
        <v>0</v>
      </c>
      <c r="O56" s="133">
        <f>+'ex BH PW'!W67</f>
        <v>0</v>
      </c>
      <c r="P56" s="133">
        <f>+'ex BH PW'!X67</f>
        <v>0</v>
      </c>
      <c r="Q56" s="133">
        <f>+'ex BH PW'!Y67</f>
        <v>0</v>
      </c>
      <c r="R56" s="133">
        <f>+'ex BH PW'!Z67</f>
        <v>0</v>
      </c>
      <c r="S56" s="133">
        <f>+'ex BH PW'!AA67</f>
        <v>0</v>
      </c>
      <c r="T56" s="133">
        <f>+'ex BH PW'!AB67</f>
        <v>0</v>
      </c>
      <c r="U56" s="133">
        <f>+'ex BH PW'!AC67</f>
        <v>0</v>
      </c>
      <c r="V56" s="133">
        <f>+'ex BH PW'!AD67</f>
        <v>0</v>
      </c>
      <c r="W56" s="133">
        <f>+'ex BH PW'!AE67</f>
        <v>0</v>
      </c>
      <c r="X56" s="133">
        <f>+'ex BH PW'!AF67</f>
        <v>0</v>
      </c>
      <c r="Y56" s="133">
        <f>+'ex BH PW'!AG67</f>
        <v>0</v>
      </c>
      <c r="Z56" s="133">
        <f>+'ex BH PW'!AH67</f>
        <v>0</v>
      </c>
    </row>
    <row r="57" spans="1:26" x14ac:dyDescent="0.25">
      <c r="A57" s="132" t="str">
        <f>+'ex BH PW'!H69</f>
        <v>Deutscher Ring Kranken</v>
      </c>
      <c r="B57" s="133" t="str">
        <f>+'ex BH PW'!J69</f>
        <v>8656194</v>
      </c>
      <c r="C57" s="133" t="str">
        <f>+'ex BH PW'!I69</f>
        <v>8656194</v>
      </c>
      <c r="D57" s="133">
        <f>+'ex BH PW'!K69</f>
        <v>0</v>
      </c>
      <c r="E57" s="133">
        <f>+'ex BH PW'!L69</f>
        <v>0</v>
      </c>
      <c r="F57" s="133">
        <f>+'ex BH PW'!M69</f>
        <v>0</v>
      </c>
      <c r="G57" s="133">
        <f>+'ex BH PW'!N69</f>
        <v>0</v>
      </c>
      <c r="H57" s="133">
        <f>+'ex BH PW'!P69</f>
        <v>0</v>
      </c>
      <c r="I57" s="133">
        <f>+'ex BH PW'!Q69</f>
        <v>0</v>
      </c>
      <c r="J57" s="133">
        <f>+'ex BH PW'!R69</f>
        <v>0</v>
      </c>
      <c r="K57" s="133">
        <f>+'ex BH PW'!S69</f>
        <v>0</v>
      </c>
      <c r="L57" s="133">
        <f>+'ex BH PW'!T69</f>
        <v>0</v>
      </c>
      <c r="M57" s="133">
        <f>+'ex BH PW'!U69</f>
        <v>0</v>
      </c>
      <c r="N57" s="133">
        <f>+'ex BH PW'!V69</f>
        <v>0</v>
      </c>
      <c r="O57" s="133">
        <f>+'ex BH PW'!W69</f>
        <v>0</v>
      </c>
      <c r="P57" s="133">
        <f>+'ex BH PW'!X69</f>
        <v>0</v>
      </c>
      <c r="Q57" s="133">
        <f>+'ex BH PW'!Y69</f>
        <v>0</v>
      </c>
      <c r="R57" s="133">
        <f>+'ex BH PW'!Z69</f>
        <v>0</v>
      </c>
      <c r="S57" s="133">
        <f>+'ex BH PW'!AA69</f>
        <v>0</v>
      </c>
      <c r="T57" s="133">
        <f>+'ex BH PW'!AB69</f>
        <v>0</v>
      </c>
      <c r="U57" s="133">
        <f>+'ex BH PW'!AC69</f>
        <v>0</v>
      </c>
      <c r="V57" s="133">
        <f>+'ex BH PW'!AD69</f>
        <v>0</v>
      </c>
      <c r="W57" s="133">
        <f>+'ex BH PW'!AE69</f>
        <v>0</v>
      </c>
      <c r="X57" s="133">
        <f>+'ex BH PW'!AF69</f>
        <v>0</v>
      </c>
      <c r="Y57" s="133">
        <f>+'ex BH PW'!AG69</f>
        <v>0</v>
      </c>
      <c r="Z57" s="133">
        <f>+'ex BH PW'!AH69</f>
        <v>0</v>
      </c>
    </row>
    <row r="58" spans="1:26" x14ac:dyDescent="0.25">
      <c r="A58" s="132" t="str">
        <f>+'ex BH PW'!H71</f>
        <v>Dialog Leben</v>
      </c>
      <c r="B58" s="133" t="str">
        <f>+'ex BH PW'!J71</f>
        <v>48/0203</v>
      </c>
      <c r="C58" s="133" t="str">
        <f>+'ex BH PW'!I71</f>
        <v>480203</v>
      </c>
      <c r="D58" s="133">
        <f>+'ex BH PW'!K71</f>
        <v>0</v>
      </c>
      <c r="E58" s="133">
        <f>+'ex BH PW'!L71</f>
        <v>0</v>
      </c>
      <c r="F58" s="133">
        <f>+'ex BH PW'!M71</f>
        <v>0</v>
      </c>
      <c r="G58" s="133">
        <f>+'ex BH PW'!N71</f>
        <v>0</v>
      </c>
      <c r="H58" s="133">
        <f>+'ex BH PW'!P71</f>
        <v>0</v>
      </c>
      <c r="I58" s="133">
        <f>+'ex BH PW'!Q71</f>
        <v>0</v>
      </c>
      <c r="J58" s="133">
        <f>+'ex BH PW'!R71</f>
        <v>0</v>
      </c>
      <c r="K58" s="133">
        <f>+'ex BH PW'!S71</f>
        <v>0</v>
      </c>
      <c r="L58" s="133">
        <f>+'ex BH PW'!T71</f>
        <v>0</v>
      </c>
      <c r="M58" s="133">
        <f>+'ex BH PW'!U71</f>
        <v>0</v>
      </c>
      <c r="N58" s="133">
        <f>+'ex BH PW'!V71</f>
        <v>0</v>
      </c>
      <c r="O58" s="133">
        <f>+'ex BH PW'!W71</f>
        <v>0</v>
      </c>
      <c r="P58" s="133">
        <f>+'ex BH PW'!X71</f>
        <v>0</v>
      </c>
      <c r="Q58" s="133">
        <f>+'ex BH PW'!Y71</f>
        <v>0</v>
      </c>
      <c r="R58" s="133">
        <f>+'ex BH PW'!Z71</f>
        <v>0</v>
      </c>
      <c r="S58" s="133">
        <f>+'ex BH PW'!AA71</f>
        <v>0</v>
      </c>
      <c r="T58" s="133">
        <f>+'ex BH PW'!AB71</f>
        <v>0</v>
      </c>
      <c r="U58" s="133">
        <f>+'ex BH PW'!AC71</f>
        <v>0</v>
      </c>
      <c r="V58" s="133">
        <f>+'ex BH PW'!AD71</f>
        <v>0</v>
      </c>
      <c r="W58" s="133">
        <f>+'ex BH PW'!AE71</f>
        <v>0</v>
      </c>
      <c r="X58" s="133">
        <f>+'ex BH PW'!AF71</f>
        <v>0</v>
      </c>
      <c r="Y58" s="133">
        <f>+'ex BH PW'!AG71</f>
        <v>0</v>
      </c>
      <c r="Z58" s="133">
        <f>+'ex BH PW'!AH71</f>
        <v>0</v>
      </c>
    </row>
    <row r="59" spans="1:26" x14ac:dyDescent="0.25">
      <c r="A59" s="132" t="str">
        <f>+'ex BH PW'!H76</f>
        <v xml:space="preserve">die Bayerische </v>
      </c>
      <c r="B59" s="133" t="str">
        <f>+'ex BH PW'!J76</f>
        <v>940862</v>
      </c>
      <c r="C59" s="133" t="str">
        <f>+'ex BH PW'!I76</f>
        <v>095910</v>
      </c>
      <c r="D59" s="133">
        <f>+'ex BH PW'!K76</f>
        <v>0</v>
      </c>
      <c r="E59" s="133" t="str">
        <f>+'ex BH PW'!L76</f>
        <v>002992 / 95022 (Patronus)</v>
      </c>
      <c r="F59" s="133">
        <f>+'ex BH PW'!M76</f>
        <v>0</v>
      </c>
      <c r="G59" s="133">
        <f>+'ex BH PW'!N76</f>
        <v>0</v>
      </c>
      <c r="H59" s="133">
        <f>+'ex BH PW'!P76</f>
        <v>0</v>
      </c>
      <c r="I59" s="133">
        <f>+'ex BH PW'!Q76</f>
        <v>0</v>
      </c>
      <c r="J59" s="133">
        <f>+'ex BH PW'!R76</f>
        <v>0</v>
      </c>
      <c r="K59" s="133">
        <f>+'ex BH PW'!S76</f>
        <v>0</v>
      </c>
      <c r="L59" s="133">
        <f>+'ex BH PW'!T76</f>
        <v>0</v>
      </c>
      <c r="M59" s="133">
        <f>+'ex BH PW'!U76</f>
        <v>0</v>
      </c>
      <c r="N59" s="133">
        <f>+'ex BH PW'!V76</f>
        <v>0</v>
      </c>
      <c r="O59" s="133">
        <f>+'ex BH PW'!W76</f>
        <v>0</v>
      </c>
      <c r="P59" s="133">
        <f>+'ex BH PW'!X76</f>
        <v>0</v>
      </c>
      <c r="Q59" s="133">
        <f>+'ex BH PW'!Y76</f>
        <v>0</v>
      </c>
      <c r="R59" s="133">
        <f>+'ex BH PW'!Z76</f>
        <v>0</v>
      </c>
      <c r="S59" s="133">
        <f>+'ex BH PW'!AA76</f>
        <v>0</v>
      </c>
      <c r="T59" s="133">
        <f>+'ex BH PW'!AB76</f>
        <v>0</v>
      </c>
      <c r="U59" s="133">
        <f>+'ex BH PW'!AC76</f>
        <v>0</v>
      </c>
      <c r="V59" s="133">
        <f>+'ex BH PW'!AD76</f>
        <v>0</v>
      </c>
      <c r="W59" s="133">
        <f>+'ex BH PW'!AE76</f>
        <v>0</v>
      </c>
      <c r="X59" s="133" t="str">
        <f>+'ex BH PW'!AF76</f>
        <v>940341</v>
      </c>
      <c r="Y59" s="133">
        <f>+'ex BH PW'!AG76</f>
        <v>0</v>
      </c>
      <c r="Z59" s="133">
        <f>+'ex BH PW'!AH76</f>
        <v>0</v>
      </c>
    </row>
    <row r="60" spans="1:26" x14ac:dyDescent="0.25">
      <c r="A60" s="132" t="str">
        <f>+'ex BH PW'!H77</f>
        <v>Die Hinterbliebenenkasse HDH</v>
      </c>
      <c r="B60" s="133" t="str">
        <f>+'ex BH PW'!J77</f>
        <v>1700999</v>
      </c>
      <c r="C60" s="133" t="str">
        <f>+'ex BH PW'!I77</f>
        <v>1700999</v>
      </c>
      <c r="D60" s="133">
        <f>+'ex BH PW'!K77</f>
        <v>0</v>
      </c>
      <c r="E60" s="133">
        <f>+'ex BH PW'!L77</f>
        <v>0</v>
      </c>
      <c r="F60" s="133">
        <f>+'ex BH PW'!M77</f>
        <v>0</v>
      </c>
      <c r="G60" s="133">
        <f>+'ex BH PW'!N77</f>
        <v>0</v>
      </c>
      <c r="H60" s="133">
        <f>+'ex BH PW'!P77</f>
        <v>0</v>
      </c>
      <c r="I60" s="133">
        <f>+'ex BH PW'!Q77</f>
        <v>0</v>
      </c>
      <c r="J60" s="133">
        <f>+'ex BH PW'!R77</f>
        <v>0</v>
      </c>
      <c r="K60" s="133">
        <f>+'ex BH PW'!S77</f>
        <v>0</v>
      </c>
      <c r="L60" s="133">
        <f>+'ex BH PW'!T77</f>
        <v>0</v>
      </c>
      <c r="M60" s="133">
        <f>+'ex BH PW'!U77</f>
        <v>0</v>
      </c>
      <c r="N60" s="133">
        <f>+'ex BH PW'!V77</f>
        <v>0</v>
      </c>
      <c r="O60" s="133">
        <f>+'ex BH PW'!W77</f>
        <v>0</v>
      </c>
      <c r="P60" s="133">
        <f>+'ex BH PW'!X77</f>
        <v>0</v>
      </c>
      <c r="Q60" s="133">
        <f>+'ex BH PW'!Y77</f>
        <v>0</v>
      </c>
      <c r="R60" s="133">
        <f>+'ex BH PW'!Z77</f>
        <v>0</v>
      </c>
      <c r="S60" s="133">
        <f>+'ex BH PW'!AA77</f>
        <v>0</v>
      </c>
      <c r="T60" s="133">
        <f>+'ex BH PW'!AB77</f>
        <v>0</v>
      </c>
      <c r="U60" s="133">
        <f>+'ex BH PW'!AC77</f>
        <v>0</v>
      </c>
      <c r="V60" s="133">
        <f>+'ex BH PW'!AD77</f>
        <v>0</v>
      </c>
      <c r="W60" s="133">
        <f>+'ex BH PW'!AE77</f>
        <v>0</v>
      </c>
      <c r="X60" s="133">
        <f>+'ex BH PW'!AF77</f>
        <v>0</v>
      </c>
      <c r="Y60" s="133">
        <f>+'ex BH PW'!AG77</f>
        <v>0</v>
      </c>
      <c r="Z60" s="133">
        <f>+'ex BH PW'!AH77</f>
        <v>0</v>
      </c>
    </row>
    <row r="61" spans="1:26" x14ac:dyDescent="0.25">
      <c r="A61" s="132" t="str">
        <f>+'ex BH PW'!H78</f>
        <v xml:space="preserve">DKB </v>
      </c>
      <c r="B61" s="133" t="str">
        <f>+'ex BH PW'!J78</f>
        <v>21 122</v>
      </c>
      <c r="C61" s="133">
        <f>+'ex BH PW'!I78</f>
        <v>0</v>
      </c>
      <c r="D61" s="133">
        <f>+'ex BH PW'!K78</f>
        <v>0</v>
      </c>
      <c r="E61" s="133">
        <f>+'ex BH PW'!L78</f>
        <v>0</v>
      </c>
      <c r="F61" s="133">
        <f>+'ex BH PW'!M78</f>
        <v>0</v>
      </c>
      <c r="G61" s="133">
        <f>+'ex BH PW'!N78</f>
        <v>0</v>
      </c>
      <c r="H61" s="133">
        <f>+'ex BH PW'!P78</f>
        <v>0</v>
      </c>
      <c r="I61" s="133">
        <f>+'ex BH PW'!Q78</f>
        <v>0</v>
      </c>
      <c r="J61" s="133">
        <f>+'ex BH PW'!R78</f>
        <v>0</v>
      </c>
      <c r="K61" s="133">
        <f>+'ex BH PW'!S78</f>
        <v>0</v>
      </c>
      <c r="L61" s="133">
        <f>+'ex BH PW'!T78</f>
        <v>0</v>
      </c>
      <c r="M61" s="133">
        <f>+'ex BH PW'!U78</f>
        <v>0</v>
      </c>
      <c r="N61" s="133">
        <f>+'ex BH PW'!V78</f>
        <v>0</v>
      </c>
      <c r="O61" s="133">
        <f>+'ex BH PW'!W78</f>
        <v>0</v>
      </c>
      <c r="P61" s="133">
        <f>+'ex BH PW'!X78</f>
        <v>0</v>
      </c>
      <c r="Q61" s="133">
        <f>+'ex BH PW'!Y78</f>
        <v>0</v>
      </c>
      <c r="R61" s="133">
        <f>+'ex BH PW'!Z78</f>
        <v>0</v>
      </c>
      <c r="S61" s="133">
        <f>+'ex BH PW'!AA78</f>
        <v>0</v>
      </c>
      <c r="T61" s="133">
        <f>+'ex BH PW'!AB78</f>
        <v>0</v>
      </c>
      <c r="U61" s="133">
        <f>+'ex BH PW'!AC78</f>
        <v>0</v>
      </c>
      <c r="V61" s="133">
        <f>+'ex BH PW'!AD78</f>
        <v>0</v>
      </c>
      <c r="W61" s="133">
        <f>+'ex BH PW'!AE78</f>
        <v>0</v>
      </c>
      <c r="X61" s="133">
        <f>+'ex BH PW'!AF78</f>
        <v>0</v>
      </c>
      <c r="Y61" s="133">
        <f>+'ex BH PW'!AG78</f>
        <v>0</v>
      </c>
      <c r="Z61" s="133">
        <f>+'ex BH PW'!AH78</f>
        <v>0</v>
      </c>
    </row>
    <row r="62" spans="1:26" x14ac:dyDescent="0.25">
      <c r="A62" s="132" t="str">
        <f>+'ex BH PW'!H79</f>
        <v>DMB Rechtsschutz</v>
      </c>
      <c r="B62" s="133">
        <f>+'ex BH PW'!J79</f>
        <v>0</v>
      </c>
      <c r="C62" s="133" t="str">
        <f>+'ex BH PW'!I79</f>
        <v>9458</v>
      </c>
      <c r="D62" s="133">
        <f>+'ex BH PW'!K79</f>
        <v>0</v>
      </c>
      <c r="E62" s="133">
        <f>+'ex BH PW'!L79</f>
        <v>0</v>
      </c>
      <c r="F62" s="133">
        <f>+'ex BH PW'!M79</f>
        <v>0</v>
      </c>
      <c r="G62" s="133">
        <f>+'ex BH PW'!N79</f>
        <v>0</v>
      </c>
      <c r="H62" s="133">
        <f>+'ex BH PW'!P79</f>
        <v>0</v>
      </c>
      <c r="I62" s="133">
        <f>+'ex BH PW'!Q79</f>
        <v>0</v>
      </c>
      <c r="J62" s="133">
        <f>+'ex BH PW'!R79</f>
        <v>0</v>
      </c>
      <c r="K62" s="133">
        <f>+'ex BH PW'!S79</f>
        <v>0</v>
      </c>
      <c r="L62" s="133">
        <f>+'ex BH PW'!T79</f>
        <v>0</v>
      </c>
      <c r="M62" s="133">
        <f>+'ex BH PW'!U79</f>
        <v>0</v>
      </c>
      <c r="N62" s="133">
        <f>+'ex BH PW'!V79</f>
        <v>0</v>
      </c>
      <c r="O62" s="133">
        <f>+'ex BH PW'!W79</f>
        <v>0</v>
      </c>
      <c r="P62" s="133">
        <f>+'ex BH PW'!X79</f>
        <v>0</v>
      </c>
      <c r="Q62" s="133">
        <f>+'ex BH PW'!Y79</f>
        <v>0</v>
      </c>
      <c r="R62" s="133">
        <f>+'ex BH PW'!Z79</f>
        <v>0</v>
      </c>
      <c r="S62" s="133">
        <f>+'ex BH PW'!AA79</f>
        <v>0</v>
      </c>
      <c r="T62" s="133">
        <f>+'ex BH PW'!AB79</f>
        <v>0</v>
      </c>
      <c r="U62" s="133">
        <f>+'ex BH PW'!AC79</f>
        <v>0</v>
      </c>
      <c r="V62" s="133">
        <f>+'ex BH PW'!AD79</f>
        <v>0</v>
      </c>
      <c r="W62" s="133">
        <f>+'ex BH PW'!AE79</f>
        <v>0</v>
      </c>
      <c r="X62" s="133">
        <f>+'ex BH PW'!AF79</f>
        <v>0</v>
      </c>
      <c r="Y62" s="133">
        <f>+'ex BH PW'!AG79</f>
        <v>0</v>
      </c>
      <c r="Z62" s="133">
        <f>+'ex BH PW'!AH79</f>
        <v>0</v>
      </c>
    </row>
    <row r="63" spans="1:26" x14ac:dyDescent="0.25">
      <c r="A63" s="132" t="str">
        <f>+'ex BH PW'!H80</f>
        <v>Domcura AG</v>
      </c>
      <c r="B63" s="133">
        <f>+'ex BH PW'!J80</f>
        <v>0</v>
      </c>
      <c r="C63" s="133" t="str">
        <f>+'ex BH PW'!I80</f>
        <v>VEMA2202</v>
      </c>
      <c r="D63" s="133">
        <f>+'ex BH PW'!K80</f>
        <v>0</v>
      </c>
      <c r="E63" s="133">
        <f>+'ex BH PW'!L80</f>
        <v>0</v>
      </c>
      <c r="F63" s="133">
        <f>+'ex BH PW'!M80</f>
        <v>0</v>
      </c>
      <c r="G63" s="133">
        <f>+'ex BH PW'!N80</f>
        <v>0</v>
      </c>
      <c r="H63" s="133">
        <f>+'ex BH PW'!P80</f>
        <v>0</v>
      </c>
      <c r="I63" s="133">
        <f>+'ex BH PW'!Q80</f>
        <v>0</v>
      </c>
      <c r="J63" s="133">
        <f>+'ex BH PW'!R80</f>
        <v>0</v>
      </c>
      <c r="K63" s="133">
        <f>+'ex BH PW'!S80</f>
        <v>0</v>
      </c>
      <c r="L63" s="133">
        <f>+'ex BH PW'!T80</f>
        <v>0</v>
      </c>
      <c r="M63" s="133">
        <f>+'ex BH PW'!U80</f>
        <v>0</v>
      </c>
      <c r="N63" s="133">
        <f>+'ex BH PW'!V80</f>
        <v>0</v>
      </c>
      <c r="O63" s="133">
        <f>+'ex BH PW'!W80</f>
        <v>0</v>
      </c>
      <c r="P63" s="133">
        <f>+'ex BH PW'!X80</f>
        <v>0</v>
      </c>
      <c r="Q63" s="133">
        <f>+'ex BH PW'!Y80</f>
        <v>0</v>
      </c>
      <c r="R63" s="133">
        <f>+'ex BH PW'!Z80</f>
        <v>0</v>
      </c>
      <c r="S63" s="133">
        <f>+'ex BH PW'!AA80</f>
        <v>0</v>
      </c>
      <c r="T63" s="133">
        <f>+'ex BH PW'!AB80</f>
        <v>0</v>
      </c>
      <c r="U63" s="133">
        <f>+'ex BH PW'!AC80</f>
        <v>0</v>
      </c>
      <c r="V63" s="133">
        <f>+'ex BH PW'!AD80</f>
        <v>0</v>
      </c>
      <c r="W63" s="133">
        <f>+'ex BH PW'!AE80</f>
        <v>0</v>
      </c>
      <c r="X63" s="133">
        <f>+'ex BH PW'!AF80</f>
        <v>0</v>
      </c>
      <c r="Y63" s="133">
        <f>+'ex BH PW'!AG80</f>
        <v>0</v>
      </c>
      <c r="Z63" s="133">
        <f>+'ex BH PW'!AH80</f>
        <v>0</v>
      </c>
    </row>
    <row r="64" spans="1:26" x14ac:dyDescent="0.25">
      <c r="A64" s="132" t="str">
        <f>+'ex BH PW'!H82</f>
        <v>ebase (Jung DMS)</v>
      </c>
      <c r="B64" s="133">
        <f>+'ex BH PW'!J82</f>
        <v>383816283</v>
      </c>
      <c r="C64" s="133">
        <f>+'ex BH PW'!I82</f>
        <v>0</v>
      </c>
      <c r="D64" s="133">
        <f>+'ex BH PW'!K82</f>
        <v>0</v>
      </c>
      <c r="E64" s="133">
        <f>+'ex BH PW'!L82</f>
        <v>0</v>
      </c>
      <c r="F64" s="133">
        <f>+'ex BH PW'!M82</f>
        <v>0</v>
      </c>
      <c r="G64" s="133">
        <f>+'ex BH PW'!N82</f>
        <v>0</v>
      </c>
      <c r="H64" s="133">
        <f>+'ex BH PW'!P82</f>
        <v>0</v>
      </c>
      <c r="I64" s="133">
        <f>+'ex BH PW'!Q82</f>
        <v>0</v>
      </c>
      <c r="J64" s="133">
        <f>+'ex BH PW'!R82</f>
        <v>0</v>
      </c>
      <c r="K64" s="133">
        <f>+'ex BH PW'!S82</f>
        <v>0</v>
      </c>
      <c r="L64" s="133">
        <f>+'ex BH PW'!T82</f>
        <v>0</v>
      </c>
      <c r="M64" s="133">
        <f>+'ex BH PW'!U82</f>
        <v>0</v>
      </c>
      <c r="N64" s="133">
        <f>+'ex BH PW'!V82</f>
        <v>0</v>
      </c>
      <c r="O64" s="133">
        <f>+'ex BH PW'!W82</f>
        <v>0</v>
      </c>
      <c r="P64" s="133">
        <f>+'ex BH PW'!X82</f>
        <v>0</v>
      </c>
      <c r="Q64" s="133">
        <f>+'ex BH PW'!Y82</f>
        <v>0</v>
      </c>
      <c r="R64" s="133">
        <f>+'ex BH PW'!Z82</f>
        <v>0</v>
      </c>
      <c r="S64" s="133">
        <f>+'ex BH PW'!AA82</f>
        <v>0</v>
      </c>
      <c r="T64" s="133">
        <f>+'ex BH PW'!AB82</f>
        <v>0</v>
      </c>
      <c r="U64" s="133">
        <f>+'ex BH PW'!AC82</f>
        <v>0</v>
      </c>
      <c r="V64" s="133">
        <f>+'ex BH PW'!AD82</f>
        <v>0</v>
      </c>
      <c r="W64" s="133">
        <f>+'ex BH PW'!AE82</f>
        <v>0</v>
      </c>
      <c r="X64" s="133">
        <f>+'ex BH PW'!AF82</f>
        <v>0</v>
      </c>
      <c r="Y64" s="133">
        <f>+'ex BH PW'!AG82</f>
        <v>0</v>
      </c>
      <c r="Z64" s="133">
        <f>+'ex BH PW'!AH82</f>
        <v>0</v>
      </c>
    </row>
    <row r="65" spans="1:26" x14ac:dyDescent="0.25">
      <c r="A65" s="132" t="str">
        <f>+'ex BH PW'!H83</f>
        <v>ebase (Jung DMS)</v>
      </c>
      <c r="B65" s="133">
        <f>+'ex BH PW'!J83</f>
        <v>37337993201</v>
      </c>
      <c r="C65" s="133">
        <f>+'ex BH PW'!I83</f>
        <v>0</v>
      </c>
      <c r="D65" s="133">
        <f>+'ex BH PW'!K83</f>
        <v>0</v>
      </c>
      <c r="E65" s="133">
        <f>+'ex BH PW'!L83</f>
        <v>0</v>
      </c>
      <c r="F65" s="133">
        <f>+'ex BH PW'!M83</f>
        <v>0</v>
      </c>
      <c r="G65" s="133">
        <f>+'ex BH PW'!N83</f>
        <v>0</v>
      </c>
      <c r="H65" s="133">
        <f>+'ex BH PW'!P83</f>
        <v>0</v>
      </c>
      <c r="I65" s="133">
        <f>+'ex BH PW'!Q83</f>
        <v>0</v>
      </c>
      <c r="J65" s="133">
        <f>+'ex BH PW'!R83</f>
        <v>0</v>
      </c>
      <c r="K65" s="133">
        <f>+'ex BH PW'!S83</f>
        <v>0</v>
      </c>
      <c r="L65" s="133">
        <f>+'ex BH PW'!T83</f>
        <v>0</v>
      </c>
      <c r="M65" s="133">
        <f>+'ex BH PW'!U83</f>
        <v>0</v>
      </c>
      <c r="N65" s="133">
        <f>+'ex BH PW'!V83</f>
        <v>0</v>
      </c>
      <c r="O65" s="133">
        <f>+'ex BH PW'!W83</f>
        <v>0</v>
      </c>
      <c r="P65" s="133">
        <f>+'ex BH PW'!X83</f>
        <v>0</v>
      </c>
      <c r="Q65" s="133">
        <f>+'ex BH PW'!Y83</f>
        <v>0</v>
      </c>
      <c r="R65" s="133">
        <f>+'ex BH PW'!Z83</f>
        <v>0</v>
      </c>
      <c r="S65" s="133">
        <f>+'ex BH PW'!AA83</f>
        <v>0</v>
      </c>
      <c r="T65" s="133">
        <f>+'ex BH PW'!AB83</f>
        <v>0</v>
      </c>
      <c r="U65" s="133">
        <f>+'ex BH PW'!AC83</f>
        <v>0</v>
      </c>
      <c r="V65" s="133">
        <f>+'ex BH PW'!AD83</f>
        <v>0</v>
      </c>
      <c r="W65" s="133">
        <f>+'ex BH PW'!AE83</f>
        <v>0</v>
      </c>
      <c r="X65" s="133">
        <f>+'ex BH PW'!AF83</f>
        <v>0</v>
      </c>
      <c r="Y65" s="133">
        <f>+'ex BH PW'!AG83</f>
        <v>0</v>
      </c>
      <c r="Z65" s="133">
        <f>+'ex BH PW'!AH83</f>
        <v>0</v>
      </c>
    </row>
    <row r="66" spans="1:26" x14ac:dyDescent="0.25">
      <c r="A66" s="132" t="str">
        <f>+'ex BH PW'!H84</f>
        <v>ebase (Jung DMS)</v>
      </c>
      <c r="B66" s="133">
        <f>+'ex BH PW'!J84</f>
        <v>383816284</v>
      </c>
      <c r="C66" s="133">
        <f>+'ex BH PW'!I84</f>
        <v>0</v>
      </c>
      <c r="D66" s="133">
        <f>+'ex BH PW'!K84</f>
        <v>0</v>
      </c>
      <c r="E66" s="133">
        <f>+'ex BH PW'!L84</f>
        <v>0</v>
      </c>
      <c r="F66" s="133">
        <f>+'ex BH PW'!M84</f>
        <v>0</v>
      </c>
      <c r="G66" s="133">
        <f>+'ex BH PW'!N84</f>
        <v>0</v>
      </c>
      <c r="H66" s="133">
        <f>+'ex BH PW'!P84</f>
        <v>0</v>
      </c>
      <c r="I66" s="133">
        <f>+'ex BH PW'!Q84</f>
        <v>0</v>
      </c>
      <c r="J66" s="133">
        <f>+'ex BH PW'!R84</f>
        <v>0</v>
      </c>
      <c r="K66" s="133">
        <f>+'ex BH PW'!S84</f>
        <v>0</v>
      </c>
      <c r="L66" s="133">
        <f>+'ex BH PW'!T84</f>
        <v>0</v>
      </c>
      <c r="M66" s="133">
        <f>+'ex BH PW'!U84</f>
        <v>0</v>
      </c>
      <c r="N66" s="133">
        <f>+'ex BH PW'!V84</f>
        <v>0</v>
      </c>
      <c r="O66" s="133">
        <f>+'ex BH PW'!W84</f>
        <v>0</v>
      </c>
      <c r="P66" s="133">
        <f>+'ex BH PW'!X84</f>
        <v>0</v>
      </c>
      <c r="Q66" s="133">
        <f>+'ex BH PW'!Y84</f>
        <v>0</v>
      </c>
      <c r="R66" s="133">
        <f>+'ex BH PW'!Z84</f>
        <v>0</v>
      </c>
      <c r="S66" s="133">
        <f>+'ex BH PW'!AA84</f>
        <v>0</v>
      </c>
      <c r="T66" s="133">
        <f>+'ex BH PW'!AB84</f>
        <v>0</v>
      </c>
      <c r="U66" s="133">
        <f>+'ex BH PW'!AC84</f>
        <v>0</v>
      </c>
      <c r="V66" s="133">
        <f>+'ex BH PW'!AD84</f>
        <v>0</v>
      </c>
      <c r="W66" s="133">
        <f>+'ex BH PW'!AE84</f>
        <v>0</v>
      </c>
      <c r="X66" s="133">
        <f>+'ex BH PW'!AF84</f>
        <v>0</v>
      </c>
      <c r="Y66" s="133">
        <f>+'ex BH PW'!AG84</f>
        <v>0</v>
      </c>
      <c r="Z66" s="133">
        <f>+'ex BH PW'!AH84</f>
        <v>0</v>
      </c>
    </row>
    <row r="67" spans="1:26" x14ac:dyDescent="0.25">
      <c r="A67" s="132" t="str">
        <f>+'ex BH PW'!H85</f>
        <v>ebase (Jung DMS)</v>
      </c>
      <c r="B67" s="133">
        <f>+'ex BH PW'!J85</f>
        <v>383816286</v>
      </c>
      <c r="C67" s="133">
        <f>+'ex BH PW'!I85</f>
        <v>0</v>
      </c>
      <c r="D67" s="133">
        <f>+'ex BH PW'!K85</f>
        <v>0</v>
      </c>
      <c r="E67" s="133">
        <f>+'ex BH PW'!L85</f>
        <v>0</v>
      </c>
      <c r="F67" s="133">
        <f>+'ex BH PW'!M85</f>
        <v>0</v>
      </c>
      <c r="G67" s="133">
        <f>+'ex BH PW'!N85</f>
        <v>0</v>
      </c>
      <c r="H67" s="133">
        <f>+'ex BH PW'!P85</f>
        <v>0</v>
      </c>
      <c r="I67" s="133">
        <f>+'ex BH PW'!Q85</f>
        <v>0</v>
      </c>
      <c r="J67" s="133">
        <f>+'ex BH PW'!R85</f>
        <v>0</v>
      </c>
      <c r="K67" s="133">
        <f>+'ex BH PW'!S85</f>
        <v>0</v>
      </c>
      <c r="L67" s="133">
        <f>+'ex BH PW'!T85</f>
        <v>0</v>
      </c>
      <c r="M67" s="133">
        <f>+'ex BH PW'!U85</f>
        <v>0</v>
      </c>
      <c r="N67" s="133">
        <f>+'ex BH PW'!V85</f>
        <v>0</v>
      </c>
      <c r="O67" s="133">
        <f>+'ex BH PW'!W85</f>
        <v>0</v>
      </c>
      <c r="P67" s="133">
        <f>+'ex BH PW'!X85</f>
        <v>0</v>
      </c>
      <c r="Q67" s="133">
        <f>+'ex BH PW'!Y85</f>
        <v>0</v>
      </c>
      <c r="R67" s="133">
        <f>+'ex BH PW'!Z85</f>
        <v>0</v>
      </c>
      <c r="S67" s="133">
        <f>+'ex BH PW'!AA85</f>
        <v>0</v>
      </c>
      <c r="T67" s="133">
        <f>+'ex BH PW'!AB85</f>
        <v>0</v>
      </c>
      <c r="U67" s="133">
        <f>+'ex BH PW'!AC85</f>
        <v>0</v>
      </c>
      <c r="V67" s="133">
        <f>+'ex BH PW'!AD85</f>
        <v>0</v>
      </c>
      <c r="W67" s="133">
        <f>+'ex BH PW'!AE85</f>
        <v>0</v>
      </c>
      <c r="X67" s="133">
        <f>+'ex BH PW'!AF85</f>
        <v>0</v>
      </c>
      <c r="Y67" s="133">
        <f>+'ex BH PW'!AG85</f>
        <v>0</v>
      </c>
      <c r="Z67" s="133">
        <f>+'ex BH PW'!AH85</f>
        <v>0</v>
      </c>
    </row>
    <row r="68" spans="1:26" x14ac:dyDescent="0.25">
      <c r="A68" s="132" t="str">
        <f>+'ex BH PW'!H87</f>
        <v>Ergo</v>
      </c>
      <c r="B68" s="133">
        <f>+'ex BH PW'!J87</f>
        <v>0</v>
      </c>
      <c r="C68" s="133">
        <f>+'ex BH PW'!I87</f>
        <v>0</v>
      </c>
      <c r="D68" s="133">
        <f>+'ex BH PW'!K87</f>
        <v>0</v>
      </c>
      <c r="E68" s="133">
        <f>+'ex BH PW'!L87</f>
        <v>0</v>
      </c>
      <c r="F68" s="133">
        <f>+'ex BH PW'!M87</f>
        <v>0</v>
      </c>
      <c r="G68" s="133">
        <f>+'ex BH PW'!N87</f>
        <v>0</v>
      </c>
      <c r="H68" s="133">
        <f>+'ex BH PW'!P87</f>
        <v>0</v>
      </c>
      <c r="I68" s="133">
        <f>+'ex BH PW'!Q87</f>
        <v>0</v>
      </c>
      <c r="J68" s="133">
        <f>+'ex BH PW'!R87</f>
        <v>0</v>
      </c>
      <c r="K68" s="133">
        <f>+'ex BH PW'!S87</f>
        <v>0</v>
      </c>
      <c r="L68" s="133">
        <f>+'ex BH PW'!T87</f>
        <v>0</v>
      </c>
      <c r="M68" s="133">
        <f>+'ex BH PW'!U87</f>
        <v>0</v>
      </c>
      <c r="N68" s="133">
        <f>+'ex BH PW'!V87</f>
        <v>0</v>
      </c>
      <c r="O68" s="133">
        <f>+'ex BH PW'!W87</f>
        <v>0</v>
      </c>
      <c r="P68" s="133">
        <f>+'ex BH PW'!X87</f>
        <v>0</v>
      </c>
      <c r="Q68" s="133">
        <f>+'ex BH PW'!Y87</f>
        <v>0</v>
      </c>
      <c r="R68" s="133">
        <f>+'ex BH PW'!Z87</f>
        <v>0</v>
      </c>
      <c r="S68" s="133">
        <f>+'ex BH PW'!AA87</f>
        <v>0</v>
      </c>
      <c r="T68" s="133">
        <f>+'ex BH PW'!AB87</f>
        <v>0</v>
      </c>
      <c r="U68" s="133">
        <f>+'ex BH PW'!AC87</f>
        <v>0</v>
      </c>
      <c r="V68" s="133">
        <f>+'ex BH PW'!AD87</f>
        <v>0</v>
      </c>
      <c r="W68" s="133">
        <f>+'ex BH PW'!AE87</f>
        <v>0</v>
      </c>
      <c r="X68" s="133">
        <f>+'ex BH PW'!AF87</f>
        <v>0</v>
      </c>
      <c r="Y68" s="133">
        <f>+'ex BH PW'!AG87</f>
        <v>0</v>
      </c>
      <c r="Z68" s="133">
        <f>+'ex BH PW'!AH87</f>
        <v>0</v>
      </c>
    </row>
    <row r="69" spans="1:26" x14ac:dyDescent="0.25">
      <c r="A69" s="132" t="str">
        <f>+'ex BH PW'!H88</f>
        <v>Ergo (ab 01.04.14 für Ergo, Ergo-L, DKV, DAS und Victoria)</v>
      </c>
      <c r="B69" s="133" t="str">
        <f>+'ex BH PW'!J88</f>
        <v>00555-1323</v>
      </c>
      <c r="C69" s="133" t="str">
        <f>+'ex BH PW'!I88</f>
        <v>00555-1323</v>
      </c>
      <c r="D69" s="133">
        <f>+'ex BH PW'!K88</f>
        <v>0</v>
      </c>
      <c r="E69" s="133">
        <f>+'ex BH PW'!L88</f>
        <v>0</v>
      </c>
      <c r="F69" s="133">
        <f>+'ex BH PW'!M88</f>
        <v>0</v>
      </c>
      <c r="G69" s="133">
        <f>+'ex BH PW'!N88</f>
        <v>0</v>
      </c>
      <c r="H69" s="133">
        <f>+'ex BH PW'!P88</f>
        <v>0</v>
      </c>
      <c r="I69" s="133">
        <f>+'ex BH PW'!Q88</f>
        <v>0</v>
      </c>
      <c r="J69" s="133">
        <f>+'ex BH PW'!R88</f>
        <v>0</v>
      </c>
      <c r="K69" s="133">
        <f>+'ex BH PW'!S88</f>
        <v>0</v>
      </c>
      <c r="L69" s="133">
        <f>+'ex BH PW'!T88</f>
        <v>0</v>
      </c>
      <c r="M69" s="133">
        <f>+'ex BH PW'!U88</f>
        <v>0</v>
      </c>
      <c r="N69" s="133">
        <f>+'ex BH PW'!V88</f>
        <v>0</v>
      </c>
      <c r="O69" s="133">
        <f>+'ex BH PW'!W88</f>
        <v>0</v>
      </c>
      <c r="P69" s="133">
        <f>+'ex BH PW'!X88</f>
        <v>0</v>
      </c>
      <c r="Q69" s="133">
        <f>+'ex BH PW'!Y88</f>
        <v>0</v>
      </c>
      <c r="R69" s="133">
        <f>+'ex BH PW'!Z88</f>
        <v>0</v>
      </c>
      <c r="S69" s="133">
        <f>+'ex BH PW'!AA88</f>
        <v>0</v>
      </c>
      <c r="T69" s="133">
        <f>+'ex BH PW'!AB88</f>
        <v>0</v>
      </c>
      <c r="U69" s="133">
        <f>+'ex BH PW'!AC88</f>
        <v>0</v>
      </c>
      <c r="V69" s="133">
        <f>+'ex BH PW'!AD88</f>
        <v>0</v>
      </c>
      <c r="W69" s="133">
        <f>+'ex BH PW'!AE88</f>
        <v>0</v>
      </c>
      <c r="X69" s="133">
        <f>+'ex BH PW'!AF88</f>
        <v>0</v>
      </c>
      <c r="Y69" s="133">
        <f>+'ex BH PW'!AG88</f>
        <v>0</v>
      </c>
      <c r="Z69" s="133">
        <f>+'ex BH PW'!AH88</f>
        <v>0</v>
      </c>
    </row>
    <row r="70" spans="1:26" x14ac:dyDescent="0.25">
      <c r="A70" s="132" t="str">
        <f>+'ex BH PW'!H89</f>
        <v>Ergo KV (ex DKV)</v>
      </c>
      <c r="B70" s="133" t="str">
        <f>+'ex BH PW'!J89</f>
        <v>245353852</v>
      </c>
      <c r="C70" s="133" t="str">
        <f>+'ex BH PW'!I91</f>
        <v>886221478</v>
      </c>
      <c r="D70" s="133">
        <f>+'ex BH PW'!K89</f>
        <v>0</v>
      </c>
      <c r="E70" s="133">
        <f>+'ex BH PW'!L89</f>
        <v>0</v>
      </c>
      <c r="F70" s="133">
        <f>+'ex BH PW'!M89</f>
        <v>0</v>
      </c>
      <c r="G70" s="133">
        <f>+'ex BH PW'!N89</f>
        <v>0</v>
      </c>
      <c r="H70" s="133">
        <f>+'ex BH PW'!P89</f>
        <v>0</v>
      </c>
      <c r="I70" s="133">
        <f>+'ex BH PW'!Q89</f>
        <v>0</v>
      </c>
      <c r="J70" s="133">
        <f>+'ex BH PW'!R89</f>
        <v>0</v>
      </c>
      <c r="K70" s="133">
        <f>+'ex BH PW'!S89</f>
        <v>0</v>
      </c>
      <c r="L70" s="133">
        <f>+'ex BH PW'!T89</f>
        <v>0</v>
      </c>
      <c r="M70" s="133">
        <f>+'ex BH PW'!U89</f>
        <v>0</v>
      </c>
      <c r="N70" s="133">
        <f>+'ex BH PW'!V89</f>
        <v>0</v>
      </c>
      <c r="O70" s="133">
        <f>+'ex BH PW'!W89</f>
        <v>0</v>
      </c>
      <c r="P70" s="133">
        <f>+'ex BH PW'!X89</f>
        <v>0</v>
      </c>
      <c r="Q70" s="133">
        <f>+'ex BH PW'!Y89</f>
        <v>0</v>
      </c>
      <c r="R70" s="133">
        <f>+'ex BH PW'!Z89</f>
        <v>0</v>
      </c>
      <c r="S70" s="133">
        <f>+'ex BH PW'!AA89</f>
        <v>0</v>
      </c>
      <c r="T70" s="133">
        <f>+'ex BH PW'!AB89</f>
        <v>0</v>
      </c>
      <c r="U70" s="133">
        <f>+'ex BH PW'!AC89</f>
        <v>0</v>
      </c>
      <c r="V70" s="133">
        <f>+'ex BH PW'!AD89</f>
        <v>0</v>
      </c>
      <c r="W70" s="133">
        <f>+'ex BH PW'!AE89</f>
        <v>0</v>
      </c>
      <c r="X70" s="133">
        <f>+'ex BH PW'!AF89</f>
        <v>0</v>
      </c>
      <c r="Y70" s="133">
        <f>+'ex BH PW'!AG89</f>
        <v>0</v>
      </c>
      <c r="Z70" s="133">
        <f>+'ex BH PW'!AH89</f>
        <v>0</v>
      </c>
    </row>
    <row r="71" spans="1:26" x14ac:dyDescent="0.25">
      <c r="A71" s="132" t="str">
        <f>+'ex BH PW'!H92</f>
        <v>Ergo Direkt</v>
      </c>
      <c r="B71" s="133" t="str">
        <f>+'ex BH PW'!J92</f>
        <v>60001-3404</v>
      </c>
      <c r="C71" s="133" t="str">
        <f>+'ex BH PW'!I92</f>
        <v>60001-3404</v>
      </c>
      <c r="D71" s="133">
        <f>+'ex BH PW'!K92</f>
        <v>0</v>
      </c>
      <c r="E71" s="133">
        <f>+'ex BH PW'!L92</f>
        <v>0</v>
      </c>
      <c r="F71" s="133">
        <f>+'ex BH PW'!M92</f>
        <v>0</v>
      </c>
      <c r="G71" s="133">
        <f>+'ex BH PW'!N92</f>
        <v>0</v>
      </c>
      <c r="H71" s="133">
        <f>+'ex BH PW'!P92</f>
        <v>0</v>
      </c>
      <c r="I71" s="133">
        <f>+'ex BH PW'!Q92</f>
        <v>0</v>
      </c>
      <c r="J71" s="133">
        <f>+'ex BH PW'!R92</f>
        <v>0</v>
      </c>
      <c r="K71" s="133">
        <f>+'ex BH PW'!S92</f>
        <v>0</v>
      </c>
      <c r="L71" s="133">
        <f>+'ex BH PW'!T92</f>
        <v>0</v>
      </c>
      <c r="M71" s="133">
        <f>+'ex BH PW'!U92</f>
        <v>0</v>
      </c>
      <c r="N71" s="133">
        <f>+'ex BH PW'!V92</f>
        <v>0</v>
      </c>
      <c r="O71" s="133">
        <f>+'ex BH PW'!W92</f>
        <v>0</v>
      </c>
      <c r="P71" s="133">
        <f>+'ex BH PW'!X92</f>
        <v>0</v>
      </c>
      <c r="Q71" s="133">
        <f>+'ex BH PW'!Y92</f>
        <v>0</v>
      </c>
      <c r="R71" s="133">
        <f>+'ex BH PW'!Z92</f>
        <v>0</v>
      </c>
      <c r="S71" s="133">
        <f>+'ex BH PW'!AA92</f>
        <v>0</v>
      </c>
      <c r="T71" s="133">
        <f>+'ex BH PW'!AB92</f>
        <v>0</v>
      </c>
      <c r="U71" s="133">
        <f>+'ex BH PW'!AC92</f>
        <v>0</v>
      </c>
      <c r="V71" s="133">
        <f>+'ex BH PW'!AD92</f>
        <v>0</v>
      </c>
      <c r="W71" s="133">
        <f>+'ex BH PW'!AE92</f>
        <v>0</v>
      </c>
      <c r="X71" s="133">
        <f>+'ex BH PW'!AF92</f>
        <v>0</v>
      </c>
      <c r="Y71" s="133">
        <f>+'ex BH PW'!AG92</f>
        <v>0</v>
      </c>
      <c r="Z71" s="133">
        <f>+'ex BH PW'!AH92</f>
        <v>0</v>
      </c>
    </row>
    <row r="72" spans="1:26" x14ac:dyDescent="0.25">
      <c r="A72" s="132" t="str">
        <f>+'ex BH PW'!H94</f>
        <v>Europ Assistance Versicherungs-AG</v>
      </c>
      <c r="B72" s="133" t="str">
        <f>+'ex BH PW'!J94</f>
        <v>122700</v>
      </c>
      <c r="C72" s="133">
        <f>+'ex BH PW'!I94</f>
        <v>0</v>
      </c>
      <c r="D72" s="133">
        <f>+'ex BH PW'!K94</f>
        <v>0</v>
      </c>
      <c r="E72" s="133">
        <f>+'ex BH PW'!L94</f>
        <v>0</v>
      </c>
      <c r="F72" s="133">
        <f>+'ex BH PW'!M94</f>
        <v>0</v>
      </c>
      <c r="G72" s="133">
        <f>+'ex BH PW'!N94</f>
        <v>0</v>
      </c>
      <c r="H72" s="133">
        <f>+'ex BH PW'!P94</f>
        <v>0</v>
      </c>
      <c r="I72" s="133">
        <f>+'ex BH PW'!Q94</f>
        <v>0</v>
      </c>
      <c r="J72" s="133">
        <f>+'ex BH PW'!R94</f>
        <v>0</v>
      </c>
      <c r="K72" s="133">
        <f>+'ex BH PW'!S94</f>
        <v>0</v>
      </c>
      <c r="L72" s="133">
        <f>+'ex BH PW'!T94</f>
        <v>0</v>
      </c>
      <c r="M72" s="133">
        <f>+'ex BH PW'!U94</f>
        <v>0</v>
      </c>
      <c r="N72" s="133">
        <f>+'ex BH PW'!V94</f>
        <v>0</v>
      </c>
      <c r="O72" s="133">
        <f>+'ex BH PW'!W94</f>
        <v>0</v>
      </c>
      <c r="P72" s="133">
        <f>+'ex BH PW'!X94</f>
        <v>0</v>
      </c>
      <c r="Q72" s="133">
        <f>+'ex BH PW'!Y94</f>
        <v>0</v>
      </c>
      <c r="R72" s="133">
        <f>+'ex BH PW'!Z94</f>
        <v>0</v>
      </c>
      <c r="S72" s="133">
        <f>+'ex BH PW'!AA94</f>
        <v>0</v>
      </c>
      <c r="T72" s="133">
        <f>+'ex BH PW'!AB94</f>
        <v>0</v>
      </c>
      <c r="U72" s="133">
        <f>+'ex BH PW'!AC94</f>
        <v>0</v>
      </c>
      <c r="V72" s="133">
        <f>+'ex BH PW'!AD94</f>
        <v>0</v>
      </c>
      <c r="W72" s="133">
        <f>+'ex BH PW'!AE94</f>
        <v>0</v>
      </c>
      <c r="X72" s="133">
        <f>+'ex BH PW'!AF94</f>
        <v>0</v>
      </c>
      <c r="Y72" s="133">
        <f>+'ex BH PW'!AG94</f>
        <v>0</v>
      </c>
      <c r="Z72" s="133">
        <f>+'ex BH PW'!AH94</f>
        <v>0</v>
      </c>
    </row>
    <row r="73" spans="1:26" x14ac:dyDescent="0.25">
      <c r="A73" s="132" t="str">
        <f>+'ex BH PW'!H95</f>
        <v>Europa (über Continentale)</v>
      </c>
      <c r="B73" s="133" t="str">
        <f>+'ex BH PW'!J95</f>
        <v>9200754</v>
      </c>
      <c r="C73" s="133">
        <f>+'ex BH PW'!I95</f>
        <v>0</v>
      </c>
      <c r="D73" s="133">
        <f>+'ex BH PW'!K95</f>
        <v>0</v>
      </c>
      <c r="E73" s="133">
        <f>+'ex BH PW'!L95</f>
        <v>0</v>
      </c>
      <c r="F73" s="133">
        <f>+'ex BH PW'!M95</f>
        <v>0</v>
      </c>
      <c r="G73" s="133">
        <f>+'ex BH PW'!N95</f>
        <v>0</v>
      </c>
      <c r="H73" s="133">
        <f>+'ex BH PW'!P95</f>
        <v>0</v>
      </c>
      <c r="I73" s="133">
        <f>+'ex BH PW'!Q95</f>
        <v>0</v>
      </c>
      <c r="J73" s="133">
        <f>+'ex BH PW'!R95</f>
        <v>0</v>
      </c>
      <c r="K73" s="133">
        <f>+'ex BH PW'!S95</f>
        <v>0</v>
      </c>
      <c r="L73" s="133">
        <f>+'ex BH PW'!T95</f>
        <v>0</v>
      </c>
      <c r="M73" s="133">
        <f>+'ex BH PW'!U95</f>
        <v>0</v>
      </c>
      <c r="N73" s="133">
        <f>+'ex BH PW'!V95</f>
        <v>0</v>
      </c>
      <c r="O73" s="133">
        <f>+'ex BH PW'!W95</f>
        <v>0</v>
      </c>
      <c r="P73" s="133">
        <f>+'ex BH PW'!X95</f>
        <v>0</v>
      </c>
      <c r="Q73" s="133">
        <f>+'ex BH PW'!Y95</f>
        <v>0</v>
      </c>
      <c r="R73" s="133">
        <f>+'ex BH PW'!Z95</f>
        <v>0</v>
      </c>
      <c r="S73" s="133">
        <f>+'ex BH PW'!AA95</f>
        <v>0</v>
      </c>
      <c r="T73" s="133">
        <f>+'ex BH PW'!AB95</f>
        <v>0</v>
      </c>
      <c r="U73" s="133">
        <f>+'ex BH PW'!AC95</f>
        <v>0</v>
      </c>
      <c r="V73" s="133">
        <f>+'ex BH PW'!AD95</f>
        <v>0</v>
      </c>
      <c r="W73" s="133">
        <f>+'ex BH PW'!AE95</f>
        <v>0</v>
      </c>
      <c r="X73" s="133">
        <f>+'ex BH PW'!AF95</f>
        <v>0</v>
      </c>
      <c r="Y73" s="133">
        <f>+'ex BH PW'!AG95</f>
        <v>0</v>
      </c>
      <c r="Z73" s="133">
        <f>+'ex BH PW'!AH95</f>
        <v>0</v>
      </c>
    </row>
    <row r="74" spans="1:26" x14ac:dyDescent="0.25">
      <c r="A74" s="132" t="str">
        <f>+'ex BH PW'!H96</f>
        <v>FdB Fondsdepot Bank (Jung DMS)</v>
      </c>
      <c r="B74" s="133" t="str">
        <f>+'ex BH PW'!J96</f>
        <v>V201193478</v>
      </c>
      <c r="C74" s="133">
        <f>+'ex BH PW'!I96</f>
        <v>0</v>
      </c>
      <c r="D74" s="133">
        <f>+'ex BH PW'!K96</f>
        <v>0</v>
      </c>
      <c r="E74" s="133">
        <f>+'ex BH PW'!L96</f>
        <v>0</v>
      </c>
      <c r="F74" s="133">
        <f>+'ex BH PW'!M96</f>
        <v>0</v>
      </c>
      <c r="G74" s="133">
        <f>+'ex BH PW'!N96</f>
        <v>0</v>
      </c>
      <c r="H74" s="133">
        <f>+'ex BH PW'!P96</f>
        <v>0</v>
      </c>
      <c r="I74" s="133">
        <f>+'ex BH PW'!Q96</f>
        <v>0</v>
      </c>
      <c r="J74" s="133">
        <f>+'ex BH PW'!R96</f>
        <v>0</v>
      </c>
      <c r="K74" s="133">
        <f>+'ex BH PW'!S96</f>
        <v>0</v>
      </c>
      <c r="L74" s="133">
        <f>+'ex BH PW'!T96</f>
        <v>0</v>
      </c>
      <c r="M74" s="133">
        <f>+'ex BH PW'!U96</f>
        <v>0</v>
      </c>
      <c r="N74" s="133">
        <f>+'ex BH PW'!V96</f>
        <v>0</v>
      </c>
      <c r="O74" s="133">
        <f>+'ex BH PW'!W96</f>
        <v>0</v>
      </c>
      <c r="P74" s="133">
        <f>+'ex BH PW'!X96</f>
        <v>0</v>
      </c>
      <c r="Q74" s="133">
        <f>+'ex BH PW'!Y96</f>
        <v>0</v>
      </c>
      <c r="R74" s="133">
        <f>+'ex BH PW'!Z96</f>
        <v>0</v>
      </c>
      <c r="S74" s="133">
        <f>+'ex BH PW'!AA96</f>
        <v>0</v>
      </c>
      <c r="T74" s="133">
        <f>+'ex BH PW'!AB96</f>
        <v>0</v>
      </c>
      <c r="U74" s="133">
        <f>+'ex BH PW'!AC96</f>
        <v>0</v>
      </c>
      <c r="V74" s="133">
        <f>+'ex BH PW'!AD96</f>
        <v>0</v>
      </c>
      <c r="W74" s="133">
        <f>+'ex BH PW'!AE96</f>
        <v>0</v>
      </c>
      <c r="X74" s="133">
        <f>+'ex BH PW'!AF96</f>
        <v>0</v>
      </c>
      <c r="Y74" s="133">
        <f>+'ex BH PW'!AG96</f>
        <v>0</v>
      </c>
      <c r="Z74" s="133">
        <f>+'ex BH PW'!AH96</f>
        <v>0</v>
      </c>
    </row>
    <row r="75" spans="1:26" x14ac:dyDescent="0.25">
      <c r="A75" s="132" t="str">
        <f>+'ex BH PW'!H97</f>
        <v>FFB Frankfurter Fondsbank (Jung DMS)</v>
      </c>
      <c r="B75" s="133" t="str">
        <f>+'ex BH PW'!J97</f>
        <v>V8446566</v>
      </c>
      <c r="C75" s="133">
        <f>+'ex BH PW'!I97</f>
        <v>0</v>
      </c>
      <c r="D75" s="133">
        <f>+'ex BH PW'!K97</f>
        <v>0</v>
      </c>
      <c r="E75" s="133">
        <f>+'ex BH PW'!L97</f>
        <v>0</v>
      </c>
      <c r="F75" s="133">
        <f>+'ex BH PW'!M97</f>
        <v>0</v>
      </c>
      <c r="G75" s="133">
        <f>+'ex BH PW'!N97</f>
        <v>0</v>
      </c>
      <c r="H75" s="133">
        <f>+'ex BH PW'!P97</f>
        <v>0</v>
      </c>
      <c r="I75" s="133">
        <f>+'ex BH PW'!Q97</f>
        <v>0</v>
      </c>
      <c r="J75" s="133">
        <f>+'ex BH PW'!R97</f>
        <v>0</v>
      </c>
      <c r="K75" s="133">
        <f>+'ex BH PW'!S97</f>
        <v>0</v>
      </c>
      <c r="L75" s="133">
        <f>+'ex BH PW'!T97</f>
        <v>0</v>
      </c>
      <c r="M75" s="133">
        <f>+'ex BH PW'!U97</f>
        <v>0</v>
      </c>
      <c r="N75" s="133">
        <f>+'ex BH PW'!V97</f>
        <v>0</v>
      </c>
      <c r="O75" s="133">
        <f>+'ex BH PW'!W97</f>
        <v>0</v>
      </c>
      <c r="P75" s="133">
        <f>+'ex BH PW'!X97</f>
        <v>0</v>
      </c>
      <c r="Q75" s="133">
        <f>+'ex BH PW'!Y97</f>
        <v>0</v>
      </c>
      <c r="R75" s="133">
        <f>+'ex BH PW'!Z97</f>
        <v>0</v>
      </c>
      <c r="S75" s="133">
        <f>+'ex BH PW'!AA97</f>
        <v>0</v>
      </c>
      <c r="T75" s="133">
        <f>+'ex BH PW'!AB97</f>
        <v>0</v>
      </c>
      <c r="U75" s="133">
        <f>+'ex BH PW'!AC97</f>
        <v>0</v>
      </c>
      <c r="V75" s="133">
        <f>+'ex BH PW'!AD97</f>
        <v>0</v>
      </c>
      <c r="W75" s="133">
        <f>+'ex BH PW'!AE97</f>
        <v>0</v>
      </c>
      <c r="X75" s="133">
        <f>+'ex BH PW'!AF97</f>
        <v>0</v>
      </c>
      <c r="Y75" s="133">
        <f>+'ex BH PW'!AG97</f>
        <v>0</v>
      </c>
      <c r="Z75" s="133">
        <f>+'ex BH PW'!AH97</f>
        <v>0</v>
      </c>
    </row>
    <row r="76" spans="1:26" x14ac:dyDescent="0.25">
      <c r="A76" s="132" t="str">
        <f>+'ex BH PW'!H98</f>
        <v>Fondskonzept AG (Invers)</v>
      </c>
      <c r="B76" s="133" t="str">
        <f>+'ex BH PW'!J98</f>
        <v>98144</v>
      </c>
      <c r="C76" s="133">
        <f>+'ex BH PW'!I98</f>
        <v>0</v>
      </c>
      <c r="D76" s="133">
        <f>+'ex BH PW'!K98</f>
        <v>0</v>
      </c>
      <c r="E76" s="133" t="str">
        <f>+'ex BH PW'!L98</f>
        <v>MSC</v>
      </c>
      <c r="F76" s="133">
        <f>+'ex BH PW'!M98</f>
        <v>0</v>
      </c>
      <c r="G76" s="133">
        <f>+'ex BH PW'!N98</f>
        <v>0</v>
      </c>
      <c r="H76" s="133">
        <f>+'ex BH PW'!P98</f>
        <v>0</v>
      </c>
      <c r="I76" s="133">
        <f>+'ex BH PW'!Q98</f>
        <v>0</v>
      </c>
      <c r="J76" s="133">
        <f>+'ex BH PW'!R98</f>
        <v>0</v>
      </c>
      <c r="K76" s="133">
        <f>+'ex BH PW'!S98</f>
        <v>0</v>
      </c>
      <c r="L76" s="133">
        <f>+'ex BH PW'!T98</f>
        <v>0</v>
      </c>
      <c r="M76" s="133">
        <f>+'ex BH PW'!U98</f>
        <v>0</v>
      </c>
      <c r="N76" s="133">
        <f>+'ex BH PW'!V98</f>
        <v>0</v>
      </c>
      <c r="O76" s="133">
        <f>+'ex BH PW'!W98</f>
        <v>0</v>
      </c>
      <c r="P76" s="133">
        <f>+'ex BH PW'!X98</f>
        <v>0</v>
      </c>
      <c r="Q76" s="133">
        <f>+'ex BH PW'!Y98</f>
        <v>0</v>
      </c>
      <c r="R76" s="133">
        <f>+'ex BH PW'!Z98</f>
        <v>0</v>
      </c>
      <c r="S76" s="133">
        <f>+'ex BH PW'!AA98</f>
        <v>0</v>
      </c>
      <c r="T76" s="133">
        <f>+'ex BH PW'!AB98</f>
        <v>0</v>
      </c>
      <c r="U76" s="133">
        <f>+'ex BH PW'!AC98</f>
        <v>0</v>
      </c>
      <c r="V76" s="133">
        <f>+'ex BH PW'!AD98</f>
        <v>0</v>
      </c>
      <c r="W76" s="133">
        <f>+'ex BH PW'!AE98</f>
        <v>0</v>
      </c>
      <c r="X76" s="133">
        <f>+'ex BH PW'!AF98</f>
        <v>0</v>
      </c>
      <c r="Y76" s="133">
        <f>+'ex BH PW'!AG98</f>
        <v>0</v>
      </c>
      <c r="Z76" s="133">
        <f>+'ex BH PW'!AH98</f>
        <v>0</v>
      </c>
    </row>
    <row r="77" spans="1:26" x14ac:dyDescent="0.25">
      <c r="A77" s="132" t="str">
        <f>+'ex BH PW'!H99</f>
        <v>Fondskonzept AG (VEMA)</v>
      </c>
      <c r="B77" s="133">
        <f>+'ex BH PW'!J99</f>
        <v>0</v>
      </c>
      <c r="C77" s="133" t="str">
        <f>+'ex BH PW'!I99</f>
        <v>98162</v>
      </c>
      <c r="D77" s="133">
        <f>+'ex BH PW'!K99</f>
        <v>0</v>
      </c>
      <c r="E77" s="133">
        <f>+'ex BH PW'!L99</f>
        <v>0</v>
      </c>
      <c r="F77" s="133">
        <f>+'ex BH PW'!M99</f>
        <v>0</v>
      </c>
      <c r="G77" s="133">
        <f>+'ex BH PW'!N99</f>
        <v>0</v>
      </c>
      <c r="H77" s="133">
        <f>+'ex BH PW'!P99</f>
        <v>0</v>
      </c>
      <c r="I77" s="133">
        <f>+'ex BH PW'!Q99</f>
        <v>0</v>
      </c>
      <c r="J77" s="133">
        <f>+'ex BH PW'!R99</f>
        <v>0</v>
      </c>
      <c r="K77" s="133">
        <f>+'ex BH PW'!S99</f>
        <v>0</v>
      </c>
      <c r="L77" s="133">
        <f>+'ex BH PW'!T99</f>
        <v>0</v>
      </c>
      <c r="M77" s="133">
        <f>+'ex BH PW'!U99</f>
        <v>0</v>
      </c>
      <c r="N77" s="133">
        <f>+'ex BH PW'!V99</f>
        <v>0</v>
      </c>
      <c r="O77" s="133">
        <f>+'ex BH PW'!W99</f>
        <v>0</v>
      </c>
      <c r="P77" s="133">
        <f>+'ex BH PW'!X99</f>
        <v>0</v>
      </c>
      <c r="Q77" s="133">
        <f>+'ex BH PW'!Y99</f>
        <v>0</v>
      </c>
      <c r="R77" s="133">
        <f>+'ex BH PW'!Z99</f>
        <v>0</v>
      </c>
      <c r="S77" s="133">
        <f>+'ex BH PW'!AA99</f>
        <v>0</v>
      </c>
      <c r="T77" s="133">
        <f>+'ex BH PW'!AB99</f>
        <v>0</v>
      </c>
      <c r="U77" s="133">
        <f>+'ex BH PW'!AC99</f>
        <v>0</v>
      </c>
      <c r="V77" s="133">
        <f>+'ex BH PW'!AD99</f>
        <v>0</v>
      </c>
      <c r="W77" s="133">
        <f>+'ex BH PW'!AE99</f>
        <v>0</v>
      </c>
      <c r="X77" s="133">
        <f>+'ex BH PW'!AF99</f>
        <v>0</v>
      </c>
      <c r="Y77" s="133">
        <f>+'ex BH PW'!AG99</f>
        <v>0</v>
      </c>
      <c r="Z77" s="133">
        <f>+'ex BH PW'!AH99</f>
        <v>0</v>
      </c>
    </row>
    <row r="78" spans="1:26" x14ac:dyDescent="0.25">
      <c r="A78" s="132" t="str">
        <f>+'ex BH PW'!H100</f>
        <v>Fondskonzept AG (Atvantis)</v>
      </c>
      <c r="B78" s="133">
        <f>+'ex BH PW'!J100</f>
        <v>0</v>
      </c>
      <c r="C78" s="133">
        <f>+'ex BH PW'!I100</f>
        <v>0</v>
      </c>
      <c r="D78" s="133">
        <f>+'ex BH PW'!K100</f>
        <v>0</v>
      </c>
      <c r="E78" s="133">
        <f>+'ex BH PW'!L100</f>
        <v>0</v>
      </c>
      <c r="F78" s="133">
        <f>+'ex BH PW'!M100</f>
        <v>0</v>
      </c>
      <c r="G78" s="133">
        <f>+'ex BH PW'!N100</f>
        <v>0</v>
      </c>
      <c r="H78" s="133">
        <f>+'ex BH PW'!P100</f>
        <v>0</v>
      </c>
      <c r="I78" s="133" t="str">
        <f>+'ex BH PW'!Q100</f>
        <v>98010</v>
      </c>
      <c r="J78" s="133">
        <f>+'ex BH PW'!R100</f>
        <v>0</v>
      </c>
      <c r="K78" s="133">
        <f>+'ex BH PW'!S100</f>
        <v>0</v>
      </c>
      <c r="L78" s="133">
        <f>+'ex BH PW'!T100</f>
        <v>0</v>
      </c>
      <c r="M78" s="133">
        <f>+'ex BH PW'!U100</f>
        <v>0</v>
      </c>
      <c r="N78" s="133">
        <f>+'ex BH PW'!V100</f>
        <v>0</v>
      </c>
      <c r="O78" s="133">
        <f>+'ex BH PW'!W100</f>
        <v>0</v>
      </c>
      <c r="P78" s="133">
        <f>+'ex BH PW'!X100</f>
        <v>0</v>
      </c>
      <c r="Q78" s="133">
        <f>+'ex BH PW'!Y100</f>
        <v>0</v>
      </c>
      <c r="R78" s="133">
        <f>+'ex BH PW'!Z100</f>
        <v>0</v>
      </c>
      <c r="S78" s="133">
        <f>+'ex BH PW'!AA100</f>
        <v>0</v>
      </c>
      <c r="T78" s="133">
        <f>+'ex BH PW'!AB100</f>
        <v>0</v>
      </c>
      <c r="U78" s="133">
        <f>+'ex BH PW'!AC100</f>
        <v>0</v>
      </c>
      <c r="V78" s="133">
        <f>+'ex BH PW'!AD100</f>
        <v>0</v>
      </c>
      <c r="W78" s="133">
        <f>+'ex BH PW'!AE100</f>
        <v>0</v>
      </c>
      <c r="X78" s="133">
        <f>+'ex BH PW'!AF100</f>
        <v>0</v>
      </c>
      <c r="Y78" s="133">
        <f>+'ex BH PW'!AG100</f>
        <v>0</v>
      </c>
      <c r="Z78" s="133">
        <f>+'ex BH PW'!AH100</f>
        <v>0</v>
      </c>
    </row>
    <row r="79" spans="1:26" x14ac:dyDescent="0.25">
      <c r="A79" s="132" t="str">
        <f>+'ex BH PW'!H101</f>
        <v>Fortuna</v>
      </c>
      <c r="B79" s="133" t="str">
        <f>+'ex BH PW'!J101</f>
        <v>3362</v>
      </c>
      <c r="C79" s="133">
        <f>+'ex BH PW'!I101</f>
        <v>0</v>
      </c>
      <c r="D79" s="133">
        <f>+'ex BH PW'!K101</f>
        <v>0</v>
      </c>
      <c r="E79" s="133">
        <f>+'ex BH PW'!L101</f>
        <v>0</v>
      </c>
      <c r="F79" s="133">
        <f>+'ex BH PW'!M101</f>
        <v>0</v>
      </c>
      <c r="G79" s="133">
        <f>+'ex BH PW'!N101</f>
        <v>0</v>
      </c>
      <c r="H79" s="133">
        <f>+'ex BH PW'!P101</f>
        <v>0</v>
      </c>
      <c r="I79" s="133">
        <f>+'ex BH PW'!Q101</f>
        <v>0</v>
      </c>
      <c r="J79" s="133">
        <f>+'ex BH PW'!R101</f>
        <v>0</v>
      </c>
      <c r="K79" s="133">
        <f>+'ex BH PW'!S101</f>
        <v>0</v>
      </c>
      <c r="L79" s="133">
        <f>+'ex BH PW'!T101</f>
        <v>0</v>
      </c>
      <c r="M79" s="133">
        <f>+'ex BH PW'!U101</f>
        <v>0</v>
      </c>
      <c r="N79" s="133">
        <f>+'ex BH PW'!V101</f>
        <v>0</v>
      </c>
      <c r="O79" s="133">
        <f>+'ex BH PW'!W101</f>
        <v>0</v>
      </c>
      <c r="P79" s="133">
        <f>+'ex BH PW'!X101</f>
        <v>0</v>
      </c>
      <c r="Q79" s="133">
        <f>+'ex BH PW'!Y101</f>
        <v>0</v>
      </c>
      <c r="R79" s="133">
        <f>+'ex BH PW'!Z101</f>
        <v>0</v>
      </c>
      <c r="S79" s="133">
        <f>+'ex BH PW'!AA101</f>
        <v>0</v>
      </c>
      <c r="T79" s="133">
        <f>+'ex BH PW'!AB101</f>
        <v>0</v>
      </c>
      <c r="U79" s="133">
        <f>+'ex BH PW'!AC101</f>
        <v>0</v>
      </c>
      <c r="V79" s="133">
        <f>+'ex BH PW'!AD101</f>
        <v>0</v>
      </c>
      <c r="W79" s="133">
        <f>+'ex BH PW'!AE101</f>
        <v>0</v>
      </c>
      <c r="X79" s="133">
        <f>+'ex BH PW'!AF101</f>
        <v>0</v>
      </c>
      <c r="Y79" s="133">
        <f>+'ex BH PW'!AG101</f>
        <v>0</v>
      </c>
      <c r="Z79" s="133">
        <f>+'ex BH PW'!AH101</f>
        <v>0</v>
      </c>
    </row>
    <row r="80" spans="1:26" x14ac:dyDescent="0.25">
      <c r="A80" s="132" t="str">
        <f>+'ex BH PW'!H102</f>
        <v>Franke &amp; Bornberg</v>
      </c>
      <c r="B80" s="133">
        <f>+'ex BH PW'!J102</f>
        <v>0</v>
      </c>
      <c r="C80" s="133">
        <f>+'ex BH PW'!I102</f>
        <v>0</v>
      </c>
      <c r="D80" s="133">
        <f>+'ex BH PW'!K102</f>
        <v>0</v>
      </c>
      <c r="E80" s="133">
        <f>+'ex BH PW'!L102</f>
        <v>0</v>
      </c>
      <c r="F80" s="133">
        <f>+'ex BH PW'!M102</f>
        <v>0</v>
      </c>
      <c r="G80" s="133">
        <f>+'ex BH PW'!N102</f>
        <v>0</v>
      </c>
      <c r="H80" s="133">
        <f>+'ex BH PW'!P102</f>
        <v>0</v>
      </c>
      <c r="I80" s="133">
        <f>+'ex BH PW'!Q102</f>
        <v>0</v>
      </c>
      <c r="J80" s="133">
        <f>+'ex BH PW'!R102</f>
        <v>0</v>
      </c>
      <c r="K80" s="133">
        <f>+'ex BH PW'!S102</f>
        <v>0</v>
      </c>
      <c r="L80" s="133">
        <f>+'ex BH PW'!T102</f>
        <v>0</v>
      </c>
      <c r="M80" s="133">
        <f>+'ex BH PW'!U102</f>
        <v>0</v>
      </c>
      <c r="N80" s="133">
        <f>+'ex BH PW'!V102</f>
        <v>0</v>
      </c>
      <c r="O80" s="133">
        <f>+'ex BH PW'!W102</f>
        <v>0</v>
      </c>
      <c r="P80" s="133">
        <f>+'ex BH PW'!X102</f>
        <v>0</v>
      </c>
      <c r="Q80" s="133">
        <f>+'ex BH PW'!Y102</f>
        <v>0</v>
      </c>
      <c r="R80" s="133">
        <f>+'ex BH PW'!Z102</f>
        <v>0</v>
      </c>
      <c r="S80" s="133">
        <f>+'ex BH PW'!AA102</f>
        <v>0</v>
      </c>
      <c r="T80" s="133">
        <f>+'ex BH PW'!AB102</f>
        <v>0</v>
      </c>
      <c r="U80" s="133">
        <f>+'ex BH PW'!AC102</f>
        <v>0</v>
      </c>
      <c r="V80" s="133">
        <f>+'ex BH PW'!AD102</f>
        <v>0</v>
      </c>
      <c r="W80" s="133">
        <f>+'ex BH PW'!AE102</f>
        <v>0</v>
      </c>
      <c r="X80" s="133">
        <f>+'ex BH PW'!AF102</f>
        <v>0</v>
      </c>
      <c r="Y80" s="133">
        <f>+'ex BH PW'!AG102</f>
        <v>0</v>
      </c>
      <c r="Z80" s="133">
        <f>+'ex BH PW'!AH102</f>
        <v>0</v>
      </c>
    </row>
    <row r="81" spans="1:26" x14ac:dyDescent="0.25">
      <c r="A81" s="132" t="str">
        <f>+'ex BH PW'!H103</f>
        <v>Franke &amp; Bornberg (versdiagnose)</v>
      </c>
      <c r="B81" s="133">
        <f>+'ex BH PW'!J103</f>
        <v>0</v>
      </c>
      <c r="C81" s="133">
        <f>+'ex BH PW'!I103</f>
        <v>0</v>
      </c>
      <c r="D81" s="133">
        <f>+'ex BH PW'!K103</f>
        <v>0</v>
      </c>
      <c r="E81" s="133">
        <f>+'ex BH PW'!L103</f>
        <v>0</v>
      </c>
      <c r="F81" s="133">
        <f>+'ex BH PW'!M103</f>
        <v>0</v>
      </c>
      <c r="G81" s="133">
        <f>+'ex BH PW'!N103</f>
        <v>0</v>
      </c>
      <c r="H81" s="133">
        <f>+'ex BH PW'!P103</f>
        <v>0</v>
      </c>
      <c r="I81" s="133">
        <f>+'ex BH PW'!Q103</f>
        <v>0</v>
      </c>
      <c r="J81" s="133">
        <f>+'ex BH PW'!R103</f>
        <v>0</v>
      </c>
      <c r="K81" s="133">
        <f>+'ex BH PW'!S103</f>
        <v>0</v>
      </c>
      <c r="L81" s="133">
        <f>+'ex BH PW'!T103</f>
        <v>0</v>
      </c>
      <c r="M81" s="133">
        <f>+'ex BH PW'!U103</f>
        <v>0</v>
      </c>
      <c r="N81" s="133">
        <f>+'ex BH PW'!V103</f>
        <v>0</v>
      </c>
      <c r="O81" s="133">
        <f>+'ex BH PW'!W103</f>
        <v>0</v>
      </c>
      <c r="P81" s="133">
        <f>+'ex BH PW'!X103</f>
        <v>0</v>
      </c>
      <c r="Q81" s="133">
        <f>+'ex BH PW'!Y103</f>
        <v>0</v>
      </c>
      <c r="R81" s="133">
        <f>+'ex BH PW'!Z103</f>
        <v>0</v>
      </c>
      <c r="S81" s="133">
        <f>+'ex BH PW'!AA103</f>
        <v>0</v>
      </c>
      <c r="T81" s="133">
        <f>+'ex BH PW'!AB103</f>
        <v>0</v>
      </c>
      <c r="U81" s="133">
        <f>+'ex BH PW'!AC103</f>
        <v>0</v>
      </c>
      <c r="V81" s="133">
        <f>+'ex BH PW'!AD103</f>
        <v>0</v>
      </c>
      <c r="W81" s="133">
        <f>+'ex BH PW'!AE103</f>
        <v>0</v>
      </c>
      <c r="X81" s="133">
        <f>+'ex BH PW'!AF103</f>
        <v>0</v>
      </c>
      <c r="Y81" s="133">
        <f>+'ex BH PW'!AG103</f>
        <v>0</v>
      </c>
      <c r="Z81" s="133">
        <f>+'ex BH PW'!AH103</f>
        <v>0</v>
      </c>
    </row>
    <row r="82" spans="1:26" x14ac:dyDescent="0.25">
      <c r="A82" s="132" t="str">
        <f>+'ex BH PW'!H104</f>
        <v>Fritzbox</v>
      </c>
      <c r="B82" s="133">
        <f>+'ex BH PW'!J104</f>
        <v>0</v>
      </c>
      <c r="C82" s="133">
        <f>+'ex BH PW'!I104</f>
        <v>0</v>
      </c>
      <c r="D82" s="133">
        <f>+'ex BH PW'!K104</f>
        <v>0</v>
      </c>
      <c r="E82" s="133">
        <f>+'ex BH PW'!L104</f>
        <v>0</v>
      </c>
      <c r="F82" s="133">
        <f>+'ex BH PW'!M104</f>
        <v>0</v>
      </c>
      <c r="G82" s="133">
        <f>+'ex BH PW'!N104</f>
        <v>0</v>
      </c>
      <c r="H82" s="133">
        <f>+'ex BH PW'!P104</f>
        <v>0</v>
      </c>
      <c r="I82" s="133">
        <f>+'ex BH PW'!Q104</f>
        <v>0</v>
      </c>
      <c r="J82" s="133">
        <f>+'ex BH PW'!R104</f>
        <v>0</v>
      </c>
      <c r="K82" s="133">
        <f>+'ex BH PW'!S104</f>
        <v>0</v>
      </c>
      <c r="L82" s="133">
        <f>+'ex BH PW'!T104</f>
        <v>0</v>
      </c>
      <c r="M82" s="133">
        <f>+'ex BH PW'!U104</f>
        <v>0</v>
      </c>
      <c r="N82" s="133">
        <f>+'ex BH PW'!V104</f>
        <v>0</v>
      </c>
      <c r="O82" s="133">
        <f>+'ex BH PW'!W104</f>
        <v>0</v>
      </c>
      <c r="P82" s="133">
        <f>+'ex BH PW'!X104</f>
        <v>0</v>
      </c>
      <c r="Q82" s="133">
        <f>+'ex BH PW'!Y104</f>
        <v>0</v>
      </c>
      <c r="R82" s="133">
        <f>+'ex BH PW'!Z104</f>
        <v>0</v>
      </c>
      <c r="S82" s="133">
        <f>+'ex BH PW'!AA104</f>
        <v>0</v>
      </c>
      <c r="T82" s="133">
        <f>+'ex BH PW'!AB104</f>
        <v>0</v>
      </c>
      <c r="U82" s="133">
        <f>+'ex BH PW'!AC104</f>
        <v>0</v>
      </c>
      <c r="V82" s="133">
        <f>+'ex BH PW'!AD104</f>
        <v>0</v>
      </c>
      <c r="W82" s="133">
        <f>+'ex BH PW'!AE104</f>
        <v>0</v>
      </c>
      <c r="X82" s="133">
        <f>+'ex BH PW'!AF104</f>
        <v>0</v>
      </c>
      <c r="Y82" s="133">
        <f>+'ex BH PW'!AG104</f>
        <v>0</v>
      </c>
      <c r="Z82" s="133">
        <f>+'ex BH PW'!AH104</f>
        <v>0</v>
      </c>
    </row>
    <row r="83" spans="1:26" x14ac:dyDescent="0.25">
      <c r="A83" s="132" t="str">
        <f>+'ex BH PW'!H105</f>
        <v>GAMAX (JDC)</v>
      </c>
      <c r="B83" s="133" t="str">
        <f>+'ex BH PW'!J105</f>
        <v>309936</v>
      </c>
      <c r="C83" s="133">
        <f>+'ex BH PW'!I105</f>
        <v>0</v>
      </c>
      <c r="D83" s="133">
        <f>+'ex BH PW'!K105</f>
        <v>0</v>
      </c>
      <c r="E83" s="133">
        <f>+'ex BH PW'!L105</f>
        <v>0</v>
      </c>
      <c r="F83" s="133">
        <f>+'ex BH PW'!M105</f>
        <v>0</v>
      </c>
      <c r="G83" s="133">
        <f>+'ex BH PW'!N105</f>
        <v>0</v>
      </c>
      <c r="H83" s="133">
        <f>+'ex BH PW'!P105</f>
        <v>0</v>
      </c>
      <c r="I83" s="133">
        <f>+'ex BH PW'!Q105</f>
        <v>0</v>
      </c>
      <c r="J83" s="133">
        <f>+'ex BH PW'!R105</f>
        <v>0</v>
      </c>
      <c r="K83" s="133">
        <f>+'ex BH PW'!S105</f>
        <v>0</v>
      </c>
      <c r="L83" s="133">
        <f>+'ex BH PW'!T105</f>
        <v>0</v>
      </c>
      <c r="M83" s="133">
        <f>+'ex BH PW'!U105</f>
        <v>0</v>
      </c>
      <c r="N83" s="133">
        <f>+'ex BH PW'!V105</f>
        <v>0</v>
      </c>
      <c r="O83" s="133">
        <f>+'ex BH PW'!W105</f>
        <v>0</v>
      </c>
      <c r="P83" s="133">
        <f>+'ex BH PW'!X105</f>
        <v>0</v>
      </c>
      <c r="Q83" s="133">
        <f>+'ex BH PW'!Y105</f>
        <v>0</v>
      </c>
      <c r="R83" s="133">
        <f>+'ex BH PW'!Z105</f>
        <v>0</v>
      </c>
      <c r="S83" s="133">
        <f>+'ex BH PW'!AA105</f>
        <v>0</v>
      </c>
      <c r="T83" s="133">
        <f>+'ex BH PW'!AB105</f>
        <v>0</v>
      </c>
      <c r="U83" s="133">
        <f>+'ex BH PW'!AC105</f>
        <v>0</v>
      </c>
      <c r="V83" s="133">
        <f>+'ex BH PW'!AD105</f>
        <v>0</v>
      </c>
      <c r="W83" s="133">
        <f>+'ex BH PW'!AE105</f>
        <v>0</v>
      </c>
      <c r="X83" s="133">
        <f>+'ex BH PW'!AF105</f>
        <v>0</v>
      </c>
      <c r="Y83" s="133">
        <f>+'ex BH PW'!AG105</f>
        <v>0</v>
      </c>
      <c r="Z83" s="133">
        <f>+'ex BH PW'!AH105</f>
        <v>0</v>
      </c>
    </row>
    <row r="84" spans="1:26" x14ac:dyDescent="0.25">
      <c r="A84" s="132" t="e">
        <f>+[1]passwörter_agenturen!#REF!</f>
        <v>#REF!</v>
      </c>
      <c r="B84" s="133" t="e">
        <f>+[1]passwörter_agenturen!#REF!</f>
        <v>#REF!</v>
      </c>
      <c r="C84" s="133" t="e">
        <f>+[1]passwörter_agenturen!#REF!</f>
        <v>#REF!</v>
      </c>
      <c r="D84" s="133" t="e">
        <f>+[1]passwörter_agenturen!#REF!</f>
        <v>#REF!</v>
      </c>
      <c r="E84" s="133" t="e">
        <f>+[1]passwörter_agenturen!#REF!</f>
        <v>#REF!</v>
      </c>
      <c r="F84" s="133" t="e">
        <f>+[1]passwörter_agenturen!#REF!</f>
        <v>#REF!</v>
      </c>
      <c r="G84" s="133" t="e">
        <f>+[1]passwörter_agenturen!#REF!</f>
        <v>#REF!</v>
      </c>
      <c r="H84" s="133" t="e">
        <f>+[1]passwörter_agenturen!#REF!</f>
        <v>#REF!</v>
      </c>
      <c r="I84" s="133" t="e">
        <f>+[1]passwörter_agenturen!#REF!</f>
        <v>#REF!</v>
      </c>
      <c r="J84" s="133" t="e">
        <f>+[1]passwörter_agenturen!#REF!</f>
        <v>#REF!</v>
      </c>
      <c r="K84" s="133" t="e">
        <f>+[1]passwörter_agenturen!#REF!</f>
        <v>#REF!</v>
      </c>
      <c r="L84" s="133" t="e">
        <f>+[1]passwörter_agenturen!#REF!</f>
        <v>#REF!</v>
      </c>
      <c r="M84" s="133" t="e">
        <f>+[1]passwörter_agenturen!#REF!</f>
        <v>#REF!</v>
      </c>
      <c r="N84" s="133" t="e">
        <f>+[1]passwörter_agenturen!#REF!</f>
        <v>#REF!</v>
      </c>
      <c r="O84" s="133" t="e">
        <f>+[1]passwörter_agenturen!#REF!</f>
        <v>#REF!</v>
      </c>
      <c r="P84" s="133" t="e">
        <f>+[1]passwörter_agenturen!#REF!</f>
        <v>#REF!</v>
      </c>
      <c r="Q84" s="133" t="e">
        <f>+[1]passwörter_agenturen!#REF!</f>
        <v>#REF!</v>
      </c>
      <c r="R84" s="133" t="e">
        <f>+[1]passwörter_agenturen!#REF!</f>
        <v>#REF!</v>
      </c>
      <c r="S84" s="133" t="e">
        <f>+[1]passwörter_agenturen!#REF!</f>
        <v>#REF!</v>
      </c>
      <c r="T84" s="133" t="e">
        <f>+[1]passwörter_agenturen!#REF!</f>
        <v>#REF!</v>
      </c>
      <c r="U84" s="133" t="e">
        <f>+[1]passwörter_agenturen!#REF!</f>
        <v>#REF!</v>
      </c>
      <c r="V84" s="133" t="e">
        <f>+[1]passwörter_agenturen!#REF!</f>
        <v>#REF!</v>
      </c>
      <c r="W84" s="133" t="e">
        <f>+[1]passwörter_agenturen!#REF!</f>
        <v>#REF!</v>
      </c>
      <c r="X84" s="133" t="e">
        <f>+[1]passwörter_agenturen!#REF!</f>
        <v>#REF!</v>
      </c>
      <c r="Y84" s="133" t="e">
        <f>+[1]passwörter_agenturen!#REF!</f>
        <v>#REF!</v>
      </c>
      <c r="Z84" s="133" t="e">
        <f>+[1]passwörter_agenturen!#REF!</f>
        <v>#REF!</v>
      </c>
    </row>
    <row r="85" spans="1:26" x14ac:dyDescent="0.25">
      <c r="A85" s="132" t="str">
        <f>+'ex BH PW'!H72</f>
        <v>Dialog (Altbestand GENERAI)</v>
      </c>
      <c r="B85" s="133" t="str">
        <f>+'ex BH PW'!J72</f>
        <v>122700</v>
      </c>
      <c r="C85" s="133" t="str">
        <f>+'ex BH PW'!I72</f>
        <v>106151</v>
      </c>
      <c r="D85" s="133">
        <f>+'ex BH PW'!K72</f>
        <v>0</v>
      </c>
      <c r="E85" s="133">
        <f>+'ex BH PW'!L72</f>
        <v>0</v>
      </c>
      <c r="F85" s="133">
        <f>+'ex BH PW'!M72</f>
        <v>0</v>
      </c>
      <c r="G85" s="133">
        <f>+'ex BH PW'!N72</f>
        <v>0</v>
      </c>
      <c r="H85" s="133" t="str">
        <f>+'ex BH PW'!P72</f>
        <v>103677,  293181</v>
      </c>
      <c r="I85" s="133" t="str">
        <f>+'ex BH PW'!Q72</f>
        <v>103680</v>
      </c>
      <c r="J85" s="133" t="str">
        <f>+'ex BH PW'!R72</f>
        <v>103681</v>
      </c>
      <c r="K85" s="133">
        <f>+'ex BH PW'!S72</f>
        <v>0</v>
      </c>
      <c r="L85" s="133">
        <f>+'ex BH PW'!T72</f>
        <v>0</v>
      </c>
      <c r="M85" s="133">
        <f>+'ex BH PW'!U72</f>
        <v>0</v>
      </c>
      <c r="N85" s="133" t="str">
        <f>+'ex BH PW'!V72</f>
        <v>103682</v>
      </c>
      <c r="O85" s="133" t="str">
        <f>+'ex BH PW'!W72</f>
        <v>alt 186604</v>
      </c>
      <c r="P85" s="133">
        <f>+'ex BH PW'!X72</f>
        <v>0</v>
      </c>
      <c r="Q85" s="133" t="str">
        <f>+'ex BH PW'!Y72</f>
        <v>198529</v>
      </c>
      <c r="R85" s="133" t="str">
        <f>+'ex BH PW'!Z72</f>
        <v>alt 198653</v>
      </c>
      <c r="S85" s="133" t="str">
        <f>+'ex BH PW'!AA72</f>
        <v>alt 205583</v>
      </c>
      <c r="T85" s="133">
        <f>+'ex BH PW'!AB72</f>
        <v>0</v>
      </c>
      <c r="U85" s="133">
        <f>+'ex BH PW'!AC72</f>
        <v>0</v>
      </c>
      <c r="V85" s="133">
        <f>+'ex BH PW'!AD72</f>
        <v>0</v>
      </c>
      <c r="W85" s="133">
        <f>+'ex BH PW'!AE72</f>
        <v>0</v>
      </c>
      <c r="X85" s="133" t="str">
        <f>+'ex BH PW'!AF72</f>
        <v>alt 115534</v>
      </c>
      <c r="Y85" s="133">
        <f>+'ex BH PW'!AG72</f>
        <v>0</v>
      </c>
      <c r="Z85" s="133">
        <f>+'ex BH PW'!AH72</f>
        <v>0</v>
      </c>
    </row>
    <row r="86" spans="1:26" x14ac:dyDescent="0.25">
      <c r="A86" s="132" t="str">
        <f>+'ex BH PW'!H73</f>
        <v>Dialog Heilwesen</v>
      </c>
      <c r="B86" s="133">
        <f>+'ex BH PW'!J73</f>
        <v>785946</v>
      </c>
      <c r="C86" s="133">
        <f>+'ex BH PW'!I73</f>
        <v>0</v>
      </c>
      <c r="D86" s="133">
        <f>+'ex BH PW'!K73</f>
        <v>0</v>
      </c>
      <c r="E86" s="133">
        <f>+'ex BH PW'!L73</f>
        <v>0</v>
      </c>
      <c r="F86" s="133">
        <f>+'ex BH PW'!M73</f>
        <v>0</v>
      </c>
      <c r="G86" s="133">
        <f>+'ex BH PW'!N73</f>
        <v>0</v>
      </c>
      <c r="H86" s="133">
        <f>+'ex BH PW'!P73</f>
        <v>0</v>
      </c>
      <c r="I86" s="133">
        <f>+'ex BH PW'!Q73</f>
        <v>0</v>
      </c>
      <c r="J86" s="133">
        <f>+'ex BH PW'!R73</f>
        <v>0</v>
      </c>
      <c r="K86" s="133">
        <f>+'ex BH PW'!S73</f>
        <v>0</v>
      </c>
      <c r="L86" s="133">
        <f>+'ex BH PW'!T73</f>
        <v>0</v>
      </c>
      <c r="M86" s="133">
        <f>+'ex BH PW'!U73</f>
        <v>0</v>
      </c>
      <c r="N86" s="133">
        <f>+'ex BH PW'!V73</f>
        <v>0</v>
      </c>
      <c r="O86" s="133">
        <f>+'ex BH PW'!W73</f>
        <v>0</v>
      </c>
      <c r="P86" s="133">
        <f>+'ex BH PW'!X73</f>
        <v>0</v>
      </c>
      <c r="Q86" s="133">
        <f>+'ex BH PW'!Y73</f>
        <v>0</v>
      </c>
      <c r="R86" s="133" t="str">
        <f>+'ex BH PW'!Z73</f>
        <v xml:space="preserve"> alt 806063</v>
      </c>
      <c r="S86" s="133">
        <f>+'ex BH PW'!AA73</f>
        <v>0</v>
      </c>
      <c r="T86" s="133">
        <f>+'ex BH PW'!AB73</f>
        <v>0</v>
      </c>
      <c r="U86" s="133">
        <f>+'ex BH PW'!AC73</f>
        <v>0</v>
      </c>
      <c r="V86" s="133">
        <f>+'ex BH PW'!AD73</f>
        <v>0</v>
      </c>
      <c r="W86" s="133">
        <f>+'ex BH PW'!AE73</f>
        <v>0</v>
      </c>
      <c r="X86" s="133">
        <f>+'ex BH PW'!AF73</f>
        <v>0</v>
      </c>
      <c r="Y86" s="133">
        <f>+'ex BH PW'!AG73</f>
        <v>0</v>
      </c>
      <c r="Z86" s="133">
        <f>+'ex BH PW'!AH73</f>
        <v>0</v>
      </c>
    </row>
    <row r="87" spans="1:26" x14ac:dyDescent="0.25">
      <c r="A87" s="132" t="str">
        <f>+'ex BH PW'!H74</f>
        <v xml:space="preserve">Dialog Mitarbeiter Kfz </v>
      </c>
      <c r="B87" s="133" t="str">
        <f>+'ex BH PW'!J74</f>
        <v>156902</v>
      </c>
      <c r="C87" s="133">
        <f>+'ex BH PW'!I74</f>
        <v>0</v>
      </c>
      <c r="D87" s="133">
        <f>+'ex BH PW'!K74</f>
        <v>0</v>
      </c>
      <c r="E87" s="133">
        <f>+'ex BH PW'!L74</f>
        <v>0</v>
      </c>
      <c r="F87" s="133">
        <f>+'ex BH PW'!M74</f>
        <v>0</v>
      </c>
      <c r="G87" s="133">
        <f>+'ex BH PW'!N74</f>
        <v>0</v>
      </c>
      <c r="H87" s="133" t="str">
        <f>+'ex BH PW'!P74</f>
        <v>103679</v>
      </c>
      <c r="I87" s="133" t="str">
        <f>+'ex BH PW'!Q74</f>
        <v>103959</v>
      </c>
      <c r="J87" s="133">
        <f>+'ex BH PW'!R74</f>
        <v>0</v>
      </c>
      <c r="K87" s="133">
        <f>+'ex BH PW'!S74</f>
        <v>0</v>
      </c>
      <c r="L87" s="133">
        <f>+'ex BH PW'!T74</f>
        <v>0</v>
      </c>
      <c r="M87" s="133">
        <f>+'ex BH PW'!U74</f>
        <v>0</v>
      </c>
      <c r="N87" s="133">
        <f>+'ex BH PW'!V74</f>
        <v>0</v>
      </c>
      <c r="O87" s="133">
        <f>+'ex BH PW'!W74</f>
        <v>0</v>
      </c>
      <c r="P87" s="133">
        <f>+'ex BH PW'!X74</f>
        <v>0</v>
      </c>
      <c r="Q87" s="133">
        <f>+'ex BH PW'!Y74</f>
        <v>0</v>
      </c>
      <c r="R87" s="133">
        <f>+'ex BH PW'!Z74</f>
        <v>0</v>
      </c>
      <c r="S87" s="133">
        <f>+'ex BH PW'!AA74</f>
        <v>0</v>
      </c>
      <c r="T87" s="133">
        <f>+'ex BH PW'!AB74</f>
        <v>0</v>
      </c>
      <c r="U87" s="133">
        <f>+'ex BH PW'!AC74</f>
        <v>0</v>
      </c>
      <c r="V87" s="133">
        <f>+'ex BH PW'!AD74</f>
        <v>0</v>
      </c>
      <c r="W87" s="133">
        <f>+'ex BH PW'!AE74</f>
        <v>0</v>
      </c>
      <c r="X87" s="133">
        <f>+'ex BH PW'!AF74</f>
        <v>0</v>
      </c>
      <c r="Y87" s="133">
        <f>+'ex BH PW'!AG74</f>
        <v>0</v>
      </c>
      <c r="Z87" s="133">
        <f>+'ex BH PW'!AH74</f>
        <v>0</v>
      </c>
    </row>
    <row r="88" spans="1:26" x14ac:dyDescent="0.25">
      <c r="A88" s="132" t="str">
        <f>+'ex BH PW'!H107</f>
        <v>Gothaer Krankenversicherung</v>
      </c>
      <c r="B88" s="133">
        <f>+'ex BH PW'!J107</f>
        <v>0</v>
      </c>
      <c r="C88" s="133" t="str">
        <f>+'ex BH PW'!I107</f>
        <v>38580</v>
      </c>
      <c r="D88" s="133">
        <f>+'ex BH PW'!K107</f>
        <v>0</v>
      </c>
      <c r="E88" s="133" t="str">
        <f>+'ex BH PW'!L107</f>
        <v>57319</v>
      </c>
      <c r="F88" s="133">
        <f>+'ex BH PW'!M107</f>
        <v>0</v>
      </c>
      <c r="G88" s="133">
        <f>+'ex BH PW'!N107</f>
        <v>0</v>
      </c>
      <c r="H88" s="133">
        <f>+'ex BH PW'!P107</f>
        <v>0</v>
      </c>
      <c r="I88" s="133">
        <f>+'ex BH PW'!Q107</f>
        <v>0</v>
      </c>
      <c r="J88" s="133">
        <f>+'ex BH PW'!R107</f>
        <v>0</v>
      </c>
      <c r="K88" s="133">
        <f>+'ex BH PW'!S107</f>
        <v>0</v>
      </c>
      <c r="L88" s="133">
        <f>+'ex BH PW'!T107</f>
        <v>0</v>
      </c>
      <c r="M88" s="133">
        <f>+'ex BH PW'!U107</f>
        <v>0</v>
      </c>
      <c r="N88" s="133">
        <f>+'ex BH PW'!V107</f>
        <v>0</v>
      </c>
      <c r="O88" s="133">
        <f>+'ex BH PW'!W107</f>
        <v>0</v>
      </c>
      <c r="P88" s="133">
        <f>+'ex BH PW'!X107</f>
        <v>0</v>
      </c>
      <c r="Q88" s="133">
        <f>+'ex BH PW'!Y107</f>
        <v>0</v>
      </c>
      <c r="R88" s="133">
        <f>+'ex BH PW'!Z107</f>
        <v>0</v>
      </c>
      <c r="S88" s="133">
        <f>+'ex BH PW'!AA107</f>
        <v>0</v>
      </c>
      <c r="T88" s="133">
        <f>+'ex BH PW'!AB107</f>
        <v>0</v>
      </c>
      <c r="U88" s="133">
        <f>+'ex BH PW'!AC107</f>
        <v>0</v>
      </c>
      <c r="V88" s="133">
        <f>+'ex BH PW'!AD107</f>
        <v>0</v>
      </c>
      <c r="W88" s="133">
        <f>+'ex BH PW'!AE107</f>
        <v>0</v>
      </c>
      <c r="X88" s="133">
        <f>+'ex BH PW'!AF107</f>
        <v>0</v>
      </c>
      <c r="Y88" s="133">
        <f>+'ex BH PW'!AG107</f>
        <v>0</v>
      </c>
      <c r="Z88" s="133">
        <f>+'ex BH PW'!AH107</f>
        <v>0</v>
      </c>
    </row>
    <row r="89" spans="1:26" x14ac:dyDescent="0.25">
      <c r="A89" s="132" t="str">
        <f>+'ex BH PW'!H110</f>
        <v>GVO Gegenseitigkeit Versicherung Oldenburg</v>
      </c>
      <c r="B89" s="133" t="str">
        <f>+'ex BH PW'!J110</f>
        <v xml:space="preserve"> </v>
      </c>
      <c r="C89" s="133" t="str">
        <f>+'ex BH PW'!I110</f>
        <v>3638</v>
      </c>
      <c r="D89" s="133">
        <f>+'ex BH PW'!K110</f>
        <v>0</v>
      </c>
      <c r="E89" s="133">
        <f>+'ex BH PW'!L110</f>
        <v>0</v>
      </c>
      <c r="F89" s="133">
        <f>+'ex BH PW'!M110</f>
        <v>0</v>
      </c>
      <c r="G89" s="133">
        <f>+'ex BH PW'!N110</f>
        <v>0</v>
      </c>
      <c r="H89" s="133">
        <f>+'ex BH PW'!P110</f>
        <v>0</v>
      </c>
      <c r="I89" s="133">
        <f>+'ex BH PW'!Q110</f>
        <v>0</v>
      </c>
      <c r="J89" s="133">
        <f>+'ex BH PW'!R110</f>
        <v>0</v>
      </c>
      <c r="K89" s="133">
        <f>+'ex BH PW'!S110</f>
        <v>0</v>
      </c>
      <c r="L89" s="133">
        <f>+'ex BH PW'!T110</f>
        <v>0</v>
      </c>
      <c r="M89" s="133">
        <f>+'ex BH PW'!U110</f>
        <v>0</v>
      </c>
      <c r="N89" s="133">
        <f>+'ex BH PW'!V110</f>
        <v>0</v>
      </c>
      <c r="O89" s="133">
        <f>+'ex BH PW'!W110</f>
        <v>0</v>
      </c>
      <c r="P89" s="133">
        <f>+'ex BH PW'!X110</f>
        <v>0</v>
      </c>
      <c r="Q89" s="133">
        <f>+'ex BH PW'!Y110</f>
        <v>0</v>
      </c>
      <c r="R89" s="133">
        <f>+'ex BH PW'!Z110</f>
        <v>0</v>
      </c>
      <c r="S89" s="133">
        <f>+'ex BH PW'!AA110</f>
        <v>0</v>
      </c>
      <c r="T89" s="133">
        <f>+'ex BH PW'!AB110</f>
        <v>0</v>
      </c>
      <c r="U89" s="133">
        <f>+'ex BH PW'!AC110</f>
        <v>0</v>
      </c>
      <c r="V89" s="133">
        <f>+'ex BH PW'!AD110</f>
        <v>0</v>
      </c>
      <c r="W89" s="133">
        <f>+'ex BH PW'!AE110</f>
        <v>0</v>
      </c>
      <c r="X89" s="133">
        <f>+'ex BH PW'!AF110</f>
        <v>0</v>
      </c>
      <c r="Y89" s="133">
        <f>+'ex BH PW'!AG110</f>
        <v>0</v>
      </c>
      <c r="Z89" s="133">
        <f>+'ex BH PW'!AH110</f>
        <v>0</v>
      </c>
    </row>
    <row r="90" spans="1:26" x14ac:dyDescent="0.25">
      <c r="A90" s="132" t="str">
        <f>+'ex BH PW'!H111</f>
        <v xml:space="preserve">Die Haftpflichtkasse Darmstadt </v>
      </c>
      <c r="B90" s="133" t="str">
        <f>+'ex BH PW'!J111</f>
        <v>009534-457</v>
      </c>
      <c r="C90" s="133" t="str">
        <f>+'ex BH PW'!I111</f>
        <v>009534-457</v>
      </c>
      <c r="D90" s="133">
        <f>+'ex BH PW'!K111</f>
        <v>0</v>
      </c>
      <c r="E90" s="133" t="str">
        <f>+'ex BH PW'!L111</f>
        <v>007993-201</v>
      </c>
      <c r="F90" s="133">
        <f>+'ex BH PW'!M111</f>
        <v>0</v>
      </c>
      <c r="G90" s="133" t="str">
        <f>+'ex BH PW'!N111</f>
        <v>9104-057</v>
      </c>
      <c r="H90" s="133">
        <f>+'ex BH PW'!P111</f>
        <v>0</v>
      </c>
      <c r="I90" s="133">
        <f>+'ex BH PW'!Q111</f>
        <v>0</v>
      </c>
      <c r="J90" s="133">
        <f>+'ex BH PW'!R111</f>
        <v>0</v>
      </c>
      <c r="K90" s="133">
        <f>+'ex BH PW'!S111</f>
        <v>0</v>
      </c>
      <c r="L90" s="133" t="str">
        <f>+'ex BH PW'!T111</f>
        <v>007993-209; ex 007782-031</v>
      </c>
      <c r="M90" s="133">
        <f>+'ex BH PW'!U111</f>
        <v>0</v>
      </c>
      <c r="N90" s="133">
        <f>+'ex BH PW'!V111</f>
        <v>0</v>
      </c>
      <c r="O90" s="133">
        <f>+'ex BH PW'!W111</f>
        <v>0</v>
      </c>
      <c r="P90" s="133">
        <f>+'ex BH PW'!X111</f>
        <v>0</v>
      </c>
      <c r="Q90" s="133">
        <f>+'ex BH PW'!Y111</f>
        <v>0</v>
      </c>
      <c r="R90" s="133">
        <f>+'ex BH PW'!Z111</f>
        <v>0</v>
      </c>
      <c r="S90" s="133">
        <f>+'ex BH PW'!AA111</f>
        <v>0</v>
      </c>
      <c r="T90" s="133">
        <f>+'ex BH PW'!AB111</f>
        <v>0</v>
      </c>
      <c r="U90" s="133">
        <f>+'ex BH PW'!AC111</f>
        <v>0</v>
      </c>
      <c r="V90" s="133">
        <f>+'ex BH PW'!AD111</f>
        <v>0</v>
      </c>
      <c r="W90" s="133">
        <f>+'ex BH PW'!AE111</f>
        <v>0</v>
      </c>
      <c r="X90" s="133">
        <f>+'ex BH PW'!AF111</f>
        <v>0</v>
      </c>
      <c r="Y90" s="133">
        <f>+'ex BH PW'!AG111</f>
        <v>0</v>
      </c>
      <c r="Z90" s="133">
        <f>+'ex BH PW'!AH111</f>
        <v>0</v>
      </c>
    </row>
    <row r="91" spans="1:26" x14ac:dyDescent="0.25">
      <c r="A91" s="132" t="str">
        <f>+'ex BH PW'!H112</f>
        <v>Hallesche KV</v>
      </c>
      <c r="B91" s="133" t="str">
        <f>+'ex BH PW'!J112</f>
        <v>482367</v>
      </c>
      <c r="C91" s="133" t="str">
        <f>+'ex BH PW'!I112</f>
        <v>160999</v>
      </c>
      <c r="D91" s="133">
        <f>+'ex BH PW'!K112</f>
        <v>0</v>
      </c>
      <c r="E91" s="133">
        <f>+'ex BH PW'!L112</f>
        <v>0</v>
      </c>
      <c r="F91" s="133">
        <f>+'ex BH PW'!M112</f>
        <v>0</v>
      </c>
      <c r="G91" s="133">
        <f>+'ex BH PW'!N112</f>
        <v>0</v>
      </c>
      <c r="H91" s="133">
        <f>+'ex BH PW'!P112</f>
        <v>0</v>
      </c>
      <c r="I91" s="133">
        <f>+'ex BH PW'!Q112</f>
        <v>0</v>
      </c>
      <c r="J91" s="133">
        <f>+'ex BH PW'!R112</f>
        <v>0</v>
      </c>
      <c r="K91" s="133">
        <f>+'ex BH PW'!S112</f>
        <v>0</v>
      </c>
      <c r="L91" s="133">
        <f>+'ex BH PW'!T112</f>
        <v>0</v>
      </c>
      <c r="M91" s="133">
        <f>+'ex BH PW'!U112</f>
        <v>0</v>
      </c>
      <c r="N91" s="133">
        <f>+'ex BH PW'!V112</f>
        <v>0</v>
      </c>
      <c r="O91" s="133">
        <f>+'ex BH PW'!W112</f>
        <v>0</v>
      </c>
      <c r="P91" s="133">
        <f>+'ex BH PW'!X112</f>
        <v>0</v>
      </c>
      <c r="Q91" s="133">
        <f>+'ex BH PW'!Y112</f>
        <v>0</v>
      </c>
      <c r="R91" s="133">
        <f>+'ex BH PW'!Z112</f>
        <v>0</v>
      </c>
      <c r="S91" s="133">
        <f>+'ex BH PW'!AA112</f>
        <v>0</v>
      </c>
      <c r="T91" s="133">
        <f>+'ex BH PW'!AB112</f>
        <v>0</v>
      </c>
      <c r="U91" s="133">
        <f>+'ex BH PW'!AC112</f>
        <v>0</v>
      </c>
      <c r="V91" s="133">
        <f>+'ex BH PW'!AD112</f>
        <v>0</v>
      </c>
      <c r="W91" s="133">
        <f>+'ex BH PW'!AE112</f>
        <v>0</v>
      </c>
      <c r="X91" s="133">
        <f>+'ex BH PW'!AF112</f>
        <v>0</v>
      </c>
      <c r="Y91" s="133">
        <f>+'ex BH PW'!AG112</f>
        <v>0</v>
      </c>
      <c r="Z91" s="133">
        <f>+'ex BH PW'!AH112</f>
        <v>0</v>
      </c>
    </row>
    <row r="92" spans="1:26" x14ac:dyDescent="0.25">
      <c r="A92" s="132" t="str">
        <f>+'ex BH PW'!H114</f>
        <v>Hannoverische Leben / SLP</v>
      </c>
      <c r="B92" s="133" t="str">
        <f>+'ex BH PW'!J114</f>
        <v>VL100142-108</v>
      </c>
      <c r="C92" s="133">
        <f>+'ex BH PW'!I114</f>
        <v>0</v>
      </c>
      <c r="D92" s="133">
        <f>+'ex BH PW'!K114</f>
        <v>0</v>
      </c>
      <c r="E92" s="133">
        <f>+'ex BH PW'!L114</f>
        <v>0</v>
      </c>
      <c r="F92" s="133">
        <f>+'ex BH PW'!M114</f>
        <v>0</v>
      </c>
      <c r="G92" s="133">
        <f>+'ex BH PW'!N114</f>
        <v>0</v>
      </c>
      <c r="H92" s="133">
        <f>+'ex BH PW'!P114</f>
        <v>0</v>
      </c>
      <c r="I92" s="133">
        <f>+'ex BH PW'!Q114</f>
        <v>0</v>
      </c>
      <c r="J92" s="133">
        <f>+'ex BH PW'!R114</f>
        <v>0</v>
      </c>
      <c r="K92" s="133">
        <f>+'ex BH PW'!S114</f>
        <v>0</v>
      </c>
      <c r="L92" s="133">
        <f>+'ex BH PW'!T114</f>
        <v>0</v>
      </c>
      <c r="M92" s="133">
        <f>+'ex BH PW'!U114</f>
        <v>0</v>
      </c>
      <c r="N92" s="133">
        <f>+'ex BH PW'!V114</f>
        <v>0</v>
      </c>
      <c r="O92" s="133">
        <f>+'ex BH PW'!W114</f>
        <v>0</v>
      </c>
      <c r="P92" s="133">
        <f>+'ex BH PW'!X114</f>
        <v>0</v>
      </c>
      <c r="Q92" s="133">
        <f>+'ex BH PW'!Y114</f>
        <v>0</v>
      </c>
      <c r="R92" s="133">
        <f>+'ex BH PW'!Z114</f>
        <v>0</v>
      </c>
      <c r="S92" s="133">
        <f>+'ex BH PW'!AA114</f>
        <v>0</v>
      </c>
      <c r="T92" s="133">
        <f>+'ex BH PW'!AB114</f>
        <v>0</v>
      </c>
      <c r="U92" s="133">
        <f>+'ex BH PW'!AC114</f>
        <v>0</v>
      </c>
      <c r="V92" s="133">
        <f>+'ex BH PW'!AD114</f>
        <v>0</v>
      </c>
      <c r="W92" s="133">
        <f>+'ex BH PW'!AE114</f>
        <v>0</v>
      </c>
      <c r="X92" s="133">
        <f>+'ex BH PW'!AF114</f>
        <v>0</v>
      </c>
      <c r="Y92" s="133">
        <f>+'ex BH PW'!AG114</f>
        <v>0</v>
      </c>
      <c r="Z92" s="133">
        <f>+'ex BH PW'!AH114</f>
        <v>0</v>
      </c>
    </row>
    <row r="93" spans="1:26" x14ac:dyDescent="0.25">
      <c r="A93" s="132" t="str">
        <f>+'ex BH PW'!H115</f>
        <v>Hanse Merkur</v>
      </c>
      <c r="B93" s="133" t="str">
        <f>+'ex BH PW'!J115</f>
        <v>3365483</v>
      </c>
      <c r="C93" s="133">
        <f>+'ex BH PW'!I115</f>
        <v>0</v>
      </c>
      <c r="D93" s="133">
        <f>+'ex BH PW'!K115</f>
        <v>0</v>
      </c>
      <c r="E93" s="133">
        <f>+'ex BH PW'!L115</f>
        <v>0</v>
      </c>
      <c r="F93" s="133">
        <f>+'ex BH PW'!M115</f>
        <v>0</v>
      </c>
      <c r="G93" s="133">
        <f>+'ex BH PW'!N115</f>
        <v>0</v>
      </c>
      <c r="H93" s="133">
        <f>+'ex BH PW'!P115</f>
        <v>0</v>
      </c>
      <c r="I93" s="133">
        <f>+'ex BH PW'!Q115</f>
        <v>0</v>
      </c>
      <c r="J93" s="133">
        <f>+'ex BH PW'!R115</f>
        <v>0</v>
      </c>
      <c r="K93" s="133">
        <f>+'ex BH PW'!S115</f>
        <v>0</v>
      </c>
      <c r="L93" s="133">
        <f>+'ex BH PW'!T115</f>
        <v>0</v>
      </c>
      <c r="M93" s="133">
        <f>+'ex BH PW'!U115</f>
        <v>0</v>
      </c>
      <c r="N93" s="133">
        <f>+'ex BH PW'!V115</f>
        <v>0</v>
      </c>
      <c r="O93" s="133">
        <f>+'ex BH PW'!W115</f>
        <v>0</v>
      </c>
      <c r="P93" s="133">
        <f>+'ex BH PW'!X115</f>
        <v>0</v>
      </c>
      <c r="Q93" s="133">
        <f>+'ex BH PW'!Y115</f>
        <v>0</v>
      </c>
      <c r="R93" s="133">
        <f>+'ex BH PW'!Z115</f>
        <v>0</v>
      </c>
      <c r="S93" s="133">
        <f>+'ex BH PW'!AA115</f>
        <v>0</v>
      </c>
      <c r="T93" s="133">
        <f>+'ex BH PW'!AB115</f>
        <v>0</v>
      </c>
      <c r="U93" s="133">
        <f>+'ex BH PW'!AC115</f>
        <v>0</v>
      </c>
      <c r="V93" s="133">
        <f>+'ex BH PW'!AD115</f>
        <v>0</v>
      </c>
      <c r="W93" s="133">
        <f>+'ex BH PW'!AE115</f>
        <v>0</v>
      </c>
      <c r="X93" s="133">
        <f>+'ex BH PW'!AF115</f>
        <v>0</v>
      </c>
      <c r="Y93" s="133">
        <f>+'ex BH PW'!AG115</f>
        <v>0</v>
      </c>
      <c r="Z93" s="133">
        <f>+'ex BH PW'!AH115</f>
        <v>0</v>
      </c>
    </row>
    <row r="94" spans="1:26" x14ac:dyDescent="0.25">
      <c r="A94" s="132" t="str">
        <f>+'ex BH PW'!H116</f>
        <v>HanseMerkur Kranken</v>
      </c>
      <c r="B94" s="133" t="str">
        <f>+'ex BH PW'!J116</f>
        <v>3365483</v>
      </c>
      <c r="C94" s="133">
        <f>+'ex BH PW'!I116</f>
        <v>0</v>
      </c>
      <c r="D94" s="133">
        <f>+'ex BH PW'!K116</f>
        <v>0</v>
      </c>
      <c r="E94" s="133">
        <f>+'ex BH PW'!L116</f>
        <v>0</v>
      </c>
      <c r="F94" s="133">
        <f>+'ex BH PW'!M116</f>
        <v>0</v>
      </c>
      <c r="G94" s="133">
        <f>+'ex BH PW'!N116</f>
        <v>0</v>
      </c>
      <c r="H94" s="133">
        <f>+'ex BH PW'!P116</f>
        <v>0</v>
      </c>
      <c r="I94" s="133">
        <f>+'ex BH PW'!Q116</f>
        <v>0</v>
      </c>
      <c r="J94" s="133">
        <f>+'ex BH PW'!R116</f>
        <v>0</v>
      </c>
      <c r="K94" s="133">
        <f>+'ex BH PW'!S116</f>
        <v>0</v>
      </c>
      <c r="L94" s="133">
        <f>+'ex BH PW'!T116</f>
        <v>0</v>
      </c>
      <c r="M94" s="133">
        <f>+'ex BH PW'!U116</f>
        <v>0</v>
      </c>
      <c r="N94" s="133">
        <f>+'ex BH PW'!V116</f>
        <v>0</v>
      </c>
      <c r="O94" s="133">
        <f>+'ex BH PW'!W116</f>
        <v>0</v>
      </c>
      <c r="P94" s="133">
        <f>+'ex BH PW'!X116</f>
        <v>0</v>
      </c>
      <c r="Q94" s="133">
        <f>+'ex BH PW'!Y116</f>
        <v>0</v>
      </c>
      <c r="R94" s="133">
        <f>+'ex BH PW'!Z116</f>
        <v>0</v>
      </c>
      <c r="S94" s="133">
        <f>+'ex BH PW'!AA116</f>
        <v>0</v>
      </c>
      <c r="T94" s="133">
        <f>+'ex BH PW'!AB116</f>
        <v>0</v>
      </c>
      <c r="U94" s="133">
        <f>+'ex BH PW'!AC116</f>
        <v>0</v>
      </c>
      <c r="V94" s="133">
        <f>+'ex BH PW'!AD116</f>
        <v>0</v>
      </c>
      <c r="W94" s="133">
        <f>+'ex BH PW'!AE116</f>
        <v>0</v>
      </c>
      <c r="X94" s="133">
        <f>+'ex BH PW'!AF116</f>
        <v>0</v>
      </c>
      <c r="Y94" s="133">
        <f>+'ex BH PW'!AG116</f>
        <v>0</v>
      </c>
      <c r="Z94" s="133">
        <f>+'ex BH PW'!AH116</f>
        <v>0</v>
      </c>
    </row>
    <row r="95" spans="1:26" x14ac:dyDescent="0.25">
      <c r="A95" s="132" t="str">
        <f>+'ex BH PW'!H117</f>
        <v>HanseMerkur Reise</v>
      </c>
      <c r="B95" s="133" t="str">
        <f>+'ex BH PW'!J117</f>
        <v>3365483</v>
      </c>
      <c r="C95" s="133">
        <f>+'ex BH PW'!I117</f>
        <v>0</v>
      </c>
      <c r="D95" s="133">
        <f>+'ex BH PW'!K117</f>
        <v>0</v>
      </c>
      <c r="E95" s="133">
        <f>+'ex BH PW'!L117</f>
        <v>0</v>
      </c>
      <c r="F95" s="133">
        <f>+'ex BH PW'!M117</f>
        <v>0</v>
      </c>
      <c r="G95" s="133">
        <f>+'ex BH PW'!N117</f>
        <v>0</v>
      </c>
      <c r="H95" s="133">
        <f>+'ex BH PW'!P117</f>
        <v>0</v>
      </c>
      <c r="I95" s="133">
        <f>+'ex BH PW'!Q117</f>
        <v>0</v>
      </c>
      <c r="J95" s="133">
        <f>+'ex BH PW'!R117</f>
        <v>0</v>
      </c>
      <c r="K95" s="133">
        <f>+'ex BH PW'!S117</f>
        <v>0</v>
      </c>
      <c r="L95" s="133">
        <f>+'ex BH PW'!T117</f>
        <v>0</v>
      </c>
      <c r="M95" s="133">
        <f>+'ex BH PW'!U117</f>
        <v>0</v>
      </c>
      <c r="N95" s="133">
        <f>+'ex BH PW'!V117</f>
        <v>0</v>
      </c>
      <c r="O95" s="133">
        <f>+'ex BH PW'!W117</f>
        <v>0</v>
      </c>
      <c r="P95" s="133">
        <f>+'ex BH PW'!X117</f>
        <v>0</v>
      </c>
      <c r="Q95" s="133">
        <f>+'ex BH PW'!Y117</f>
        <v>0</v>
      </c>
      <c r="R95" s="133">
        <f>+'ex BH PW'!Z117</f>
        <v>0</v>
      </c>
      <c r="S95" s="133">
        <f>+'ex BH PW'!AA117</f>
        <v>0</v>
      </c>
      <c r="T95" s="133">
        <f>+'ex BH PW'!AB117</f>
        <v>0</v>
      </c>
      <c r="U95" s="133">
        <f>+'ex BH PW'!AC117</f>
        <v>0</v>
      </c>
      <c r="V95" s="133">
        <f>+'ex BH PW'!AD117</f>
        <v>0</v>
      </c>
      <c r="W95" s="133">
        <f>+'ex BH PW'!AE117</f>
        <v>0</v>
      </c>
      <c r="X95" s="133">
        <f>+'ex BH PW'!AF117</f>
        <v>0</v>
      </c>
      <c r="Y95" s="133">
        <f>+'ex BH PW'!AG117</f>
        <v>0</v>
      </c>
      <c r="Z95" s="133">
        <f>+'ex BH PW'!AH117</f>
        <v>0</v>
      </c>
    </row>
    <row r="96" spans="1:26" x14ac:dyDescent="0.25">
      <c r="A96" s="132" t="e">
        <f>+[1]passwörter_agenturen!#REF!</f>
        <v>#REF!</v>
      </c>
      <c r="B96" s="133" t="e">
        <f>+[1]passwörter_agenturen!#REF!</f>
        <v>#REF!</v>
      </c>
      <c r="C96" s="133" t="e">
        <f>+[1]passwörter_agenturen!#REF!</f>
        <v>#REF!</v>
      </c>
      <c r="D96" s="133" t="e">
        <f>+[1]passwörter_agenturen!#REF!</f>
        <v>#REF!</v>
      </c>
      <c r="E96" s="133" t="e">
        <f>+[1]passwörter_agenturen!#REF!</f>
        <v>#REF!</v>
      </c>
      <c r="F96" s="133" t="e">
        <f>+[1]passwörter_agenturen!#REF!</f>
        <v>#REF!</v>
      </c>
      <c r="G96" s="133" t="e">
        <f>+[1]passwörter_agenturen!#REF!</f>
        <v>#REF!</v>
      </c>
      <c r="H96" s="133" t="e">
        <f>+[1]passwörter_agenturen!#REF!</f>
        <v>#REF!</v>
      </c>
      <c r="I96" s="133" t="e">
        <f>+[1]passwörter_agenturen!#REF!</f>
        <v>#REF!</v>
      </c>
      <c r="J96" s="133" t="e">
        <f>+[1]passwörter_agenturen!#REF!</f>
        <v>#REF!</v>
      </c>
      <c r="K96" s="133" t="e">
        <f>+[1]passwörter_agenturen!#REF!</f>
        <v>#REF!</v>
      </c>
      <c r="L96" s="133" t="e">
        <f>+[1]passwörter_agenturen!#REF!</f>
        <v>#REF!</v>
      </c>
      <c r="M96" s="133" t="e">
        <f>+[1]passwörter_agenturen!#REF!</f>
        <v>#REF!</v>
      </c>
      <c r="N96" s="133" t="e">
        <f>+[1]passwörter_agenturen!#REF!</f>
        <v>#REF!</v>
      </c>
      <c r="O96" s="133" t="e">
        <f>+[1]passwörter_agenturen!#REF!</f>
        <v>#REF!</v>
      </c>
      <c r="P96" s="133" t="e">
        <f>+[1]passwörter_agenturen!#REF!</f>
        <v>#REF!</v>
      </c>
      <c r="Q96" s="133" t="e">
        <f>+[1]passwörter_agenturen!#REF!</f>
        <v>#REF!</v>
      </c>
      <c r="R96" s="133" t="e">
        <f>+[1]passwörter_agenturen!#REF!</f>
        <v>#REF!</v>
      </c>
      <c r="S96" s="133" t="e">
        <f>+[1]passwörter_agenturen!#REF!</f>
        <v>#REF!</v>
      </c>
      <c r="T96" s="133" t="e">
        <f>+[1]passwörter_agenturen!#REF!</f>
        <v>#REF!</v>
      </c>
      <c r="U96" s="133" t="e">
        <f>+[1]passwörter_agenturen!#REF!</f>
        <v>#REF!</v>
      </c>
      <c r="V96" s="133" t="e">
        <f>+[1]passwörter_agenturen!#REF!</f>
        <v>#REF!</v>
      </c>
      <c r="W96" s="133" t="e">
        <f>+[1]passwörter_agenturen!#REF!</f>
        <v>#REF!</v>
      </c>
      <c r="X96" s="133" t="e">
        <f>+[1]passwörter_agenturen!#REF!</f>
        <v>#REF!</v>
      </c>
      <c r="Y96" s="133" t="e">
        <f>+[1]passwörter_agenturen!#REF!</f>
        <v>#REF!</v>
      </c>
      <c r="Z96" s="133" t="e">
        <f>+[1]passwörter_agenturen!#REF!</f>
        <v>#REF!</v>
      </c>
    </row>
    <row r="97" spans="1:26" x14ac:dyDescent="0.25">
      <c r="A97" s="132" t="e">
        <f>+[1]passwörter_agenturen!#REF!</f>
        <v>#REF!</v>
      </c>
      <c r="B97" s="133" t="e">
        <f>+[1]passwörter_agenturen!#REF!</f>
        <v>#REF!</v>
      </c>
      <c r="C97" s="133" t="e">
        <f>+[1]passwörter_agenturen!#REF!</f>
        <v>#REF!</v>
      </c>
      <c r="D97" s="133" t="e">
        <f>+[1]passwörter_agenturen!#REF!</f>
        <v>#REF!</v>
      </c>
      <c r="E97" s="133" t="e">
        <f>+[1]passwörter_agenturen!#REF!</f>
        <v>#REF!</v>
      </c>
      <c r="F97" s="133" t="e">
        <f>+[1]passwörter_agenturen!#REF!</f>
        <v>#REF!</v>
      </c>
      <c r="G97" s="133" t="e">
        <f>+[1]passwörter_agenturen!#REF!</f>
        <v>#REF!</v>
      </c>
      <c r="H97" s="133" t="e">
        <f>+[1]passwörter_agenturen!#REF!</f>
        <v>#REF!</v>
      </c>
      <c r="I97" s="133" t="e">
        <f>+[1]passwörter_agenturen!#REF!</f>
        <v>#REF!</v>
      </c>
      <c r="J97" s="133" t="e">
        <f>+[1]passwörter_agenturen!#REF!</f>
        <v>#REF!</v>
      </c>
      <c r="K97" s="133" t="e">
        <f>+[1]passwörter_agenturen!#REF!</f>
        <v>#REF!</v>
      </c>
      <c r="L97" s="133" t="e">
        <f>+[1]passwörter_agenturen!#REF!</f>
        <v>#REF!</v>
      </c>
      <c r="M97" s="133" t="e">
        <f>+[1]passwörter_agenturen!#REF!</f>
        <v>#REF!</v>
      </c>
      <c r="N97" s="133" t="e">
        <f>+[1]passwörter_agenturen!#REF!</f>
        <v>#REF!</v>
      </c>
      <c r="O97" s="133" t="e">
        <f>+[1]passwörter_agenturen!#REF!</f>
        <v>#REF!</v>
      </c>
      <c r="P97" s="133" t="e">
        <f>+[1]passwörter_agenturen!#REF!</f>
        <v>#REF!</v>
      </c>
      <c r="Q97" s="133" t="e">
        <f>+[1]passwörter_agenturen!#REF!</f>
        <v>#REF!</v>
      </c>
      <c r="R97" s="133" t="e">
        <f>+[1]passwörter_agenturen!#REF!</f>
        <v>#REF!</v>
      </c>
      <c r="S97" s="133" t="e">
        <f>+[1]passwörter_agenturen!#REF!</f>
        <v>#REF!</v>
      </c>
      <c r="T97" s="133" t="e">
        <f>+[1]passwörter_agenturen!#REF!</f>
        <v>#REF!</v>
      </c>
      <c r="U97" s="133" t="e">
        <f>+[1]passwörter_agenturen!#REF!</f>
        <v>#REF!</v>
      </c>
      <c r="V97" s="133" t="e">
        <f>+[1]passwörter_agenturen!#REF!</f>
        <v>#REF!</v>
      </c>
      <c r="W97" s="133" t="e">
        <f>+[1]passwörter_agenturen!#REF!</f>
        <v>#REF!</v>
      </c>
      <c r="X97" s="133" t="e">
        <f>+[1]passwörter_agenturen!#REF!</f>
        <v>#REF!</v>
      </c>
      <c r="Y97" s="133" t="e">
        <f>+[1]passwörter_agenturen!#REF!</f>
        <v>#REF!</v>
      </c>
      <c r="Z97" s="133" t="e">
        <f>+[1]passwörter_agenturen!#REF!</f>
        <v>#REF!</v>
      </c>
    </row>
    <row r="98" spans="1:26" x14ac:dyDescent="0.25">
      <c r="A98" s="132" t="e">
        <f>+[1]passwörter_agenturen!#REF!</f>
        <v>#REF!</v>
      </c>
      <c r="B98" s="133" t="e">
        <f>+[1]passwörter_agenturen!#REF!</f>
        <v>#REF!</v>
      </c>
      <c r="C98" s="133" t="e">
        <f>+[1]passwörter_agenturen!#REF!</f>
        <v>#REF!</v>
      </c>
      <c r="D98" s="133" t="e">
        <f>+[1]passwörter_agenturen!#REF!</f>
        <v>#REF!</v>
      </c>
      <c r="E98" s="133" t="e">
        <f>+[1]passwörter_agenturen!#REF!</f>
        <v>#REF!</v>
      </c>
      <c r="F98" s="133" t="e">
        <f>+[1]passwörter_agenturen!#REF!</f>
        <v>#REF!</v>
      </c>
      <c r="G98" s="133" t="e">
        <f>+[1]passwörter_agenturen!#REF!</f>
        <v>#REF!</v>
      </c>
      <c r="H98" s="133" t="e">
        <f>+[1]passwörter_agenturen!#REF!</f>
        <v>#REF!</v>
      </c>
      <c r="I98" s="133" t="e">
        <f>+[1]passwörter_agenturen!#REF!</f>
        <v>#REF!</v>
      </c>
      <c r="J98" s="133" t="e">
        <f>+[1]passwörter_agenturen!#REF!</f>
        <v>#REF!</v>
      </c>
      <c r="K98" s="133" t="e">
        <f>+[1]passwörter_agenturen!#REF!</f>
        <v>#REF!</v>
      </c>
      <c r="L98" s="133" t="e">
        <f>+[1]passwörter_agenturen!#REF!</f>
        <v>#REF!</v>
      </c>
      <c r="M98" s="133" t="e">
        <f>+[1]passwörter_agenturen!#REF!</f>
        <v>#REF!</v>
      </c>
      <c r="N98" s="133" t="e">
        <f>+[1]passwörter_agenturen!#REF!</f>
        <v>#REF!</v>
      </c>
      <c r="O98" s="133" t="e">
        <f>+[1]passwörter_agenturen!#REF!</f>
        <v>#REF!</v>
      </c>
      <c r="P98" s="133" t="e">
        <f>+[1]passwörter_agenturen!#REF!</f>
        <v>#REF!</v>
      </c>
      <c r="Q98" s="133" t="e">
        <f>+[1]passwörter_agenturen!#REF!</f>
        <v>#REF!</v>
      </c>
      <c r="R98" s="133" t="e">
        <f>+[1]passwörter_agenturen!#REF!</f>
        <v>#REF!</v>
      </c>
      <c r="S98" s="133" t="e">
        <f>+[1]passwörter_agenturen!#REF!</f>
        <v>#REF!</v>
      </c>
      <c r="T98" s="133" t="e">
        <f>+[1]passwörter_agenturen!#REF!</f>
        <v>#REF!</v>
      </c>
      <c r="U98" s="133" t="e">
        <f>+[1]passwörter_agenturen!#REF!</f>
        <v>#REF!</v>
      </c>
      <c r="V98" s="133" t="e">
        <f>+[1]passwörter_agenturen!#REF!</f>
        <v>#REF!</v>
      </c>
      <c r="W98" s="133" t="e">
        <f>+[1]passwörter_agenturen!#REF!</f>
        <v>#REF!</v>
      </c>
      <c r="X98" s="133" t="e">
        <f>+[1]passwörter_agenturen!#REF!</f>
        <v>#REF!</v>
      </c>
      <c r="Y98" s="133" t="e">
        <f>+[1]passwörter_agenturen!#REF!</f>
        <v>#REF!</v>
      </c>
      <c r="Z98" s="133" t="e">
        <f>+[1]passwörter_agenturen!#REF!</f>
        <v>#REF!</v>
      </c>
    </row>
    <row r="99" spans="1:26" x14ac:dyDescent="0.25">
      <c r="A99" s="132" t="str">
        <f>+'ex BH PW'!H120</f>
        <v>HDI Leben</v>
      </c>
      <c r="B99" s="133" t="str">
        <f>+'ex BH PW'!J120</f>
        <v>021449</v>
      </c>
      <c r="C99" s="133" t="str">
        <f>+'ex BH PW'!I120</f>
        <v>519080</v>
      </c>
      <c r="D99" s="133">
        <f>+'ex BH PW'!K120</f>
        <v>0</v>
      </c>
      <c r="E99" s="133" t="str">
        <f>+'ex BH PW'!L120</f>
        <v>612601</v>
      </c>
      <c r="F99" s="133">
        <f>+'ex BH PW'!M120</f>
        <v>0</v>
      </c>
      <c r="G99" s="133">
        <f>+'ex BH PW'!N120</f>
        <v>0</v>
      </c>
      <c r="H99" s="133">
        <f>+'ex BH PW'!P120</f>
        <v>0</v>
      </c>
      <c r="I99" s="133">
        <f>+'ex BH PW'!Q120</f>
        <v>0</v>
      </c>
      <c r="J99" s="133">
        <f>+'ex BH PW'!R120</f>
        <v>0</v>
      </c>
      <c r="K99" s="133">
        <f>+'ex BH PW'!S120</f>
        <v>0</v>
      </c>
      <c r="L99" s="133">
        <f>+'ex BH PW'!T120</f>
        <v>0</v>
      </c>
      <c r="M99" s="133">
        <f>+'ex BH PW'!U120</f>
        <v>0</v>
      </c>
      <c r="N99" s="133">
        <f>+'ex BH PW'!V120</f>
        <v>0</v>
      </c>
      <c r="O99" s="133">
        <f>+'ex BH PW'!W120</f>
        <v>0</v>
      </c>
      <c r="P99" s="133">
        <f>+'ex BH PW'!X120</f>
        <v>0</v>
      </c>
      <c r="Q99" s="133">
        <f>+'ex BH PW'!Y120</f>
        <v>0</v>
      </c>
      <c r="R99" s="133">
        <f>+'ex BH PW'!Z120</f>
        <v>0</v>
      </c>
      <c r="S99" s="133">
        <f>+'ex BH PW'!AA120</f>
        <v>0</v>
      </c>
      <c r="T99" s="133">
        <f>+'ex BH PW'!AB120</f>
        <v>0</v>
      </c>
      <c r="U99" s="133">
        <f>+'ex BH PW'!AC120</f>
        <v>0</v>
      </c>
      <c r="V99" s="133">
        <f>+'ex BH PW'!AD120</f>
        <v>0</v>
      </c>
      <c r="W99" s="133">
        <f>+'ex BH PW'!AE120</f>
        <v>0</v>
      </c>
      <c r="X99" s="133" t="str">
        <f>+'ex BH PW'!AF120</f>
        <v>540245</v>
      </c>
      <c r="Y99" s="133">
        <f>+'ex BH PW'!AG120</f>
        <v>0</v>
      </c>
      <c r="Z99" s="133">
        <f>+'ex BH PW'!AH120</f>
        <v>0</v>
      </c>
    </row>
    <row r="100" spans="1:26" x14ac:dyDescent="0.25">
      <c r="A100" s="132" t="str">
        <f>+'ex BH PW'!H121</f>
        <v>HDI Sach</v>
      </c>
      <c r="B100" s="133" t="str">
        <f>+'ex BH PW'!J121</f>
        <v>203-44780</v>
      </c>
      <c r="C100" s="133" t="str">
        <f>+'ex BH PW'!I121</f>
        <v>2020002410</v>
      </c>
      <c r="D100" s="133">
        <f>+'ex BH PW'!K121</f>
        <v>0</v>
      </c>
      <c r="E100" s="133">
        <f>+'ex BH PW'!L121</f>
        <v>0</v>
      </c>
      <c r="F100" s="133">
        <f>+'ex BH PW'!M121</f>
        <v>0</v>
      </c>
      <c r="G100" s="133">
        <f>+'ex BH PW'!N121</f>
        <v>0</v>
      </c>
      <c r="H100" s="133">
        <f>+'ex BH PW'!P121</f>
        <v>0</v>
      </c>
      <c r="I100" s="133">
        <f>+'ex BH PW'!Q121</f>
        <v>0</v>
      </c>
      <c r="J100" s="133">
        <f>+'ex BH PW'!R121</f>
        <v>0</v>
      </c>
      <c r="K100" s="133">
        <f>+'ex BH PW'!S121</f>
        <v>0</v>
      </c>
      <c r="L100" s="133">
        <f>+'ex BH PW'!T121</f>
        <v>0</v>
      </c>
      <c r="M100" s="133">
        <f>+'ex BH PW'!U121</f>
        <v>0</v>
      </c>
      <c r="N100" s="133">
        <f>+'ex BH PW'!V121</f>
        <v>0</v>
      </c>
      <c r="O100" s="133">
        <f>+'ex BH PW'!W121</f>
        <v>0</v>
      </c>
      <c r="P100" s="133">
        <f>+'ex BH PW'!X121</f>
        <v>0</v>
      </c>
      <c r="Q100" s="133">
        <f>+'ex BH PW'!Y121</f>
        <v>0</v>
      </c>
      <c r="R100" s="133">
        <f>+'ex BH PW'!Z121</f>
        <v>0</v>
      </c>
      <c r="S100" s="133">
        <f>+'ex BH PW'!AA121</f>
        <v>0</v>
      </c>
      <c r="T100" s="133">
        <f>+'ex BH PW'!AB121</f>
        <v>0</v>
      </c>
      <c r="U100" s="133">
        <f>+'ex BH PW'!AC121</f>
        <v>0</v>
      </c>
      <c r="V100" s="133">
        <f>+'ex BH PW'!AD121</f>
        <v>0</v>
      </c>
      <c r="W100" s="133">
        <f>+'ex BH PW'!AE121</f>
        <v>0</v>
      </c>
      <c r="X100" s="133">
        <f>+'ex BH PW'!AF121</f>
        <v>0</v>
      </c>
      <c r="Y100" s="133">
        <f>+'ex BH PW'!AG121</f>
        <v>0</v>
      </c>
      <c r="Z100" s="133">
        <f>+'ex BH PW'!AH121</f>
        <v>0</v>
      </c>
    </row>
    <row r="101" spans="1:26" x14ac:dyDescent="0.25">
      <c r="A101" s="132" t="str">
        <f>+'ex BH PW'!H123</f>
        <v>HEK Hanseatische Krankenkasse</v>
      </c>
      <c r="B101" s="133" t="str">
        <f>+'ex BH PW'!J123</f>
        <v>700 1606 741</v>
      </c>
      <c r="C101" s="133">
        <f>+'ex BH PW'!I123</f>
        <v>0</v>
      </c>
      <c r="D101" s="133">
        <f>+'ex BH PW'!K123</f>
        <v>0</v>
      </c>
      <c r="E101" s="133">
        <f>+'ex BH PW'!L123</f>
        <v>0</v>
      </c>
      <c r="F101" s="133">
        <f>+'ex BH PW'!M123</f>
        <v>0</v>
      </c>
      <c r="G101" s="133">
        <f>+'ex BH PW'!N123</f>
        <v>0</v>
      </c>
      <c r="H101" s="133">
        <f>+'ex BH PW'!P123</f>
        <v>0</v>
      </c>
      <c r="I101" s="133">
        <f>+'ex BH PW'!Q123</f>
        <v>0</v>
      </c>
      <c r="J101" s="133">
        <f>+'ex BH PW'!R123</f>
        <v>0</v>
      </c>
      <c r="K101" s="133">
        <f>+'ex BH PW'!S123</f>
        <v>0</v>
      </c>
      <c r="L101" s="133">
        <f>+'ex BH PW'!T123</f>
        <v>0</v>
      </c>
      <c r="M101" s="133">
        <f>+'ex BH PW'!U123</f>
        <v>0</v>
      </c>
      <c r="N101" s="133">
        <f>+'ex BH PW'!V123</f>
        <v>0</v>
      </c>
      <c r="O101" s="133">
        <f>+'ex BH PW'!W123</f>
        <v>0</v>
      </c>
      <c r="P101" s="133">
        <f>+'ex BH PW'!X123</f>
        <v>0</v>
      </c>
      <c r="Q101" s="133">
        <f>+'ex BH PW'!Y123</f>
        <v>0</v>
      </c>
      <c r="R101" s="133">
        <f>+'ex BH PW'!Z123</f>
        <v>0</v>
      </c>
      <c r="S101" s="133">
        <f>+'ex BH PW'!AA123</f>
        <v>0</v>
      </c>
      <c r="T101" s="133">
        <f>+'ex BH PW'!AB123</f>
        <v>0</v>
      </c>
      <c r="U101" s="133">
        <f>+'ex BH PW'!AC123</f>
        <v>0</v>
      </c>
      <c r="V101" s="133">
        <f>+'ex BH PW'!AD123</f>
        <v>0</v>
      </c>
      <c r="W101" s="133">
        <f>+'ex BH PW'!AE123</f>
        <v>0</v>
      </c>
      <c r="X101" s="133">
        <f>+'ex BH PW'!AF123</f>
        <v>0</v>
      </c>
      <c r="Y101" s="133">
        <f>+'ex BH PW'!AG123</f>
        <v>0</v>
      </c>
      <c r="Z101" s="133">
        <f>+'ex BH PW'!AH123</f>
        <v>0</v>
      </c>
    </row>
    <row r="102" spans="1:26" x14ac:dyDescent="0.25">
      <c r="A102" s="132" t="str">
        <f>+'ex BH PW'!H125</f>
        <v>Hiscox (Anglo)</v>
      </c>
      <c r="B102" s="133">
        <f>+'ex BH PW'!J125</f>
        <v>0</v>
      </c>
      <c r="C102" s="133" t="str">
        <f>+'ex BH PW'!I125</f>
        <v>98530</v>
      </c>
      <c r="D102" s="133">
        <f>+'ex BH PW'!K125</f>
        <v>0</v>
      </c>
      <c r="E102" s="133">
        <f>+'ex BH PW'!L125</f>
        <v>0</v>
      </c>
      <c r="F102" s="133">
        <f>+'ex BH PW'!M125</f>
        <v>0</v>
      </c>
      <c r="G102" s="133">
        <f>+'ex BH PW'!N125</f>
        <v>0</v>
      </c>
      <c r="H102" s="133">
        <f>+'ex BH PW'!P125</f>
        <v>0</v>
      </c>
      <c r="I102" s="133">
        <f>+'ex BH PW'!Q125</f>
        <v>0</v>
      </c>
      <c r="J102" s="133">
        <f>+'ex BH PW'!R125</f>
        <v>0</v>
      </c>
      <c r="K102" s="133">
        <f>+'ex BH PW'!S125</f>
        <v>0</v>
      </c>
      <c r="L102" s="133">
        <f>+'ex BH PW'!T125</f>
        <v>0</v>
      </c>
      <c r="M102" s="133">
        <f>+'ex BH PW'!U125</f>
        <v>0</v>
      </c>
      <c r="N102" s="133">
        <f>+'ex BH PW'!V125</f>
        <v>0</v>
      </c>
      <c r="O102" s="133">
        <f>+'ex BH PW'!W125</f>
        <v>0</v>
      </c>
      <c r="P102" s="133">
        <f>+'ex BH PW'!X125</f>
        <v>0</v>
      </c>
      <c r="Q102" s="133">
        <f>+'ex BH PW'!Y125</f>
        <v>0</v>
      </c>
      <c r="R102" s="133">
        <f>+'ex BH PW'!Z125</f>
        <v>0</v>
      </c>
      <c r="S102" s="133">
        <f>+'ex BH PW'!AA125</f>
        <v>0</v>
      </c>
      <c r="T102" s="133">
        <f>+'ex BH PW'!AB125</f>
        <v>0</v>
      </c>
      <c r="U102" s="133">
        <f>+'ex BH PW'!AC125</f>
        <v>0</v>
      </c>
      <c r="V102" s="133">
        <f>+'ex BH PW'!AD125</f>
        <v>0</v>
      </c>
      <c r="W102" s="133">
        <f>+'ex BH PW'!AE125</f>
        <v>0</v>
      </c>
      <c r="X102" s="133">
        <f>+'ex BH PW'!AF125</f>
        <v>0</v>
      </c>
      <c r="Y102" s="133">
        <f>+'ex BH PW'!AG125</f>
        <v>0</v>
      </c>
      <c r="Z102" s="133">
        <f>+'ex BH PW'!AH125</f>
        <v>0</v>
      </c>
    </row>
    <row r="103" spans="1:26" x14ac:dyDescent="0.25">
      <c r="A103" s="132" t="str">
        <f>+'ex BH PW'!H126</f>
        <v>Hübener</v>
      </c>
      <c r="B103" s="133" t="str">
        <f>+'ex BH PW'!J126</f>
        <v>V09852</v>
      </c>
      <c r="C103" s="133">
        <f>+'ex BH PW'!I126</f>
        <v>0</v>
      </c>
      <c r="D103" s="133">
        <f>+'ex BH PW'!K126</f>
        <v>0</v>
      </c>
      <c r="E103" s="133">
        <f>+'ex BH PW'!L126</f>
        <v>0</v>
      </c>
      <c r="F103" s="133">
        <f>+'ex BH PW'!M126</f>
        <v>0</v>
      </c>
      <c r="G103" s="133">
        <f>+'ex BH PW'!N126</f>
        <v>0</v>
      </c>
      <c r="H103" s="133">
        <f>+'ex BH PW'!P126</f>
        <v>0</v>
      </c>
      <c r="I103" s="133">
        <f>+'ex BH PW'!Q126</f>
        <v>0</v>
      </c>
      <c r="J103" s="133">
        <f>+'ex BH PW'!R126</f>
        <v>0</v>
      </c>
      <c r="K103" s="133">
        <f>+'ex BH PW'!S126</f>
        <v>0</v>
      </c>
      <c r="L103" s="133">
        <f>+'ex BH PW'!T126</f>
        <v>0</v>
      </c>
      <c r="M103" s="133">
        <f>+'ex BH PW'!U126</f>
        <v>0</v>
      </c>
      <c r="N103" s="133">
        <f>+'ex BH PW'!V126</f>
        <v>0</v>
      </c>
      <c r="O103" s="133">
        <f>+'ex BH PW'!W126</f>
        <v>0</v>
      </c>
      <c r="P103" s="133">
        <f>+'ex BH PW'!X126</f>
        <v>0</v>
      </c>
      <c r="Q103" s="133">
        <f>+'ex BH PW'!Y126</f>
        <v>0</v>
      </c>
      <c r="R103" s="133">
        <f>+'ex BH PW'!Z126</f>
        <v>0</v>
      </c>
      <c r="S103" s="133">
        <f>+'ex BH PW'!AA126</f>
        <v>0</v>
      </c>
      <c r="T103" s="133">
        <f>+'ex BH PW'!AB126</f>
        <v>0</v>
      </c>
      <c r="U103" s="133">
        <f>+'ex BH PW'!AC126</f>
        <v>0</v>
      </c>
      <c r="V103" s="133">
        <f>+'ex BH PW'!AD126</f>
        <v>0</v>
      </c>
      <c r="W103" s="133">
        <f>+'ex BH PW'!AE126</f>
        <v>0</v>
      </c>
      <c r="X103" s="133">
        <f>+'ex BH PW'!AF126</f>
        <v>0</v>
      </c>
      <c r="Y103" s="133">
        <f>+'ex BH PW'!AG126</f>
        <v>0</v>
      </c>
      <c r="Z103" s="133">
        <f>+'ex BH PW'!AH126</f>
        <v>0</v>
      </c>
    </row>
    <row r="104" spans="1:26" x14ac:dyDescent="0.25">
      <c r="A104" s="132" t="str">
        <f>+'ex BH PW'!H128</f>
        <v>Ideenwerk</v>
      </c>
      <c r="B104" s="133">
        <f>+'ex BH PW'!J128</f>
        <v>0</v>
      </c>
      <c r="C104" s="133">
        <f>+'ex BH PW'!I128</f>
        <v>0</v>
      </c>
      <c r="D104" s="133">
        <f>+'ex BH PW'!K128</f>
        <v>0</v>
      </c>
      <c r="E104" s="133">
        <f>+'ex BH PW'!L128</f>
        <v>0</v>
      </c>
      <c r="F104" s="133">
        <f>+'ex BH PW'!M128</f>
        <v>0</v>
      </c>
      <c r="G104" s="133">
        <f>+'ex BH PW'!N128</f>
        <v>0</v>
      </c>
      <c r="H104" s="133">
        <f>+'ex BH PW'!P128</f>
        <v>0</v>
      </c>
      <c r="I104" s="133">
        <f>+'ex BH PW'!Q128</f>
        <v>0</v>
      </c>
      <c r="J104" s="133">
        <f>+'ex BH PW'!R128</f>
        <v>0</v>
      </c>
      <c r="K104" s="133">
        <f>+'ex BH PW'!S128</f>
        <v>0</v>
      </c>
      <c r="L104" s="133">
        <f>+'ex BH PW'!T128</f>
        <v>0</v>
      </c>
      <c r="M104" s="133">
        <f>+'ex BH PW'!U128</f>
        <v>0</v>
      </c>
      <c r="N104" s="133">
        <f>+'ex BH PW'!V128</f>
        <v>0</v>
      </c>
      <c r="O104" s="133">
        <f>+'ex BH PW'!W128</f>
        <v>0</v>
      </c>
      <c r="P104" s="133">
        <f>+'ex BH PW'!X128</f>
        <v>0</v>
      </c>
      <c r="Q104" s="133">
        <f>+'ex BH PW'!Y128</f>
        <v>0</v>
      </c>
      <c r="R104" s="133">
        <f>+'ex BH PW'!Z128</f>
        <v>0</v>
      </c>
      <c r="S104" s="133">
        <f>+'ex BH PW'!AA128</f>
        <v>0</v>
      </c>
      <c r="T104" s="133">
        <f>+'ex BH PW'!AB128</f>
        <v>0</v>
      </c>
      <c r="U104" s="133">
        <f>+'ex BH PW'!AC128</f>
        <v>0</v>
      </c>
      <c r="V104" s="133">
        <f>+'ex BH PW'!AD128</f>
        <v>0</v>
      </c>
      <c r="W104" s="133">
        <f>+'ex BH PW'!AE128</f>
        <v>0</v>
      </c>
      <c r="X104" s="133">
        <f>+'ex BH PW'!AF128</f>
        <v>0</v>
      </c>
      <c r="Y104" s="133">
        <f>+'ex BH PW'!AG128</f>
        <v>0</v>
      </c>
      <c r="Z104" s="133">
        <f>+'ex BH PW'!AH128</f>
        <v>0</v>
      </c>
    </row>
    <row r="105" spans="1:26" x14ac:dyDescent="0.25">
      <c r="A105" s="132" t="str">
        <f>+'ex BH PW'!H129</f>
        <v>Inter</v>
      </c>
      <c r="B105" s="133" t="str">
        <f>+'ex BH PW'!J129</f>
        <v>568063</v>
      </c>
      <c r="C105" s="133" t="str">
        <f>+'ex BH PW'!I129</f>
        <v>568063</v>
      </c>
      <c r="D105" s="133">
        <f>+'ex BH PW'!K129</f>
        <v>0</v>
      </c>
      <c r="E105" s="133">
        <f>+'ex BH PW'!L129</f>
        <v>0</v>
      </c>
      <c r="F105" s="133">
        <f>+'ex BH PW'!M129</f>
        <v>0</v>
      </c>
      <c r="G105" s="133">
        <f>+'ex BH PW'!N129</f>
        <v>0</v>
      </c>
      <c r="H105" s="133">
        <f>+'ex BH PW'!P129</f>
        <v>0</v>
      </c>
      <c r="I105" s="133">
        <f>+'ex BH PW'!Q129</f>
        <v>0</v>
      </c>
      <c r="J105" s="133">
        <f>+'ex BH PW'!R129</f>
        <v>0</v>
      </c>
      <c r="K105" s="133">
        <f>+'ex BH PW'!S129</f>
        <v>0</v>
      </c>
      <c r="L105" s="133">
        <f>+'ex BH PW'!T129</f>
        <v>0</v>
      </c>
      <c r="M105" s="133">
        <f>+'ex BH PW'!U129</f>
        <v>0</v>
      </c>
      <c r="N105" s="133">
        <f>+'ex BH PW'!V129</f>
        <v>0</v>
      </c>
      <c r="O105" s="133">
        <f>+'ex BH PW'!W129</f>
        <v>0</v>
      </c>
      <c r="P105" s="133">
        <f>+'ex BH PW'!X129</f>
        <v>0</v>
      </c>
      <c r="Q105" s="133">
        <f>+'ex BH PW'!Y129</f>
        <v>0</v>
      </c>
      <c r="R105" s="133">
        <f>+'ex BH PW'!Z129</f>
        <v>0</v>
      </c>
      <c r="S105" s="133">
        <f>+'ex BH PW'!AA129</f>
        <v>0</v>
      </c>
      <c r="T105" s="133">
        <f>+'ex BH PW'!AB129</f>
        <v>0</v>
      </c>
      <c r="U105" s="133">
        <f>+'ex BH PW'!AC129</f>
        <v>0</v>
      </c>
      <c r="V105" s="133">
        <f>+'ex BH PW'!AD129</f>
        <v>0</v>
      </c>
      <c r="W105" s="133">
        <f>+'ex BH PW'!AE129</f>
        <v>0</v>
      </c>
      <c r="X105" s="133">
        <f>+'ex BH PW'!AF129</f>
        <v>0</v>
      </c>
      <c r="Y105" s="133">
        <f>+'ex BH PW'!AG129</f>
        <v>0</v>
      </c>
      <c r="Z105" s="133">
        <f>+'ex BH PW'!AH129</f>
        <v>0</v>
      </c>
    </row>
    <row r="106" spans="1:26" x14ac:dyDescent="0.25">
      <c r="A106" s="132" t="str">
        <f>+'ex BH PW'!H130</f>
        <v>Interlloyd</v>
      </c>
      <c r="B106" s="133" t="str">
        <f>+'ex BH PW'!J130</f>
        <v>79852707</v>
      </c>
      <c r="C106" s="133" t="str">
        <f>+'ex BH PW'!I130</f>
        <v>7V9852707</v>
      </c>
      <c r="D106" s="133">
        <f>+'ex BH PW'!K130</f>
        <v>0</v>
      </c>
      <c r="E106" s="133">
        <f>+'ex BH PW'!L130</f>
        <v>0</v>
      </c>
      <c r="F106" s="133">
        <f>+'ex BH PW'!M130</f>
        <v>0</v>
      </c>
      <c r="G106" s="133">
        <f>+'ex BH PW'!N130</f>
        <v>0</v>
      </c>
      <c r="H106" s="133">
        <f>+'ex BH PW'!P130</f>
        <v>0</v>
      </c>
      <c r="I106" s="133">
        <f>+'ex BH PW'!Q130</f>
        <v>0</v>
      </c>
      <c r="J106" s="133">
        <f>+'ex BH PW'!R130</f>
        <v>0</v>
      </c>
      <c r="K106" s="133">
        <f>+'ex BH PW'!S130</f>
        <v>0</v>
      </c>
      <c r="L106" s="133">
        <f>+'ex BH PW'!T130</f>
        <v>0</v>
      </c>
      <c r="M106" s="133">
        <f>+'ex BH PW'!U130</f>
        <v>0</v>
      </c>
      <c r="N106" s="133">
        <f>+'ex BH PW'!V130</f>
        <v>0</v>
      </c>
      <c r="O106" s="133">
        <f>+'ex BH PW'!W130</f>
        <v>0</v>
      </c>
      <c r="P106" s="133">
        <f>+'ex BH PW'!X130</f>
        <v>0</v>
      </c>
      <c r="Q106" s="133">
        <f>+'ex BH PW'!Y130</f>
        <v>0</v>
      </c>
      <c r="R106" s="133">
        <f>+'ex BH PW'!Z130</f>
        <v>0</v>
      </c>
      <c r="S106" s="133">
        <f>+'ex BH PW'!AA130</f>
        <v>0</v>
      </c>
      <c r="T106" s="133">
        <f>+'ex BH PW'!AB130</f>
        <v>0</v>
      </c>
      <c r="U106" s="133">
        <f>+'ex BH PW'!AC130</f>
        <v>0</v>
      </c>
      <c r="V106" s="133">
        <f>+'ex BH PW'!AD130</f>
        <v>0</v>
      </c>
      <c r="W106" s="133">
        <f>+'ex BH PW'!AE130</f>
        <v>0</v>
      </c>
      <c r="X106" s="133">
        <f>+'ex BH PW'!AF130</f>
        <v>0</v>
      </c>
      <c r="Y106" s="133">
        <f>+'ex BH PW'!AG130</f>
        <v>0</v>
      </c>
      <c r="Z106" s="133">
        <f>+'ex BH PW'!AH130</f>
        <v>0</v>
      </c>
    </row>
    <row r="107" spans="1:26" x14ac:dyDescent="0.25">
      <c r="A107" s="132" t="str">
        <f>+'ex BH PW'!H131</f>
        <v>InterRisk LV</v>
      </c>
      <c r="B107" s="133">
        <f>+'ex BH PW'!J131</f>
        <v>28632</v>
      </c>
      <c r="C107" s="133" t="str">
        <f>+'ex BH PW'!I131</f>
        <v>28632</v>
      </c>
      <c r="D107" s="133">
        <f>+'ex BH PW'!K131</f>
        <v>0</v>
      </c>
      <c r="E107" s="133">
        <f>+'ex BH PW'!L131</f>
        <v>0</v>
      </c>
      <c r="F107" s="133">
        <f>+'ex BH PW'!M131</f>
        <v>0</v>
      </c>
      <c r="G107" s="133">
        <f>+'ex BH PW'!N131</f>
        <v>0</v>
      </c>
      <c r="H107" s="133">
        <f>+'ex BH PW'!P131</f>
        <v>0</v>
      </c>
      <c r="I107" s="133">
        <f>+'ex BH PW'!Q131</f>
        <v>0</v>
      </c>
      <c r="J107" s="133">
        <f>+'ex BH PW'!R131</f>
        <v>0</v>
      </c>
      <c r="K107" s="133">
        <f>+'ex BH PW'!S131</f>
        <v>0</v>
      </c>
      <c r="L107" s="133">
        <f>+'ex BH PW'!T131</f>
        <v>0</v>
      </c>
      <c r="M107" s="133">
        <f>+'ex BH PW'!U131</f>
        <v>0</v>
      </c>
      <c r="N107" s="133">
        <f>+'ex BH PW'!V131</f>
        <v>0</v>
      </c>
      <c r="O107" s="133">
        <f>+'ex BH PW'!W131</f>
        <v>0</v>
      </c>
      <c r="P107" s="133">
        <f>+'ex BH PW'!X131</f>
        <v>0</v>
      </c>
      <c r="Q107" s="133">
        <f>+'ex BH PW'!Y131</f>
        <v>0</v>
      </c>
      <c r="R107" s="133">
        <f>+'ex BH PW'!Z131</f>
        <v>0</v>
      </c>
      <c r="S107" s="133">
        <f>+'ex BH PW'!AA131</f>
        <v>0</v>
      </c>
      <c r="T107" s="133">
        <f>+'ex BH PW'!AB131</f>
        <v>0</v>
      </c>
      <c r="U107" s="133">
        <f>+'ex BH PW'!AC131</f>
        <v>0</v>
      </c>
      <c r="V107" s="133">
        <f>+'ex BH PW'!AD131</f>
        <v>0</v>
      </c>
      <c r="W107" s="133">
        <f>+'ex BH PW'!AE131</f>
        <v>0</v>
      </c>
      <c r="X107" s="133">
        <f>+'ex BH PW'!AF131</f>
        <v>0</v>
      </c>
      <c r="Y107" s="133">
        <f>+'ex BH PW'!AG131</f>
        <v>0</v>
      </c>
      <c r="Z107" s="133">
        <f>+'ex BH PW'!AH131</f>
        <v>0</v>
      </c>
    </row>
    <row r="108" spans="1:26" x14ac:dyDescent="0.25">
      <c r="A108" s="132" t="str">
        <f>+'ex BH PW'!H132</f>
        <v>InterRisk Sach</v>
      </c>
      <c r="B108" s="133" t="str">
        <f>+'ex BH PW'!J132</f>
        <v>7171692 (5699320)</v>
      </c>
      <c r="C108" s="133" t="str">
        <f>+'ex BH PW'!I132</f>
        <v>7171692</v>
      </c>
      <c r="D108" s="133">
        <f>+'ex BH PW'!K132</f>
        <v>0</v>
      </c>
      <c r="E108" s="133" t="str">
        <f>+'ex BH PW'!L132</f>
        <v>5699320</v>
      </c>
      <c r="F108" s="133">
        <f>+'ex BH PW'!M132</f>
        <v>0</v>
      </c>
      <c r="G108" s="133">
        <f>+'ex BH PW'!N132</f>
        <v>0</v>
      </c>
      <c r="H108" s="133">
        <f>+'ex BH PW'!P132</f>
        <v>0</v>
      </c>
      <c r="I108" s="133">
        <f>+'ex BH PW'!Q132</f>
        <v>0</v>
      </c>
      <c r="J108" s="133">
        <f>+'ex BH PW'!R132</f>
        <v>0</v>
      </c>
      <c r="K108" s="133">
        <f>+'ex BH PW'!S132</f>
        <v>0</v>
      </c>
      <c r="L108" s="133">
        <f>+'ex BH PW'!T132</f>
        <v>0</v>
      </c>
      <c r="M108" s="133">
        <f>+'ex BH PW'!U132</f>
        <v>0</v>
      </c>
      <c r="N108" s="133">
        <f>+'ex BH PW'!V132</f>
        <v>0</v>
      </c>
      <c r="O108" s="133">
        <f>+'ex BH PW'!W132</f>
        <v>0</v>
      </c>
      <c r="P108" s="133">
        <f>+'ex BH PW'!X132</f>
        <v>0</v>
      </c>
      <c r="Q108" s="133">
        <f>+'ex BH PW'!Y132</f>
        <v>0</v>
      </c>
      <c r="R108" s="133">
        <f>+'ex BH PW'!Z132</f>
        <v>0</v>
      </c>
      <c r="S108" s="133">
        <f>+'ex BH PW'!AA132</f>
        <v>0</v>
      </c>
      <c r="T108" s="133">
        <f>+'ex BH PW'!AB132</f>
        <v>0</v>
      </c>
      <c r="U108" s="133">
        <f>+'ex BH PW'!AC132</f>
        <v>0</v>
      </c>
      <c r="V108" s="133">
        <f>+'ex BH PW'!AD132</f>
        <v>0</v>
      </c>
      <c r="W108" s="133">
        <f>+'ex BH PW'!AE132</f>
        <v>0</v>
      </c>
      <c r="X108" s="133" t="str">
        <f>+'ex BH PW'!AF132</f>
        <v>7378491</v>
      </c>
      <c r="Y108" s="133">
        <f>+'ex BH PW'!AG132</f>
        <v>0</v>
      </c>
      <c r="Z108" s="133" t="s">
        <v>1601</v>
      </c>
    </row>
    <row r="109" spans="1:26" x14ac:dyDescent="0.25">
      <c r="A109" s="132" t="str">
        <f>+'ex BH PW'!H133</f>
        <v>Invers</v>
      </c>
      <c r="B109" s="133">
        <f>+'ex BH PW'!J133</f>
        <v>0</v>
      </c>
      <c r="C109" s="133">
        <f>+'ex BH PW'!I133</f>
        <v>0</v>
      </c>
      <c r="D109" s="133">
        <f>+'ex BH PW'!K133</f>
        <v>0</v>
      </c>
      <c r="E109" s="133">
        <f>+'ex BH PW'!L133</f>
        <v>0</v>
      </c>
      <c r="F109" s="133">
        <f>+'ex BH PW'!M133</f>
        <v>0</v>
      </c>
      <c r="G109" s="133">
        <f>+'ex BH PW'!N133</f>
        <v>0</v>
      </c>
      <c r="H109" s="133">
        <f>+'ex BH PW'!P133</f>
        <v>0</v>
      </c>
      <c r="I109" s="133">
        <f>+'ex BH PW'!Q133</f>
        <v>0</v>
      </c>
      <c r="J109" s="133">
        <f>+'ex BH PW'!R133</f>
        <v>0</v>
      </c>
      <c r="K109" s="133">
        <f>+'ex BH PW'!S133</f>
        <v>0</v>
      </c>
      <c r="L109" s="133">
        <f>+'ex BH PW'!T133</f>
        <v>0</v>
      </c>
      <c r="M109" s="133">
        <f>+'ex BH PW'!U133</f>
        <v>0</v>
      </c>
      <c r="N109" s="133">
        <f>+'ex BH PW'!V133</f>
        <v>0</v>
      </c>
      <c r="O109" s="133">
        <f>+'ex BH PW'!W133</f>
        <v>0</v>
      </c>
      <c r="P109" s="133">
        <f>+'ex BH PW'!X133</f>
        <v>0</v>
      </c>
      <c r="Q109" s="133">
        <f>+'ex BH PW'!Y133</f>
        <v>0</v>
      </c>
      <c r="R109" s="133">
        <f>+'ex BH PW'!Z133</f>
        <v>0</v>
      </c>
      <c r="S109" s="133">
        <f>+'ex BH PW'!AA133</f>
        <v>0</v>
      </c>
      <c r="T109" s="133">
        <f>+'ex BH PW'!AB133</f>
        <v>0</v>
      </c>
      <c r="U109" s="133">
        <f>+'ex BH PW'!AC133</f>
        <v>0</v>
      </c>
      <c r="V109" s="133">
        <f>+'ex BH PW'!AD133</f>
        <v>0</v>
      </c>
      <c r="W109" s="133">
        <f>+'ex BH PW'!AE133</f>
        <v>0</v>
      </c>
      <c r="X109" s="133">
        <f>+'ex BH PW'!AF133</f>
        <v>0</v>
      </c>
      <c r="Y109" s="133">
        <f>+'ex BH PW'!AG133</f>
        <v>0</v>
      </c>
      <c r="Z109" s="133">
        <f>+'ex BH PW'!AH133</f>
        <v>0</v>
      </c>
    </row>
    <row r="110" spans="1:26" x14ac:dyDescent="0.25">
      <c r="A110" s="132" t="str">
        <f>+'ex BH PW'!H134</f>
        <v>Invers</v>
      </c>
      <c r="B110" s="133">
        <f>+'ex BH PW'!J134</f>
        <v>0</v>
      </c>
      <c r="C110" s="133">
        <f>+'ex BH PW'!I134</f>
        <v>0</v>
      </c>
      <c r="D110" s="133">
        <f>+'ex BH PW'!K134</f>
        <v>0</v>
      </c>
      <c r="E110" s="133">
        <f>+'ex BH PW'!L134</f>
        <v>0</v>
      </c>
      <c r="F110" s="133">
        <f>+'ex BH PW'!M134</f>
        <v>0</v>
      </c>
      <c r="G110" s="133">
        <f>+'ex BH PW'!N134</f>
        <v>0</v>
      </c>
      <c r="H110" s="133">
        <f>+'ex BH PW'!P134</f>
        <v>0</v>
      </c>
      <c r="I110" s="133">
        <f>+'ex BH PW'!Q134</f>
        <v>0</v>
      </c>
      <c r="J110" s="133">
        <f>+'ex BH PW'!R134</f>
        <v>0</v>
      </c>
      <c r="K110" s="133">
        <f>+'ex BH PW'!S134</f>
        <v>0</v>
      </c>
      <c r="L110" s="133">
        <f>+'ex BH PW'!T134</f>
        <v>0</v>
      </c>
      <c r="M110" s="133">
        <f>+'ex BH PW'!U134</f>
        <v>0</v>
      </c>
      <c r="N110" s="133">
        <f>+'ex BH PW'!V134</f>
        <v>0</v>
      </c>
      <c r="O110" s="133">
        <f>+'ex BH PW'!W134</f>
        <v>0</v>
      </c>
      <c r="P110" s="133">
        <f>+'ex BH PW'!X134</f>
        <v>0</v>
      </c>
      <c r="Q110" s="133">
        <f>+'ex BH PW'!Y134</f>
        <v>0</v>
      </c>
      <c r="R110" s="133">
        <f>+'ex BH PW'!Z134</f>
        <v>0</v>
      </c>
      <c r="S110" s="133">
        <f>+'ex BH PW'!AA134</f>
        <v>0</v>
      </c>
      <c r="T110" s="133">
        <f>+'ex BH PW'!AB134</f>
        <v>0</v>
      </c>
      <c r="U110" s="133">
        <f>+'ex BH PW'!AC134</f>
        <v>0</v>
      </c>
      <c r="V110" s="133">
        <f>+'ex BH PW'!AD134</f>
        <v>0</v>
      </c>
      <c r="W110" s="133">
        <f>+'ex BH PW'!AE134</f>
        <v>0</v>
      </c>
      <c r="X110" s="133">
        <f>+'ex BH PW'!AF134</f>
        <v>0</v>
      </c>
      <c r="Y110" s="133">
        <f>+'ex BH PW'!AG134</f>
        <v>0</v>
      </c>
      <c r="Z110" s="133">
        <f>+'ex BH PW'!AH134</f>
        <v>0</v>
      </c>
    </row>
    <row r="111" spans="1:26" x14ac:dyDescent="0.25">
      <c r="A111" s="132" t="str">
        <f>+'ex BH PW'!H135</f>
        <v>INVERS GmbH</v>
      </c>
      <c r="B111" s="133">
        <f>+'ex BH PW'!J135</f>
        <v>7993201</v>
      </c>
      <c r="C111" s="133">
        <f>+'ex BH PW'!I135</f>
        <v>0</v>
      </c>
      <c r="D111" s="133">
        <f>+'ex BH PW'!K135</f>
        <v>0</v>
      </c>
      <c r="E111" s="133">
        <f>+'ex BH PW'!L135</f>
        <v>0</v>
      </c>
      <c r="F111" s="133">
        <f>+'ex BH PW'!M135</f>
        <v>0</v>
      </c>
      <c r="G111" s="133">
        <f>+'ex BH PW'!N135</f>
        <v>0</v>
      </c>
      <c r="H111" s="133" t="str">
        <f>+'ex BH PW'!P135</f>
        <v>7993201-013</v>
      </c>
      <c r="I111" s="133" t="str">
        <f>+'ex BH PW'!Q135</f>
        <v>7993201-012</v>
      </c>
      <c r="J111" s="133" t="str">
        <f>+'ex BH PW'!R135</f>
        <v>7993201-002</v>
      </c>
      <c r="K111" s="133">
        <f>+'ex BH PW'!S135</f>
        <v>0</v>
      </c>
      <c r="L111" s="133" t="str">
        <f>+'ex BH PW'!T135</f>
        <v>7993201-009</v>
      </c>
      <c r="M111" s="133" t="str">
        <f>+'ex BH PW'!U135</f>
        <v>7993201-008</v>
      </c>
      <c r="N111" s="133" t="str">
        <f>+'ex BH PW'!V135</f>
        <v>7993201-003</v>
      </c>
      <c r="O111" s="133">
        <f>+'ex BH PW'!W135</f>
        <v>0</v>
      </c>
      <c r="P111" s="133">
        <f>+'ex BH PW'!X135</f>
        <v>0</v>
      </c>
      <c r="Q111" s="133" t="str">
        <f>+'ex BH PW'!Y135</f>
        <v>7993201-005</v>
      </c>
      <c r="R111" s="133" t="str">
        <f>+'ex BH PW'!Z135</f>
        <v>7993201-006</v>
      </c>
      <c r="S111" s="133">
        <f>+'ex BH PW'!AA135</f>
        <v>0</v>
      </c>
      <c r="T111" s="133">
        <f>+'ex BH PW'!AB135</f>
        <v>0</v>
      </c>
      <c r="U111" s="133">
        <f>+'ex BH PW'!AC135</f>
        <v>0</v>
      </c>
      <c r="V111" s="133">
        <f>+'ex BH PW'!AD135</f>
        <v>0</v>
      </c>
      <c r="W111" s="133">
        <f>+'ex BH PW'!AE135</f>
        <v>0</v>
      </c>
      <c r="X111" s="133">
        <f>+'ex BH PW'!AF135</f>
        <v>0</v>
      </c>
      <c r="Y111" s="133">
        <f>+'ex BH PW'!AG135</f>
        <v>0</v>
      </c>
      <c r="Z111" s="133">
        <f>+'ex BH PW'!AH135</f>
        <v>0</v>
      </c>
    </row>
    <row r="112" spans="1:26" x14ac:dyDescent="0.25">
      <c r="A112" s="132" t="str">
        <f>+'ex BH PW'!H136</f>
        <v>INVERS GmbH AAB</v>
      </c>
      <c r="B112" s="133">
        <f>+'ex BH PW'!J136</f>
        <v>9900133692</v>
      </c>
      <c r="C112" s="133">
        <f>+'ex BH PW'!I136</f>
        <v>0</v>
      </c>
      <c r="D112" s="133">
        <f>+'ex BH PW'!K136</f>
        <v>0</v>
      </c>
      <c r="E112" s="133">
        <f>+'ex BH PW'!L136</f>
        <v>0</v>
      </c>
      <c r="F112" s="133">
        <f>+'ex BH PW'!M136</f>
        <v>0</v>
      </c>
      <c r="G112" s="133">
        <f>+'ex BH PW'!N136</f>
        <v>0</v>
      </c>
      <c r="H112" s="133">
        <f>+'ex BH PW'!P136</f>
        <v>0</v>
      </c>
      <c r="I112" s="133">
        <f>+'ex BH PW'!Q136</f>
        <v>0</v>
      </c>
      <c r="J112" s="133">
        <f>+'ex BH PW'!R136</f>
        <v>0</v>
      </c>
      <c r="K112" s="133">
        <f>+'ex BH PW'!S136</f>
        <v>0</v>
      </c>
      <c r="L112" s="133">
        <f>+'ex BH PW'!T136</f>
        <v>0</v>
      </c>
      <c r="M112" s="133">
        <f>+'ex BH PW'!U136</f>
        <v>0</v>
      </c>
      <c r="N112" s="133">
        <f>+'ex BH PW'!V136</f>
        <v>0</v>
      </c>
      <c r="O112" s="133">
        <f>+'ex BH PW'!W136</f>
        <v>0</v>
      </c>
      <c r="P112" s="133">
        <f>+'ex BH PW'!X136</f>
        <v>0</v>
      </c>
      <c r="Q112" s="133">
        <f>+'ex BH PW'!Y136</f>
        <v>0</v>
      </c>
      <c r="R112" s="133">
        <f>+'ex BH PW'!Z136</f>
        <v>0</v>
      </c>
      <c r="S112" s="133">
        <f>+'ex BH PW'!AA136</f>
        <v>0</v>
      </c>
      <c r="T112" s="133">
        <f>+'ex BH PW'!AB136</f>
        <v>0</v>
      </c>
      <c r="U112" s="133">
        <f>+'ex BH PW'!AC136</f>
        <v>0</v>
      </c>
      <c r="V112" s="133">
        <f>+'ex BH PW'!AD136</f>
        <v>0</v>
      </c>
      <c r="W112" s="133">
        <f>+'ex BH PW'!AE136</f>
        <v>0</v>
      </c>
      <c r="X112" s="133">
        <f>+'ex BH PW'!AF136</f>
        <v>0</v>
      </c>
      <c r="Y112" s="133">
        <f>+'ex BH PW'!AG136</f>
        <v>0</v>
      </c>
      <c r="Z112" s="133">
        <f>+'ex BH PW'!AH136</f>
        <v>0</v>
      </c>
    </row>
    <row r="113" spans="1:26" x14ac:dyDescent="0.25">
      <c r="A113" s="132" t="str">
        <f>+'ex BH PW'!H137</f>
        <v>INVERS GmbH Ebase</v>
      </c>
      <c r="B113" s="133" t="str">
        <f>+'ex BH PW'!J137</f>
        <v>3733-7993201</v>
      </c>
      <c r="C113" s="133">
        <f>+'ex BH PW'!I137</f>
        <v>0</v>
      </c>
      <c r="D113" s="133">
        <f>+'ex BH PW'!K137</f>
        <v>0</v>
      </c>
      <c r="E113" s="133">
        <f>+'ex BH PW'!L137</f>
        <v>0</v>
      </c>
      <c r="F113" s="133">
        <f>+'ex BH PW'!M137</f>
        <v>0</v>
      </c>
      <c r="G113" s="133">
        <f>+'ex BH PW'!N137</f>
        <v>0</v>
      </c>
      <c r="H113" s="133">
        <f>+'ex BH PW'!P137</f>
        <v>0</v>
      </c>
      <c r="I113" s="133">
        <f>+'ex BH PW'!Q137</f>
        <v>0</v>
      </c>
      <c r="J113" s="133">
        <f>+'ex BH PW'!R137</f>
        <v>0</v>
      </c>
      <c r="K113" s="133">
        <f>+'ex BH PW'!S137</f>
        <v>0</v>
      </c>
      <c r="L113" s="133">
        <f>+'ex BH PW'!T137</f>
        <v>0</v>
      </c>
      <c r="M113" s="133">
        <f>+'ex BH PW'!U137</f>
        <v>0</v>
      </c>
      <c r="N113" s="133">
        <f>+'ex BH PW'!V137</f>
        <v>0</v>
      </c>
      <c r="O113" s="133">
        <f>+'ex BH PW'!W137</f>
        <v>0</v>
      </c>
      <c r="P113" s="133">
        <f>+'ex BH PW'!X137</f>
        <v>0</v>
      </c>
      <c r="Q113" s="133">
        <f>+'ex BH PW'!Y137</f>
        <v>0</v>
      </c>
      <c r="R113" s="133">
        <f>+'ex BH PW'!Z137</f>
        <v>0</v>
      </c>
      <c r="S113" s="133">
        <f>+'ex BH PW'!AA137</f>
        <v>0</v>
      </c>
      <c r="T113" s="133">
        <f>+'ex BH PW'!AB137</f>
        <v>0</v>
      </c>
      <c r="U113" s="133">
        <f>+'ex BH PW'!AC137</f>
        <v>0</v>
      </c>
      <c r="V113" s="133">
        <f>+'ex BH PW'!AD137</f>
        <v>0</v>
      </c>
      <c r="W113" s="133">
        <f>+'ex BH PW'!AE137</f>
        <v>0</v>
      </c>
      <c r="X113" s="133">
        <f>+'ex BH PW'!AF137</f>
        <v>0</v>
      </c>
      <c r="Y113" s="133">
        <f>+'ex BH PW'!AG137</f>
        <v>0</v>
      </c>
      <c r="Z113" s="133">
        <f>+'ex BH PW'!AH137</f>
        <v>0</v>
      </c>
    </row>
    <row r="114" spans="1:26" x14ac:dyDescent="0.25">
      <c r="A114" s="132" t="str">
        <f>+'ex BH PW'!H138</f>
        <v>Itzehoer</v>
      </c>
      <c r="B114" s="133">
        <f>+'ex BH PW'!J138</f>
        <v>6776</v>
      </c>
      <c r="C114" s="133" t="str">
        <f>+'ex BH PW'!I138</f>
        <v>6776</v>
      </c>
      <c r="D114" s="133">
        <f>+'ex BH PW'!K138</f>
        <v>0</v>
      </c>
      <c r="E114" s="133">
        <f>+'ex BH PW'!L138</f>
        <v>0</v>
      </c>
      <c r="F114" s="133">
        <f>+'ex BH PW'!M138</f>
        <v>0</v>
      </c>
      <c r="G114" s="133">
        <f>+'ex BH PW'!N138</f>
        <v>0</v>
      </c>
      <c r="H114" s="133">
        <f>+'ex BH PW'!P138</f>
        <v>0</v>
      </c>
      <c r="I114" s="133">
        <f>+'ex BH PW'!Q138</f>
        <v>0</v>
      </c>
      <c r="J114" s="133">
        <f>+'ex BH PW'!R138</f>
        <v>0</v>
      </c>
      <c r="K114" s="133">
        <f>+'ex BH PW'!S138</f>
        <v>0</v>
      </c>
      <c r="L114" s="133">
        <f>+'ex BH PW'!T138</f>
        <v>0</v>
      </c>
      <c r="M114" s="133">
        <f>+'ex BH PW'!U138</f>
        <v>0</v>
      </c>
      <c r="N114" s="133">
        <f>+'ex BH PW'!V138</f>
        <v>0</v>
      </c>
      <c r="O114" s="133">
        <f>+'ex BH PW'!W138</f>
        <v>0</v>
      </c>
      <c r="P114" s="133">
        <f>+'ex BH PW'!X138</f>
        <v>0</v>
      </c>
      <c r="Q114" s="133">
        <f>+'ex BH PW'!Y138</f>
        <v>0</v>
      </c>
      <c r="R114" s="133">
        <f>+'ex BH PW'!Z138</f>
        <v>0</v>
      </c>
      <c r="S114" s="133">
        <f>+'ex BH PW'!AA138</f>
        <v>0</v>
      </c>
      <c r="T114" s="133">
        <f>+'ex BH PW'!AB138</f>
        <v>0</v>
      </c>
      <c r="U114" s="133">
        <f>+'ex BH PW'!AC138</f>
        <v>0</v>
      </c>
      <c r="V114" s="133">
        <f>+'ex BH PW'!AD138</f>
        <v>0</v>
      </c>
      <c r="W114" s="133">
        <f>+'ex BH PW'!AE138</f>
        <v>0</v>
      </c>
      <c r="X114" s="133">
        <f>+'ex BH PW'!AF138</f>
        <v>0</v>
      </c>
      <c r="Y114" s="133">
        <f>+'ex BH PW'!AG138</f>
        <v>0</v>
      </c>
      <c r="Z114" s="133">
        <f>+'ex BH PW'!AH138</f>
        <v>0</v>
      </c>
    </row>
    <row r="115" spans="1:26" x14ac:dyDescent="0.25">
      <c r="A115" s="132" t="str">
        <f>+'ex BH PW'!H139</f>
        <v>Itzehoer/Degenia</v>
      </c>
      <c r="B115" s="133" t="str">
        <f>+'ex BH PW'!J139</f>
        <v>9483</v>
      </c>
      <c r="C115" s="133">
        <f>+'ex BH PW'!I139</f>
        <v>0</v>
      </c>
      <c r="D115" s="133">
        <f>+'ex BH PW'!K139</f>
        <v>0</v>
      </c>
      <c r="E115" s="133">
        <f>+'ex BH PW'!L139</f>
        <v>0</v>
      </c>
      <c r="F115" s="133">
        <f>+'ex BH PW'!M139</f>
        <v>0</v>
      </c>
      <c r="G115" s="133">
        <f>+'ex BH PW'!N139</f>
        <v>0</v>
      </c>
      <c r="H115" s="133">
        <f>+'ex BH PW'!P139</f>
        <v>0</v>
      </c>
      <c r="I115" s="133">
        <f>+'ex BH PW'!Q139</f>
        <v>0</v>
      </c>
      <c r="J115" s="133">
        <f>+'ex BH PW'!R139</f>
        <v>0</v>
      </c>
      <c r="K115" s="133">
        <f>+'ex BH PW'!S139</f>
        <v>0</v>
      </c>
      <c r="L115" s="133">
        <f>+'ex BH PW'!T139</f>
        <v>0</v>
      </c>
      <c r="M115" s="133">
        <f>+'ex BH PW'!U139</f>
        <v>0</v>
      </c>
      <c r="N115" s="133">
        <f>+'ex BH PW'!V139</f>
        <v>0</v>
      </c>
      <c r="O115" s="133">
        <f>+'ex BH PW'!W139</f>
        <v>0</v>
      </c>
      <c r="P115" s="133">
        <f>+'ex BH PW'!X139</f>
        <v>0</v>
      </c>
      <c r="Q115" s="133">
        <f>+'ex BH PW'!Y139</f>
        <v>0</v>
      </c>
      <c r="R115" s="133">
        <f>+'ex BH PW'!Z139</f>
        <v>0</v>
      </c>
      <c r="S115" s="133">
        <f>+'ex BH PW'!AA139</f>
        <v>0</v>
      </c>
      <c r="T115" s="133">
        <f>+'ex BH PW'!AB139</f>
        <v>0</v>
      </c>
      <c r="U115" s="133">
        <f>+'ex BH PW'!AC139</f>
        <v>0</v>
      </c>
      <c r="V115" s="133">
        <f>+'ex BH PW'!AD139</f>
        <v>0</v>
      </c>
      <c r="W115" s="133">
        <f>+'ex BH PW'!AE139</f>
        <v>0</v>
      </c>
      <c r="X115" s="133">
        <f>+'ex BH PW'!AF139</f>
        <v>0</v>
      </c>
      <c r="Y115" s="133">
        <f>+'ex BH PW'!AG139</f>
        <v>0</v>
      </c>
      <c r="Z115" s="133">
        <f>+'ex BH PW'!AH139</f>
        <v>0</v>
      </c>
    </row>
    <row r="116" spans="1:26" x14ac:dyDescent="0.25">
      <c r="A116" s="132" t="str">
        <f>+'ex BH PW'!H141</f>
        <v>Janitos (über VEMA)</v>
      </c>
      <c r="B116" s="133" t="str">
        <f>+'ex BH PW'!J141</f>
        <v>9293 2202</v>
      </c>
      <c r="C116" s="133" t="str">
        <f>+'ex BH PW'!I141</f>
        <v>9293 2202</v>
      </c>
      <c r="D116" s="133">
        <f>+'ex BH PW'!K141</f>
        <v>0</v>
      </c>
      <c r="E116" s="133" t="str">
        <f>+'ex BH PW'!L141</f>
        <v>62951242</v>
      </c>
      <c r="F116" s="133">
        <f>+'ex BH PW'!M141</f>
        <v>0</v>
      </c>
      <c r="G116" s="133">
        <f>+'ex BH PW'!N141</f>
        <v>0</v>
      </c>
      <c r="H116" s="133">
        <f>+'ex BH PW'!P141</f>
        <v>0</v>
      </c>
      <c r="I116" s="133">
        <f>+'ex BH PW'!Q141</f>
        <v>0</v>
      </c>
      <c r="J116" s="133">
        <f>+'ex BH PW'!R141</f>
        <v>0</v>
      </c>
      <c r="K116" s="133">
        <f>+'ex BH PW'!S141</f>
        <v>0</v>
      </c>
      <c r="L116" s="133">
        <f>+'ex BH PW'!T141</f>
        <v>0</v>
      </c>
      <c r="M116" s="133">
        <f>+'ex BH PW'!U141</f>
        <v>0</v>
      </c>
      <c r="N116" s="133">
        <f>+'ex BH PW'!V141</f>
        <v>0</v>
      </c>
      <c r="O116" s="133">
        <f>+'ex BH PW'!W141</f>
        <v>0</v>
      </c>
      <c r="P116" s="133">
        <f>+'ex BH PW'!X141</f>
        <v>0</v>
      </c>
      <c r="Q116" s="133">
        <f>+'ex BH PW'!Y141</f>
        <v>0</v>
      </c>
      <c r="R116" s="133">
        <f>+'ex BH PW'!Z141</f>
        <v>0</v>
      </c>
      <c r="S116" s="133">
        <f>+'ex BH PW'!AA141</f>
        <v>0</v>
      </c>
      <c r="T116" s="133">
        <f>+'ex BH PW'!AB141</f>
        <v>0</v>
      </c>
      <c r="U116" s="133">
        <f>+'ex BH PW'!AC141</f>
        <v>0</v>
      </c>
      <c r="V116" s="133">
        <f>+'ex BH PW'!AD141</f>
        <v>0</v>
      </c>
      <c r="W116" s="133">
        <f>+'ex BH PW'!AE141</f>
        <v>0</v>
      </c>
      <c r="X116" s="133">
        <f>+'ex BH PW'!AF141</f>
        <v>0</v>
      </c>
      <c r="Y116" s="133">
        <f>+'ex BH PW'!AG141</f>
        <v>0</v>
      </c>
      <c r="Z116" s="133">
        <f>+'ex BH PW'!AH141</f>
        <v>0</v>
      </c>
    </row>
    <row r="117" spans="1:26" x14ac:dyDescent="0.25">
      <c r="A117" s="132" t="str">
        <f>+'ex BH PW'!H142</f>
        <v>Jung DMS</v>
      </c>
      <c r="B117" s="133" t="str">
        <f>+'ex BH PW'!J142</f>
        <v>16283</v>
      </c>
      <c r="C117" s="133">
        <f>+'ex BH PW'!I142</f>
        <v>0</v>
      </c>
      <c r="D117" s="133">
        <f>+'ex BH PW'!K142</f>
        <v>0</v>
      </c>
      <c r="E117" s="133">
        <f>+'ex BH PW'!L142</f>
        <v>0</v>
      </c>
      <c r="F117" s="133">
        <f>+'ex BH PW'!M142</f>
        <v>0</v>
      </c>
      <c r="G117" s="133">
        <f>+'ex BH PW'!N142</f>
        <v>0</v>
      </c>
      <c r="H117" s="133" t="str">
        <f>+'ex BH PW'!P142</f>
        <v>16286</v>
      </c>
      <c r="I117" s="133">
        <f>+'ex BH PW'!Q142</f>
        <v>0</v>
      </c>
      <c r="J117" s="133">
        <f>+'ex BH PW'!R142</f>
        <v>0</v>
      </c>
      <c r="K117" s="133" t="str">
        <f>+'ex BH PW'!S142</f>
        <v>16284</v>
      </c>
      <c r="L117" s="133">
        <f>+'ex BH PW'!T142</f>
        <v>0</v>
      </c>
      <c r="M117" s="133">
        <f>+'ex BH PW'!U142</f>
        <v>0</v>
      </c>
      <c r="N117" s="133">
        <f>+'ex BH PW'!V142</f>
        <v>0</v>
      </c>
      <c r="O117" s="133">
        <f>+'ex BH PW'!W142</f>
        <v>0</v>
      </c>
      <c r="P117" s="133">
        <f>+'ex BH PW'!X142</f>
        <v>0</v>
      </c>
      <c r="Q117" s="133">
        <f>+'ex BH PW'!Y142</f>
        <v>0</v>
      </c>
      <c r="R117" s="133">
        <f>+'ex BH PW'!Z142</f>
        <v>0</v>
      </c>
      <c r="S117" s="133">
        <f>+'ex BH PW'!AA142</f>
        <v>0</v>
      </c>
      <c r="T117" s="133">
        <f>+'ex BH PW'!AB142</f>
        <v>0</v>
      </c>
      <c r="U117" s="133">
        <f>+'ex BH PW'!AC142</f>
        <v>0</v>
      </c>
      <c r="V117" s="133">
        <f>+'ex BH PW'!AD142</f>
        <v>0</v>
      </c>
      <c r="W117" s="133">
        <f>+'ex BH PW'!AE142</f>
        <v>0</v>
      </c>
      <c r="X117" s="133">
        <f>+'ex BH PW'!AF142</f>
        <v>0</v>
      </c>
      <c r="Y117" s="133">
        <f>+'ex BH PW'!AG142</f>
        <v>0</v>
      </c>
      <c r="Z117" s="133">
        <f>+'ex BH PW'!AH142</f>
        <v>0</v>
      </c>
    </row>
    <row r="118" spans="1:26" x14ac:dyDescent="0.25">
      <c r="A118" s="132" t="str">
        <f>+'ex BH PW'!H143</f>
        <v>Jung DMS</v>
      </c>
      <c r="B118" s="133">
        <f>+'ex BH PW'!J143</f>
        <v>0</v>
      </c>
      <c r="C118" s="133">
        <f>+'ex BH PW'!I143</f>
        <v>0</v>
      </c>
      <c r="D118" s="133">
        <f>+'ex BH PW'!K143</f>
        <v>0</v>
      </c>
      <c r="E118" s="133">
        <f>+'ex BH PW'!L143</f>
        <v>0</v>
      </c>
      <c r="F118" s="133">
        <f>+'ex BH PW'!M143</f>
        <v>0</v>
      </c>
      <c r="G118" s="133">
        <f>+'ex BH PW'!N143</f>
        <v>0</v>
      </c>
      <c r="H118" s="133">
        <f>+'ex BH PW'!P143</f>
        <v>0</v>
      </c>
      <c r="I118" s="133">
        <f>+'ex BH PW'!Q143</f>
        <v>0</v>
      </c>
      <c r="J118" s="133">
        <f>+'ex BH PW'!R143</f>
        <v>0</v>
      </c>
      <c r="K118" s="133" t="str">
        <f>+'ex BH PW'!S143</f>
        <v>4080</v>
      </c>
      <c r="L118" s="133">
        <f>+'ex BH PW'!T143</f>
        <v>0</v>
      </c>
      <c r="M118" s="133">
        <f>+'ex BH PW'!U143</f>
        <v>0</v>
      </c>
      <c r="N118" s="133">
        <f>+'ex BH PW'!V143</f>
        <v>0</v>
      </c>
      <c r="O118" s="133">
        <f>+'ex BH PW'!W143</f>
        <v>0</v>
      </c>
      <c r="P118" s="133">
        <f>+'ex BH PW'!X143</f>
        <v>0</v>
      </c>
      <c r="Q118" s="133">
        <f>+'ex BH PW'!Y143</f>
        <v>0</v>
      </c>
      <c r="R118" s="133">
        <f>+'ex BH PW'!Z143</f>
        <v>0</v>
      </c>
      <c r="S118" s="133">
        <f>+'ex BH PW'!AA143</f>
        <v>0</v>
      </c>
      <c r="T118" s="133">
        <f>+'ex BH PW'!AB143</f>
        <v>0</v>
      </c>
      <c r="U118" s="133">
        <f>+'ex BH PW'!AC143</f>
        <v>0</v>
      </c>
      <c r="V118" s="133">
        <f>+'ex BH PW'!AD143</f>
        <v>0</v>
      </c>
      <c r="W118" s="133">
        <f>+'ex BH PW'!AE143</f>
        <v>0</v>
      </c>
      <c r="X118" s="133">
        <f>+'ex BH PW'!AF143</f>
        <v>0</v>
      </c>
      <c r="Y118" s="133">
        <f>+'ex BH PW'!AG143</f>
        <v>0</v>
      </c>
      <c r="Z118" s="133">
        <f>+'ex BH PW'!AH143</f>
        <v>0</v>
      </c>
    </row>
    <row r="119" spans="1:26" x14ac:dyDescent="0.25">
      <c r="A119" s="132" t="str">
        <f>+'ex BH PW'!H144</f>
        <v>Jung DMS</v>
      </c>
      <c r="B119" s="133">
        <f>+'ex BH PW'!J144</f>
        <v>0</v>
      </c>
      <c r="C119" s="133">
        <f>+'ex BH PW'!I144</f>
        <v>0</v>
      </c>
      <c r="D119" s="133">
        <f>+'ex BH PW'!K144</f>
        <v>0</v>
      </c>
      <c r="E119" s="133">
        <f>+'ex BH PW'!L144</f>
        <v>0</v>
      </c>
      <c r="F119" s="133">
        <f>+'ex BH PW'!M144</f>
        <v>0</v>
      </c>
      <c r="G119" s="133">
        <f>+'ex BH PW'!N144</f>
        <v>0</v>
      </c>
      <c r="H119" s="133">
        <f>+'ex BH PW'!P144</f>
        <v>11642</v>
      </c>
      <c r="I119" s="133">
        <f>+'ex BH PW'!Q144</f>
        <v>0</v>
      </c>
      <c r="J119" s="133">
        <f>+'ex BH PW'!R144</f>
        <v>0</v>
      </c>
      <c r="K119" s="133">
        <f>+'ex BH PW'!S144</f>
        <v>0</v>
      </c>
      <c r="L119" s="133">
        <f>+'ex BH PW'!T144</f>
        <v>0</v>
      </c>
      <c r="M119" s="133">
        <f>+'ex BH PW'!U144</f>
        <v>0</v>
      </c>
      <c r="N119" s="133">
        <f>+'ex BH PW'!V144</f>
        <v>0</v>
      </c>
      <c r="O119" s="133">
        <f>+'ex BH PW'!W144</f>
        <v>0</v>
      </c>
      <c r="P119" s="133">
        <f>+'ex BH PW'!X144</f>
        <v>0</v>
      </c>
      <c r="Q119" s="133">
        <f>+'ex BH PW'!Y144</f>
        <v>0</v>
      </c>
      <c r="R119" s="133">
        <f>+'ex BH PW'!Z144</f>
        <v>0</v>
      </c>
      <c r="S119" s="133">
        <f>+'ex BH PW'!AA144</f>
        <v>0</v>
      </c>
      <c r="T119" s="133">
        <f>+'ex BH PW'!AB144</f>
        <v>0</v>
      </c>
      <c r="U119" s="133">
        <f>+'ex BH PW'!AC144</f>
        <v>0</v>
      </c>
      <c r="V119" s="133">
        <f>+'ex BH PW'!AD144</f>
        <v>0</v>
      </c>
      <c r="W119" s="133">
        <f>+'ex BH PW'!AE144</f>
        <v>0</v>
      </c>
      <c r="X119" s="133">
        <f>+'ex BH PW'!AF144</f>
        <v>0</v>
      </c>
      <c r="Y119" s="133">
        <f>+'ex BH PW'!AG144</f>
        <v>0</v>
      </c>
      <c r="Z119" s="133">
        <f>+'ex BH PW'!AH144</f>
        <v>0</v>
      </c>
    </row>
    <row r="120" spans="1:26" x14ac:dyDescent="0.25">
      <c r="A120" s="132" t="str">
        <f>+'ex BH PW'!H145</f>
        <v>Jung DMS</v>
      </c>
      <c r="B120" s="133">
        <f>+'ex BH PW'!J145</f>
        <v>0</v>
      </c>
      <c r="C120" s="133">
        <f>+'ex BH PW'!I145</f>
        <v>0</v>
      </c>
      <c r="D120" s="133">
        <f>+'ex BH PW'!K145</f>
        <v>0</v>
      </c>
      <c r="E120" s="133">
        <f>+'ex BH PW'!L145</f>
        <v>0</v>
      </c>
      <c r="F120" s="133">
        <f>+'ex BH PW'!M145</f>
        <v>0</v>
      </c>
      <c r="G120" s="133">
        <f>+'ex BH PW'!N145</f>
        <v>0</v>
      </c>
      <c r="H120" s="133">
        <f>+'ex BH PW'!P145</f>
        <v>0</v>
      </c>
      <c r="I120" s="133">
        <f>+'ex BH PW'!Q145</f>
        <v>0</v>
      </c>
      <c r="J120" s="133">
        <f>+'ex BH PW'!R145</f>
        <v>0</v>
      </c>
      <c r="K120" s="133">
        <f>+'ex BH PW'!S145</f>
        <v>16284</v>
      </c>
      <c r="L120" s="133">
        <f>+'ex BH PW'!T145</f>
        <v>0</v>
      </c>
      <c r="M120" s="133">
        <f>+'ex BH PW'!U145</f>
        <v>0</v>
      </c>
      <c r="N120" s="133">
        <f>+'ex BH PW'!V145</f>
        <v>0</v>
      </c>
      <c r="O120" s="133">
        <f>+'ex BH PW'!W145</f>
        <v>0</v>
      </c>
      <c r="P120" s="133">
        <f>+'ex BH PW'!X145</f>
        <v>0</v>
      </c>
      <c r="Q120" s="133">
        <f>+'ex BH PW'!Y145</f>
        <v>0</v>
      </c>
      <c r="R120" s="133">
        <f>+'ex BH PW'!Z145</f>
        <v>0</v>
      </c>
      <c r="S120" s="133">
        <f>+'ex BH PW'!AA145</f>
        <v>0</v>
      </c>
      <c r="T120" s="133">
        <f>+'ex BH PW'!AB145</f>
        <v>0</v>
      </c>
      <c r="U120" s="133">
        <f>+'ex BH PW'!AC145</f>
        <v>0</v>
      </c>
      <c r="V120" s="133">
        <f>+'ex BH PW'!AD145</f>
        <v>0</v>
      </c>
      <c r="W120" s="133">
        <f>+'ex BH PW'!AE145</f>
        <v>0</v>
      </c>
      <c r="X120" s="133">
        <f>+'ex BH PW'!AF145</f>
        <v>0</v>
      </c>
      <c r="Y120" s="133">
        <f>+'ex BH PW'!AG145</f>
        <v>0</v>
      </c>
      <c r="Z120" s="133">
        <f>+'ex BH PW'!AH145</f>
        <v>0</v>
      </c>
    </row>
    <row r="121" spans="1:26" x14ac:dyDescent="0.25">
      <c r="A121" s="132" t="str">
        <f>+'ex BH PW'!H146</f>
        <v>Jung DMS</v>
      </c>
      <c r="B121" s="133">
        <f>+'ex BH PW'!J146</f>
        <v>0</v>
      </c>
      <c r="C121" s="133">
        <f>+'ex BH PW'!I146</f>
        <v>0</v>
      </c>
      <c r="D121" s="133">
        <f>+'ex BH PW'!K146</f>
        <v>0</v>
      </c>
      <c r="E121" s="133">
        <f>+'ex BH PW'!L146</f>
        <v>0</v>
      </c>
      <c r="F121" s="133">
        <f>+'ex BH PW'!M146</f>
        <v>0</v>
      </c>
      <c r="G121" s="133">
        <f>+'ex BH PW'!N146</f>
        <v>0</v>
      </c>
      <c r="H121" s="133">
        <f>+'ex BH PW'!P146</f>
        <v>16286</v>
      </c>
      <c r="I121" s="133">
        <f>+'ex BH PW'!Q146</f>
        <v>0</v>
      </c>
      <c r="J121" s="133">
        <f>+'ex BH PW'!R146</f>
        <v>0</v>
      </c>
      <c r="K121" s="133">
        <f>+'ex BH PW'!S146</f>
        <v>0</v>
      </c>
      <c r="L121" s="133">
        <f>+'ex BH PW'!T146</f>
        <v>0</v>
      </c>
      <c r="M121" s="133">
        <f>+'ex BH PW'!U146</f>
        <v>0</v>
      </c>
      <c r="N121" s="133">
        <f>+'ex BH PW'!V146</f>
        <v>0</v>
      </c>
      <c r="O121" s="133">
        <f>+'ex BH PW'!W146</f>
        <v>0</v>
      </c>
      <c r="P121" s="133">
        <f>+'ex BH PW'!X146</f>
        <v>0</v>
      </c>
      <c r="Q121" s="133">
        <f>+'ex BH PW'!Y146</f>
        <v>0</v>
      </c>
      <c r="R121" s="133">
        <f>+'ex BH PW'!Z146</f>
        <v>0</v>
      </c>
      <c r="S121" s="133">
        <f>+'ex BH PW'!AA146</f>
        <v>0</v>
      </c>
      <c r="T121" s="133">
        <f>+'ex BH PW'!AB146</f>
        <v>0</v>
      </c>
      <c r="U121" s="133">
        <f>+'ex BH PW'!AC146</f>
        <v>0</v>
      </c>
      <c r="V121" s="133">
        <f>+'ex BH PW'!AD146</f>
        <v>0</v>
      </c>
      <c r="W121" s="133">
        <f>+'ex BH PW'!AE146</f>
        <v>0</v>
      </c>
      <c r="X121" s="133">
        <f>+'ex BH PW'!AF146</f>
        <v>0</v>
      </c>
      <c r="Y121" s="133">
        <f>+'ex BH PW'!AG146</f>
        <v>0</v>
      </c>
      <c r="Z121" s="133">
        <f>+'ex BH PW'!AH146</f>
        <v>0</v>
      </c>
    </row>
    <row r="122" spans="1:26" x14ac:dyDescent="0.25">
      <c r="A122" s="132" t="str">
        <f>+'ex BH PW'!H150</f>
        <v>Kassensuche GmbH</v>
      </c>
      <c r="B122" s="133" t="str">
        <f>+'ex BH PW'!J150</f>
        <v>2356</v>
      </c>
      <c r="C122" s="133">
        <f>+'ex BH PW'!I150</f>
        <v>0</v>
      </c>
      <c r="D122" s="133">
        <f>+'ex BH PW'!K150</f>
        <v>0</v>
      </c>
      <c r="E122" s="133">
        <f>+'ex BH PW'!L150</f>
        <v>0</v>
      </c>
      <c r="F122" s="133">
        <f>+'ex BH PW'!M150</f>
        <v>0</v>
      </c>
      <c r="G122" s="133">
        <f>+'ex BH PW'!N150</f>
        <v>0</v>
      </c>
      <c r="H122" s="133">
        <f>+'ex BH PW'!P150</f>
        <v>0</v>
      </c>
      <c r="I122" s="133">
        <f>+'ex BH PW'!Q150</f>
        <v>0</v>
      </c>
      <c r="J122" s="133">
        <f>+'ex BH PW'!R150</f>
        <v>0</v>
      </c>
      <c r="K122" s="133">
        <f>+'ex BH PW'!S150</f>
        <v>0</v>
      </c>
      <c r="L122" s="133">
        <f>+'ex BH PW'!T150</f>
        <v>0</v>
      </c>
      <c r="M122" s="133">
        <f>+'ex BH PW'!U150</f>
        <v>0</v>
      </c>
      <c r="N122" s="133">
        <f>+'ex BH PW'!V150</f>
        <v>0</v>
      </c>
      <c r="O122" s="133">
        <f>+'ex BH PW'!W150</f>
        <v>0</v>
      </c>
      <c r="P122" s="133">
        <f>+'ex BH PW'!X150</f>
        <v>0</v>
      </c>
      <c r="Q122" s="133">
        <f>+'ex BH PW'!Y150</f>
        <v>0</v>
      </c>
      <c r="R122" s="133">
        <f>+'ex BH PW'!Z150</f>
        <v>0</v>
      </c>
      <c r="S122" s="133">
        <f>+'ex BH PW'!AA150</f>
        <v>0</v>
      </c>
      <c r="T122" s="133">
        <f>+'ex BH PW'!AB150</f>
        <v>0</v>
      </c>
      <c r="U122" s="133">
        <f>+'ex BH PW'!AC150</f>
        <v>0</v>
      </c>
      <c r="V122" s="133">
        <f>+'ex BH PW'!AD150</f>
        <v>0</v>
      </c>
      <c r="W122" s="133">
        <f>+'ex BH PW'!AE150</f>
        <v>0</v>
      </c>
      <c r="X122" s="133">
        <f>+'ex BH PW'!AF150</f>
        <v>0</v>
      </c>
      <c r="Y122" s="133">
        <f>+'ex BH PW'!AG150</f>
        <v>0</v>
      </c>
      <c r="Z122" s="133">
        <f>+'ex BH PW'!AH150</f>
        <v>0</v>
      </c>
    </row>
    <row r="123" spans="1:26" x14ac:dyDescent="0.25">
      <c r="A123" s="132" t="str">
        <f>+'ex BH PW'!H151</f>
        <v>K&amp;M Konzept und Marketing</v>
      </c>
      <c r="B123" s="133">
        <f>+'ex BH PW'!J151</f>
        <v>0</v>
      </c>
      <c r="C123" s="133" t="str">
        <f>+'ex BH PW'!I151</f>
        <v>27776</v>
      </c>
      <c r="D123" s="133">
        <f>+'ex BH PW'!K151</f>
        <v>0</v>
      </c>
      <c r="E123" s="133">
        <f>+'ex BH PW'!L151</f>
        <v>0</v>
      </c>
      <c r="F123" s="133">
        <f>+'ex BH PW'!M151</f>
        <v>0</v>
      </c>
      <c r="G123" s="133">
        <f>+'ex BH PW'!N151</f>
        <v>0</v>
      </c>
      <c r="H123" s="133">
        <f>+'ex BH PW'!P151</f>
        <v>0</v>
      </c>
      <c r="I123" s="133">
        <f>+'ex BH PW'!Q151</f>
        <v>0</v>
      </c>
      <c r="J123" s="133">
        <f>+'ex BH PW'!R151</f>
        <v>0</v>
      </c>
      <c r="K123" s="133">
        <f>+'ex BH PW'!S151</f>
        <v>0</v>
      </c>
      <c r="L123" s="133">
        <f>+'ex BH PW'!T151</f>
        <v>0</v>
      </c>
      <c r="M123" s="133">
        <f>+'ex BH PW'!U151</f>
        <v>0</v>
      </c>
      <c r="N123" s="133">
        <f>+'ex BH PW'!V151</f>
        <v>0</v>
      </c>
      <c r="O123" s="133">
        <f>+'ex BH PW'!W151</f>
        <v>0</v>
      </c>
      <c r="P123" s="133">
        <f>+'ex BH PW'!X151</f>
        <v>0</v>
      </c>
      <c r="Q123" s="133">
        <f>+'ex BH PW'!Y151</f>
        <v>0</v>
      </c>
      <c r="R123" s="133">
        <f>+'ex BH PW'!Z151</f>
        <v>0</v>
      </c>
      <c r="S123" s="133">
        <f>+'ex BH PW'!AA151</f>
        <v>0</v>
      </c>
      <c r="T123" s="133">
        <f>+'ex BH PW'!AB151</f>
        <v>0</v>
      </c>
      <c r="U123" s="133">
        <f>+'ex BH PW'!AC151</f>
        <v>0</v>
      </c>
      <c r="V123" s="133">
        <f>+'ex BH PW'!AD151</f>
        <v>0</v>
      </c>
      <c r="W123" s="133">
        <f>+'ex BH PW'!AE151</f>
        <v>0</v>
      </c>
      <c r="X123" s="133">
        <f>+'ex BH PW'!AF151</f>
        <v>0</v>
      </c>
      <c r="Y123" s="133">
        <f>+'ex BH PW'!AG151</f>
        <v>0</v>
      </c>
      <c r="Z123" s="133">
        <f>+'ex BH PW'!AH151</f>
        <v>0</v>
      </c>
    </row>
    <row r="124" spans="1:26" x14ac:dyDescent="0.25">
      <c r="A124" s="132" t="e">
        <f>+[1]passwörter_agenturen!#REF!</f>
        <v>#REF!</v>
      </c>
      <c r="B124" s="133" t="e">
        <f>+[1]passwörter_agenturen!#REF!</f>
        <v>#REF!</v>
      </c>
      <c r="C124" s="133" t="e">
        <f>+[1]passwörter_agenturen!#REF!</f>
        <v>#REF!</v>
      </c>
      <c r="D124" s="133" t="e">
        <f>+[1]passwörter_agenturen!#REF!</f>
        <v>#REF!</v>
      </c>
      <c r="E124" s="133" t="e">
        <f>+[1]passwörter_agenturen!#REF!</f>
        <v>#REF!</v>
      </c>
      <c r="F124" s="133" t="e">
        <f>+[1]passwörter_agenturen!#REF!</f>
        <v>#REF!</v>
      </c>
      <c r="G124" s="133" t="e">
        <f>+[1]passwörter_agenturen!#REF!</f>
        <v>#REF!</v>
      </c>
      <c r="H124" s="133" t="e">
        <f>+[1]passwörter_agenturen!#REF!</f>
        <v>#REF!</v>
      </c>
      <c r="I124" s="133" t="e">
        <f>+[1]passwörter_agenturen!#REF!</f>
        <v>#REF!</v>
      </c>
      <c r="J124" s="133" t="e">
        <f>+[1]passwörter_agenturen!#REF!</f>
        <v>#REF!</v>
      </c>
      <c r="K124" s="133" t="e">
        <f>+[1]passwörter_agenturen!#REF!</f>
        <v>#REF!</v>
      </c>
      <c r="L124" s="133" t="e">
        <f>+[1]passwörter_agenturen!#REF!</f>
        <v>#REF!</v>
      </c>
      <c r="M124" s="133" t="e">
        <f>+[1]passwörter_agenturen!#REF!</f>
        <v>#REF!</v>
      </c>
      <c r="N124" s="133" t="e">
        <f>+[1]passwörter_agenturen!#REF!</f>
        <v>#REF!</v>
      </c>
      <c r="O124" s="133" t="e">
        <f>+[1]passwörter_agenturen!#REF!</f>
        <v>#REF!</v>
      </c>
      <c r="P124" s="133" t="e">
        <f>+[1]passwörter_agenturen!#REF!</f>
        <v>#REF!</v>
      </c>
      <c r="Q124" s="133" t="e">
        <f>+[1]passwörter_agenturen!#REF!</f>
        <v>#REF!</v>
      </c>
      <c r="R124" s="133" t="e">
        <f>+[1]passwörter_agenturen!#REF!</f>
        <v>#REF!</v>
      </c>
      <c r="S124" s="133" t="e">
        <f>+[1]passwörter_agenturen!#REF!</f>
        <v>#REF!</v>
      </c>
      <c r="T124" s="133" t="e">
        <f>+[1]passwörter_agenturen!#REF!</f>
        <v>#REF!</v>
      </c>
      <c r="U124" s="133" t="e">
        <f>+[1]passwörter_agenturen!#REF!</f>
        <v>#REF!</v>
      </c>
      <c r="V124" s="133" t="e">
        <f>+[1]passwörter_agenturen!#REF!</f>
        <v>#REF!</v>
      </c>
      <c r="W124" s="133" t="e">
        <f>+[1]passwörter_agenturen!#REF!</f>
        <v>#REF!</v>
      </c>
      <c r="X124" s="133" t="e">
        <f>+[1]passwörter_agenturen!#REF!</f>
        <v>#REF!</v>
      </c>
      <c r="Y124" s="133" t="e">
        <f>+[1]passwörter_agenturen!#REF!</f>
        <v>#REF!</v>
      </c>
      <c r="Z124" s="133" t="e">
        <f>+[1]passwörter_agenturen!#REF!</f>
        <v>#REF!</v>
      </c>
    </row>
    <row r="125" spans="1:26" x14ac:dyDescent="0.25">
      <c r="A125" s="132" t="str">
        <f>+'ex BH PW'!H152</f>
        <v>Kravag</v>
      </c>
      <c r="B125" s="133" t="str">
        <f>+'ex BH PW'!J152</f>
        <v xml:space="preserve">770/771072 </v>
      </c>
      <c r="C125" s="133" t="str">
        <f>+'ex BH PW'!I152</f>
        <v>261580</v>
      </c>
      <c r="D125" s="133">
        <f>+'ex BH PW'!K152</f>
        <v>0</v>
      </c>
      <c r="E125" s="133">
        <f>+'ex BH PW'!L152</f>
        <v>0</v>
      </c>
      <c r="F125" s="133">
        <f>+'ex BH PW'!M152</f>
        <v>0</v>
      </c>
      <c r="G125" s="133">
        <f>+'ex BH PW'!N152</f>
        <v>0</v>
      </c>
      <c r="H125" s="133">
        <f>+'ex BH PW'!P152</f>
        <v>0</v>
      </c>
      <c r="I125" s="133">
        <f>+'ex BH PW'!Q152</f>
        <v>0</v>
      </c>
      <c r="J125" s="133">
        <f>+'ex BH PW'!R152</f>
        <v>0</v>
      </c>
      <c r="K125" s="133">
        <f>+'ex BH PW'!S152</f>
        <v>0</v>
      </c>
      <c r="L125" s="133">
        <f>+'ex BH PW'!T152</f>
        <v>0</v>
      </c>
      <c r="M125" s="133" t="str">
        <f>+'ex BH PW'!U152</f>
        <v>784680</v>
      </c>
      <c r="N125" s="133">
        <f>+'ex BH PW'!V152</f>
        <v>0</v>
      </c>
      <c r="O125" s="133">
        <f>+'ex BH PW'!W152</f>
        <v>0</v>
      </c>
      <c r="P125" s="133">
        <f>+'ex BH PW'!X152</f>
        <v>0</v>
      </c>
      <c r="Q125" s="133" t="str">
        <f>+'ex BH PW'!Y152</f>
        <v>786274</v>
      </c>
      <c r="R125" s="133" t="str">
        <f>+'ex BH PW'!Z152</f>
        <v>786958</v>
      </c>
      <c r="S125" s="133" t="str">
        <f>+'ex BH PW'!AA152</f>
        <v>787396</v>
      </c>
      <c r="T125" s="133">
        <f>+'ex BH PW'!AB152</f>
        <v>0</v>
      </c>
      <c r="U125" s="133" t="str">
        <f>+'ex BH PW'!AC152</f>
        <v>785784</v>
      </c>
      <c r="V125" s="133">
        <f>+'ex BH PW'!AD152</f>
        <v>0</v>
      </c>
      <c r="W125" s="133">
        <f>+'ex BH PW'!AE152</f>
        <v>0</v>
      </c>
      <c r="X125" s="133">
        <f>+'ex BH PW'!AF152</f>
        <v>0</v>
      </c>
      <c r="Y125" s="133">
        <f>+'ex BH PW'!AG152</f>
        <v>0</v>
      </c>
      <c r="Z125" s="133">
        <f>+'ex BH PW'!AH152</f>
        <v>0</v>
      </c>
    </row>
    <row r="126" spans="1:26" x14ac:dyDescent="0.25">
      <c r="A126" s="132" t="str">
        <f>+'ex BH PW'!H153</f>
        <v>Kravag (Autohaus Hüther)</v>
      </c>
      <c r="B126" s="133">
        <f>+'ex BH PW'!J153</f>
        <v>0</v>
      </c>
      <c r="C126" s="133">
        <f>+'ex BH PW'!I153</f>
        <v>0</v>
      </c>
      <c r="D126" s="133">
        <f>+'ex BH PW'!K153</f>
        <v>0</v>
      </c>
      <c r="E126" s="133">
        <f>+'ex BH PW'!L153</f>
        <v>0</v>
      </c>
      <c r="F126" s="133">
        <f>+'ex BH PW'!M153</f>
        <v>0</v>
      </c>
      <c r="G126" s="133">
        <f>+'ex BH PW'!N153</f>
        <v>0</v>
      </c>
      <c r="H126" s="133">
        <f>+'ex BH PW'!P153</f>
        <v>0</v>
      </c>
      <c r="I126" s="133">
        <f>+'ex BH PW'!Q153</f>
        <v>0</v>
      </c>
      <c r="J126" s="133">
        <f>+'ex BH PW'!R153</f>
        <v>0</v>
      </c>
      <c r="K126" s="133">
        <f>+'ex BH PW'!S153</f>
        <v>0</v>
      </c>
      <c r="L126" s="133">
        <f>+'ex BH PW'!T153</f>
        <v>0</v>
      </c>
      <c r="M126" s="133">
        <f>+'ex BH PW'!U153</f>
        <v>0</v>
      </c>
      <c r="N126" s="133">
        <f>+'ex BH PW'!V153</f>
        <v>0</v>
      </c>
      <c r="O126" s="133">
        <f>+'ex BH PW'!W153</f>
        <v>0</v>
      </c>
      <c r="P126" s="133">
        <f>+'ex BH PW'!X153</f>
        <v>0</v>
      </c>
      <c r="Q126" s="133">
        <f>+'ex BH PW'!Y153</f>
        <v>0</v>
      </c>
      <c r="R126" s="133">
        <f>+'ex BH PW'!Z153</f>
        <v>0</v>
      </c>
      <c r="S126" s="133">
        <f>+'ex BH PW'!AA153</f>
        <v>0</v>
      </c>
      <c r="T126" s="133">
        <f>+'ex BH PW'!AB153</f>
        <v>0</v>
      </c>
      <c r="U126" s="133">
        <f>+'ex BH PW'!AC153</f>
        <v>0</v>
      </c>
      <c r="V126" s="133">
        <f>+'ex BH PW'!AD153</f>
        <v>0</v>
      </c>
      <c r="W126" s="133">
        <f>+'ex BH PW'!AE153</f>
        <v>0</v>
      </c>
      <c r="X126" s="133">
        <f>+'ex BH PW'!AF153</f>
        <v>0</v>
      </c>
      <c r="Y126" s="133" t="str">
        <f>+'ex BH PW'!AG153</f>
        <v>055347</v>
      </c>
      <c r="Z126" s="133">
        <f>+'ex BH PW'!AH153</f>
        <v>0</v>
      </c>
    </row>
    <row r="127" spans="1:26" x14ac:dyDescent="0.25">
      <c r="A127" s="132" t="str">
        <f>+'ex BH PW'!H154</f>
        <v>Kravag MMV (Wohnwagen)</v>
      </c>
      <c r="B127" s="133" t="str">
        <f>+'ex BH PW'!J154</f>
        <v>802881</v>
      </c>
      <c r="C127" s="133">
        <f>+'ex BH PW'!I154</f>
        <v>0</v>
      </c>
      <c r="D127" s="133">
        <f>+'ex BH PW'!K154</f>
        <v>0</v>
      </c>
      <c r="E127" s="133">
        <f>+'ex BH PW'!L154</f>
        <v>0</v>
      </c>
      <c r="F127" s="133">
        <f>+'ex BH PW'!M154</f>
        <v>0</v>
      </c>
      <c r="G127" s="133">
        <f>+'ex BH PW'!N154</f>
        <v>0</v>
      </c>
      <c r="H127" s="133">
        <f>+'ex BH PW'!P154</f>
        <v>0</v>
      </c>
      <c r="I127" s="133">
        <f>+'ex BH PW'!Q154</f>
        <v>0</v>
      </c>
      <c r="J127" s="133">
        <f>+'ex BH PW'!R154</f>
        <v>0</v>
      </c>
      <c r="K127" s="133">
        <f>+'ex BH PW'!S154</f>
        <v>0</v>
      </c>
      <c r="L127" s="133">
        <f>+'ex BH PW'!T154</f>
        <v>0</v>
      </c>
      <c r="M127" s="133">
        <f>+'ex BH PW'!U154</f>
        <v>0</v>
      </c>
      <c r="N127" s="133">
        <f>+'ex BH PW'!V154</f>
        <v>0</v>
      </c>
      <c r="O127" s="133">
        <f>+'ex BH PW'!W154</f>
        <v>0</v>
      </c>
      <c r="P127" s="133">
        <f>+'ex BH PW'!X154</f>
        <v>0</v>
      </c>
      <c r="Q127" s="133">
        <f>+'ex BH PW'!Y154</f>
        <v>0</v>
      </c>
      <c r="R127" s="133">
        <f>+'ex BH PW'!Z154</f>
        <v>0</v>
      </c>
      <c r="S127" s="133">
        <f>+'ex BH PW'!AA154</f>
        <v>0</v>
      </c>
      <c r="T127" s="133">
        <f>+'ex BH PW'!AB154</f>
        <v>0</v>
      </c>
      <c r="U127" s="133">
        <f>+'ex BH PW'!AC154</f>
        <v>0</v>
      </c>
      <c r="V127" s="133">
        <f>+'ex BH PW'!AD154</f>
        <v>0</v>
      </c>
      <c r="W127" s="133">
        <f>+'ex BH PW'!AE154</f>
        <v>0</v>
      </c>
      <c r="X127" s="133">
        <f>+'ex BH PW'!AF154</f>
        <v>0</v>
      </c>
      <c r="Y127" s="133">
        <f>+'ex BH PW'!AG154</f>
        <v>0</v>
      </c>
      <c r="Z127" s="133">
        <f>+'ex BH PW'!AH154</f>
        <v>0</v>
      </c>
    </row>
    <row r="128" spans="1:26" x14ac:dyDescent="0.25">
      <c r="A128" s="132" t="str">
        <f>+'ex BH PW'!H156</f>
        <v>Maklerexperten (PKV-Optimierung)</v>
      </c>
      <c r="B128" s="133" t="str">
        <f>+'ex BH PW'!J156</f>
        <v>120369</v>
      </c>
      <c r="C128" s="133">
        <f>+'ex BH PW'!I156</f>
        <v>0</v>
      </c>
      <c r="D128" s="133">
        <f>+'ex BH PW'!K156</f>
        <v>0</v>
      </c>
      <c r="E128" s="133">
        <f>+'ex BH PW'!L156</f>
        <v>0</v>
      </c>
      <c r="F128" s="133">
        <f>+'ex BH PW'!M156</f>
        <v>0</v>
      </c>
      <c r="G128" s="133">
        <f>+'ex BH PW'!N156</f>
        <v>0</v>
      </c>
      <c r="H128" s="133">
        <f>+'ex BH PW'!P156</f>
        <v>0</v>
      </c>
      <c r="I128" s="133">
        <f>+'ex BH PW'!Q156</f>
        <v>0</v>
      </c>
      <c r="J128" s="133">
        <f>+'ex BH PW'!R156</f>
        <v>0</v>
      </c>
      <c r="K128" s="133">
        <f>+'ex BH PW'!S156</f>
        <v>0</v>
      </c>
      <c r="L128" s="133">
        <f>+'ex BH PW'!T156</f>
        <v>0</v>
      </c>
      <c r="M128" s="133">
        <f>+'ex BH PW'!U156</f>
        <v>0</v>
      </c>
      <c r="N128" s="133">
        <f>+'ex BH PW'!V156</f>
        <v>0</v>
      </c>
      <c r="O128" s="133">
        <f>+'ex BH PW'!W156</f>
        <v>0</v>
      </c>
      <c r="P128" s="133">
        <f>+'ex BH PW'!X156</f>
        <v>0</v>
      </c>
      <c r="Q128" s="133">
        <f>+'ex BH PW'!Y156</f>
        <v>0</v>
      </c>
      <c r="R128" s="133">
        <f>+'ex BH PW'!Z156</f>
        <v>0</v>
      </c>
      <c r="S128" s="133">
        <f>+'ex BH PW'!AA156</f>
        <v>0</v>
      </c>
      <c r="T128" s="133">
        <f>+'ex BH PW'!AB156</f>
        <v>0</v>
      </c>
      <c r="U128" s="133">
        <f>+'ex BH PW'!AC156</f>
        <v>0</v>
      </c>
      <c r="V128" s="133">
        <f>+'ex BH PW'!AD156</f>
        <v>0</v>
      </c>
      <c r="W128" s="133">
        <f>+'ex BH PW'!AE156</f>
        <v>0</v>
      </c>
      <c r="X128" s="133">
        <f>+'ex BH PW'!AF156</f>
        <v>0</v>
      </c>
      <c r="Y128" s="133">
        <f>+'ex BH PW'!AG156</f>
        <v>0</v>
      </c>
      <c r="Z128" s="133">
        <f>+'ex BH PW'!AH156</f>
        <v>0</v>
      </c>
    </row>
    <row r="129" spans="1:26" x14ac:dyDescent="0.25">
      <c r="A129" s="132" t="str">
        <f>+'ex BH PW'!H157</f>
        <v>Maklermanagement AG</v>
      </c>
      <c r="B129" s="133" t="str">
        <f>+'ex BH PW'!J157</f>
        <v>8710929</v>
      </c>
      <c r="C129" s="133">
        <f>+'ex BH PW'!I157</f>
        <v>0</v>
      </c>
      <c r="D129" s="133">
        <f>+'ex BH PW'!K157</f>
        <v>0</v>
      </c>
      <c r="E129" s="133">
        <f>+'ex BH PW'!L157</f>
        <v>0</v>
      </c>
      <c r="F129" s="133">
        <f>+'ex BH PW'!M157</f>
        <v>0</v>
      </c>
      <c r="G129" s="133">
        <f>+'ex BH PW'!N157</f>
        <v>0</v>
      </c>
      <c r="H129" s="133">
        <f>+'ex BH PW'!P157</f>
        <v>0</v>
      </c>
      <c r="I129" s="133">
        <f>+'ex BH PW'!Q157</f>
        <v>0</v>
      </c>
      <c r="J129" s="133">
        <f>+'ex BH PW'!R157</f>
        <v>0</v>
      </c>
      <c r="K129" s="133">
        <f>+'ex BH PW'!S157</f>
        <v>0</v>
      </c>
      <c r="L129" s="133">
        <f>+'ex BH PW'!T157</f>
        <v>0</v>
      </c>
      <c r="M129" s="133">
        <f>+'ex BH PW'!U157</f>
        <v>0</v>
      </c>
      <c r="N129" s="133">
        <f>+'ex BH PW'!V157</f>
        <v>0</v>
      </c>
      <c r="O129" s="133">
        <f>+'ex BH PW'!W157</f>
        <v>0</v>
      </c>
      <c r="P129" s="133">
        <f>+'ex BH PW'!X157</f>
        <v>0</v>
      </c>
      <c r="Q129" s="133">
        <f>+'ex BH PW'!Y157</f>
        <v>0</v>
      </c>
      <c r="R129" s="133">
        <f>+'ex BH PW'!Z157</f>
        <v>0</v>
      </c>
      <c r="S129" s="133">
        <f>+'ex BH PW'!AA157</f>
        <v>0</v>
      </c>
      <c r="T129" s="133">
        <f>+'ex BH PW'!AB157</f>
        <v>0</v>
      </c>
      <c r="U129" s="133">
        <f>+'ex BH PW'!AC157</f>
        <v>0</v>
      </c>
      <c r="V129" s="133">
        <f>+'ex BH PW'!AD157</f>
        <v>0</v>
      </c>
      <c r="W129" s="133">
        <f>+'ex BH PW'!AE157</f>
        <v>0</v>
      </c>
      <c r="X129" s="133">
        <f>+'ex BH PW'!AF157</f>
        <v>0</v>
      </c>
      <c r="Y129" s="133">
        <f>+'ex BH PW'!AG157</f>
        <v>0</v>
      </c>
      <c r="Z129" s="133">
        <f>+'ex BH PW'!AH157</f>
        <v>0</v>
      </c>
    </row>
    <row r="130" spans="1:26" x14ac:dyDescent="0.25">
      <c r="A130" s="132" t="str">
        <f>+'ex BH PW'!H158</f>
        <v>Maklersoftware.com / Myfin24</v>
      </c>
      <c r="B130" s="133">
        <f>+'ex BH PW'!J158</f>
        <v>0</v>
      </c>
      <c r="C130" s="133">
        <f>+'ex BH PW'!I158</f>
        <v>0</v>
      </c>
      <c r="D130" s="133">
        <f>+'ex BH PW'!K158</f>
        <v>0</v>
      </c>
      <c r="E130" s="133">
        <f>+'ex BH PW'!L158</f>
        <v>0</v>
      </c>
      <c r="F130" s="133">
        <f>+'ex BH PW'!M158</f>
        <v>0</v>
      </c>
      <c r="G130" s="133">
        <f>+'ex BH PW'!N158</f>
        <v>0</v>
      </c>
      <c r="H130" s="133">
        <f>+'ex BH PW'!P158</f>
        <v>0</v>
      </c>
      <c r="I130" s="133">
        <f>+'ex BH PW'!Q158</f>
        <v>0</v>
      </c>
      <c r="J130" s="133">
        <f>+'ex BH PW'!R158</f>
        <v>0</v>
      </c>
      <c r="K130" s="133">
        <f>+'ex BH PW'!S158</f>
        <v>0</v>
      </c>
      <c r="L130" s="133">
        <f>+'ex BH PW'!T158</f>
        <v>0</v>
      </c>
      <c r="M130" s="133">
        <f>+'ex BH PW'!U158</f>
        <v>0</v>
      </c>
      <c r="N130" s="133">
        <f>+'ex BH PW'!V158</f>
        <v>0</v>
      </c>
      <c r="O130" s="133">
        <f>+'ex BH PW'!W158</f>
        <v>0</v>
      </c>
      <c r="P130" s="133">
        <f>+'ex BH PW'!X158</f>
        <v>0</v>
      </c>
      <c r="Q130" s="133">
        <f>+'ex BH PW'!Y158</f>
        <v>0</v>
      </c>
      <c r="R130" s="133">
        <f>+'ex BH PW'!Z158</f>
        <v>0</v>
      </c>
      <c r="S130" s="133">
        <f>+'ex BH PW'!AA158</f>
        <v>0</v>
      </c>
      <c r="T130" s="133">
        <f>+'ex BH PW'!AB158</f>
        <v>0</v>
      </c>
      <c r="U130" s="133">
        <f>+'ex BH PW'!AC158</f>
        <v>0</v>
      </c>
      <c r="V130" s="133">
        <f>+'ex BH PW'!AD158</f>
        <v>0</v>
      </c>
      <c r="W130" s="133">
        <f>+'ex BH PW'!AE158</f>
        <v>0</v>
      </c>
      <c r="X130" s="133">
        <f>+'ex BH PW'!AF158</f>
        <v>0</v>
      </c>
      <c r="Y130" s="133">
        <f>+'ex BH PW'!AG158</f>
        <v>0</v>
      </c>
      <c r="Z130" s="133">
        <f>+'ex BH PW'!AH158</f>
        <v>0</v>
      </c>
    </row>
    <row r="131" spans="1:26" x14ac:dyDescent="0.25">
      <c r="A131" s="132" t="str">
        <f>+'ex BH PW'!H159</f>
        <v>Mannheimer Kranken</v>
      </c>
      <c r="B131" s="133" t="str">
        <f>+'ex BH PW'!J159</f>
        <v>522/66982</v>
      </c>
      <c r="C131" s="133" t="str">
        <f>+'ex BH PW'!I159</f>
        <v>66982</v>
      </c>
      <c r="D131" s="133">
        <f>+'ex BH PW'!K159</f>
        <v>0</v>
      </c>
      <c r="E131" s="133">
        <f>+'ex BH PW'!L159</f>
        <v>0</v>
      </c>
      <c r="F131" s="133">
        <f>+'ex BH PW'!M159</f>
        <v>0</v>
      </c>
      <c r="G131" s="133">
        <f>+'ex BH PW'!N159</f>
        <v>0</v>
      </c>
      <c r="H131" s="133">
        <f>+'ex BH PW'!P159</f>
        <v>0</v>
      </c>
      <c r="I131" s="133">
        <f>+'ex BH PW'!Q159</f>
        <v>0</v>
      </c>
      <c r="J131" s="133">
        <f>+'ex BH PW'!R159</f>
        <v>0</v>
      </c>
      <c r="K131" s="133">
        <f>+'ex BH PW'!S159</f>
        <v>0</v>
      </c>
      <c r="L131" s="133">
        <f>+'ex BH PW'!T159</f>
        <v>0</v>
      </c>
      <c r="M131" s="133">
        <f>+'ex BH PW'!U159</f>
        <v>0</v>
      </c>
      <c r="N131" s="133">
        <f>+'ex BH PW'!V159</f>
        <v>0</v>
      </c>
      <c r="O131" s="133">
        <f>+'ex BH PW'!W159</f>
        <v>0</v>
      </c>
      <c r="P131" s="133">
        <f>+'ex BH PW'!X159</f>
        <v>0</v>
      </c>
      <c r="Q131" s="133">
        <f>+'ex BH PW'!Y159</f>
        <v>0</v>
      </c>
      <c r="R131" s="133">
        <f>+'ex BH PW'!Z159</f>
        <v>0</v>
      </c>
      <c r="S131" s="133">
        <f>+'ex BH PW'!AA159</f>
        <v>0</v>
      </c>
      <c r="T131" s="133">
        <f>+'ex BH PW'!AB159</f>
        <v>0</v>
      </c>
      <c r="U131" s="133">
        <f>+'ex BH PW'!AC159</f>
        <v>0</v>
      </c>
      <c r="V131" s="133">
        <f>+'ex BH PW'!AD159</f>
        <v>0</v>
      </c>
      <c r="W131" s="133">
        <f>+'ex BH PW'!AE159</f>
        <v>0</v>
      </c>
      <c r="X131" s="133">
        <f>+'ex BH PW'!AF159</f>
        <v>0</v>
      </c>
      <c r="Y131" s="133">
        <f>+'ex BH PW'!AG159</f>
        <v>0</v>
      </c>
      <c r="Z131" s="133">
        <f>+'ex BH PW'!AH159</f>
        <v>0</v>
      </c>
    </row>
    <row r="132" spans="1:26" x14ac:dyDescent="0.25">
      <c r="A132" s="132" t="str">
        <f>+'ex BH PW'!H160</f>
        <v>Mannheimer Sach</v>
      </c>
      <c r="B132" s="133" t="str">
        <f>+'ex BH PW'!J160</f>
        <v>522/60720</v>
      </c>
      <c r="C132" s="133" t="str">
        <f>+'ex BH PW'!I160</f>
        <v>60720</v>
      </c>
      <c r="D132" s="133">
        <f>+'ex BH PW'!K160</f>
        <v>0</v>
      </c>
      <c r="E132" s="133" t="str">
        <f>+'ex BH PW'!L160</f>
        <v>522/88877</v>
      </c>
      <c r="F132" s="133">
        <f>+'ex BH PW'!M160</f>
        <v>0</v>
      </c>
      <c r="G132" s="133">
        <f>+'ex BH PW'!N160</f>
        <v>0</v>
      </c>
      <c r="H132" s="133">
        <f>+'ex BH PW'!P160</f>
        <v>0</v>
      </c>
      <c r="I132" s="133">
        <f>+'ex BH PW'!Q160</f>
        <v>0</v>
      </c>
      <c r="J132" s="133">
        <f>+'ex BH PW'!R160</f>
        <v>0</v>
      </c>
      <c r="K132" s="133">
        <f>+'ex BH PW'!S160</f>
        <v>0</v>
      </c>
      <c r="L132" s="133">
        <f>+'ex BH PW'!T160</f>
        <v>0</v>
      </c>
      <c r="M132" s="133">
        <f>+'ex BH PW'!U160</f>
        <v>0</v>
      </c>
      <c r="N132" s="133">
        <f>+'ex BH PW'!V160</f>
        <v>0</v>
      </c>
      <c r="O132" s="133">
        <f>+'ex BH PW'!W160</f>
        <v>0</v>
      </c>
      <c r="P132" s="133">
        <f>+'ex BH PW'!X160</f>
        <v>0</v>
      </c>
      <c r="Q132" s="133">
        <f>+'ex BH PW'!Y160</f>
        <v>0</v>
      </c>
      <c r="R132" s="133">
        <f>+'ex BH PW'!Z160</f>
        <v>0</v>
      </c>
      <c r="S132" s="133">
        <f>+'ex BH PW'!AA160</f>
        <v>0</v>
      </c>
      <c r="T132" s="133">
        <f>+'ex BH PW'!AB160</f>
        <v>0</v>
      </c>
      <c r="U132" s="133">
        <f>+'ex BH PW'!AC160</f>
        <v>0</v>
      </c>
      <c r="V132" s="133">
        <f>+'ex BH PW'!AD160</f>
        <v>0</v>
      </c>
      <c r="W132" s="133">
        <f>+'ex BH PW'!AE160</f>
        <v>0</v>
      </c>
      <c r="X132" s="133">
        <f>+'ex BH PW'!AF160</f>
        <v>0</v>
      </c>
      <c r="Y132" s="133">
        <f>+'ex BH PW'!AG160</f>
        <v>0</v>
      </c>
      <c r="Z132" s="133">
        <f>+'ex BH PW'!AH160</f>
        <v>0</v>
      </c>
    </row>
    <row r="133" spans="1:26" x14ac:dyDescent="0.25">
      <c r="A133" s="132" t="str">
        <f>+'ex BH PW'!H161</f>
        <v>Markel</v>
      </c>
      <c r="B133" s="133" t="str">
        <f>+'ex BH PW'!J161</f>
        <v>52527138</v>
      </c>
      <c r="C133" s="133" t="str">
        <f>+'ex BH PW'!I161</f>
        <v>52527138</v>
      </c>
      <c r="D133" s="133">
        <f>+'ex BH PW'!K161</f>
        <v>0</v>
      </c>
      <c r="E133" s="133">
        <f>+'ex BH PW'!L161</f>
        <v>0</v>
      </c>
      <c r="F133" s="133">
        <f>+'ex BH PW'!M161</f>
        <v>0</v>
      </c>
      <c r="G133" s="133">
        <f>+'ex BH PW'!N161</f>
        <v>0</v>
      </c>
      <c r="H133" s="133">
        <f>+'ex BH PW'!P161</f>
        <v>0</v>
      </c>
      <c r="I133" s="133">
        <f>+'ex BH PW'!Q161</f>
        <v>0</v>
      </c>
      <c r="J133" s="133">
        <f>+'ex BH PW'!R161</f>
        <v>0</v>
      </c>
      <c r="K133" s="133">
        <f>+'ex BH PW'!S161</f>
        <v>0</v>
      </c>
      <c r="L133" s="133">
        <f>+'ex BH PW'!T161</f>
        <v>0</v>
      </c>
      <c r="M133" s="133">
        <f>+'ex BH PW'!U161</f>
        <v>0</v>
      </c>
      <c r="N133" s="133">
        <f>+'ex BH PW'!V161</f>
        <v>0</v>
      </c>
      <c r="O133" s="133">
        <f>+'ex BH PW'!W161</f>
        <v>0</v>
      </c>
      <c r="P133" s="133">
        <f>+'ex BH PW'!X161</f>
        <v>0</v>
      </c>
      <c r="Q133" s="133">
        <f>+'ex BH PW'!Y161</f>
        <v>0</v>
      </c>
      <c r="R133" s="133">
        <f>+'ex BH PW'!Z161</f>
        <v>0</v>
      </c>
      <c r="S133" s="133">
        <f>+'ex BH PW'!AA161</f>
        <v>0</v>
      </c>
      <c r="T133" s="133">
        <f>+'ex BH PW'!AB161</f>
        <v>0</v>
      </c>
      <c r="U133" s="133">
        <f>+'ex BH PW'!AC161</f>
        <v>0</v>
      </c>
      <c r="V133" s="133">
        <f>+'ex BH PW'!AD161</f>
        <v>0</v>
      </c>
      <c r="W133" s="133">
        <f>+'ex BH PW'!AE161</f>
        <v>0</v>
      </c>
      <c r="X133" s="133">
        <f>+'ex BH PW'!AF161</f>
        <v>0</v>
      </c>
      <c r="Y133" s="133">
        <f>+'ex BH PW'!AG161</f>
        <v>0</v>
      </c>
      <c r="Z133" s="133">
        <f>+'ex BH PW'!AH161</f>
        <v>0</v>
      </c>
    </row>
    <row r="134" spans="1:26" x14ac:dyDescent="0.25">
      <c r="A134" s="132" t="str">
        <f>+'ex BH PW'!H162</f>
        <v>MAS</v>
      </c>
      <c r="B134" s="133" t="str">
        <f>+'ex BH PW'!J162</f>
        <v>692</v>
      </c>
      <c r="C134" s="133">
        <f>+'ex BH PW'!I162</f>
        <v>0</v>
      </c>
      <c r="D134" s="133">
        <f>+'ex BH PW'!K162</f>
        <v>0</v>
      </c>
      <c r="E134" s="133">
        <f>+'ex BH PW'!L162</f>
        <v>0</v>
      </c>
      <c r="F134" s="133">
        <f>+'ex BH PW'!M162</f>
        <v>0</v>
      </c>
      <c r="G134" s="133">
        <f>+'ex BH PW'!N162</f>
        <v>0</v>
      </c>
      <c r="H134" s="133">
        <f>+'ex BH PW'!P162</f>
        <v>0</v>
      </c>
      <c r="I134" s="133">
        <f>+'ex BH PW'!Q162</f>
        <v>0</v>
      </c>
      <c r="J134" s="133">
        <f>+'ex BH PW'!R162</f>
        <v>0</v>
      </c>
      <c r="K134" s="133">
        <f>+'ex BH PW'!S162</f>
        <v>0</v>
      </c>
      <c r="L134" s="133">
        <f>+'ex BH PW'!T162</f>
        <v>0</v>
      </c>
      <c r="M134" s="133">
        <f>+'ex BH PW'!U162</f>
        <v>0</v>
      </c>
      <c r="N134" s="133">
        <f>+'ex BH PW'!V162</f>
        <v>0</v>
      </c>
      <c r="O134" s="133">
        <f>+'ex BH PW'!W162</f>
        <v>0</v>
      </c>
      <c r="P134" s="133">
        <f>+'ex BH PW'!X162</f>
        <v>0</v>
      </c>
      <c r="Q134" s="133">
        <f>+'ex BH PW'!Y162</f>
        <v>0</v>
      </c>
      <c r="R134" s="133">
        <f>+'ex BH PW'!Z162</f>
        <v>0</v>
      </c>
      <c r="S134" s="133">
        <f>+'ex BH PW'!AA162</f>
        <v>0</v>
      </c>
      <c r="T134" s="133">
        <f>+'ex BH PW'!AB162</f>
        <v>0</v>
      </c>
      <c r="U134" s="133">
        <f>+'ex BH PW'!AC162</f>
        <v>0</v>
      </c>
      <c r="V134" s="133">
        <f>+'ex BH PW'!AD162</f>
        <v>0</v>
      </c>
      <c r="W134" s="133">
        <f>+'ex BH PW'!AE162</f>
        <v>0</v>
      </c>
      <c r="X134" s="133">
        <f>+'ex BH PW'!AF162</f>
        <v>0</v>
      </c>
      <c r="Y134" s="133">
        <f>+'ex BH PW'!AG162</f>
        <v>0</v>
      </c>
      <c r="Z134" s="133">
        <f>+'ex BH PW'!AH162</f>
        <v>0</v>
      </c>
    </row>
    <row r="135" spans="1:26" x14ac:dyDescent="0.25">
      <c r="A135" s="132" t="str">
        <f>+'ex BH PW'!H163</f>
        <v>MAS für Volkswohl-Bund</v>
      </c>
      <c r="B135" s="133" t="str">
        <f>+'ex BH PW'!J163</f>
        <v>046/477</v>
      </c>
      <c r="C135" s="133">
        <f>+'ex BH PW'!I163</f>
        <v>0</v>
      </c>
      <c r="D135" s="133">
        <f>+'ex BH PW'!K163</f>
        <v>0</v>
      </c>
      <c r="E135" s="133">
        <f>+'ex BH PW'!L163</f>
        <v>0</v>
      </c>
      <c r="F135" s="133">
        <f>+'ex BH PW'!M163</f>
        <v>0</v>
      </c>
      <c r="G135" s="133">
        <f>+'ex BH PW'!N163</f>
        <v>0</v>
      </c>
      <c r="H135" s="133">
        <f>+'ex BH PW'!P163</f>
        <v>0</v>
      </c>
      <c r="I135" s="133">
        <f>+'ex BH PW'!Q163</f>
        <v>0</v>
      </c>
      <c r="J135" s="133">
        <f>+'ex BH PW'!R163</f>
        <v>0</v>
      </c>
      <c r="K135" s="133">
        <f>+'ex BH PW'!S163</f>
        <v>0</v>
      </c>
      <c r="L135" s="133">
        <f>+'ex BH PW'!T163</f>
        <v>0</v>
      </c>
      <c r="M135" s="133">
        <f>+'ex BH PW'!U163</f>
        <v>0</v>
      </c>
      <c r="N135" s="133">
        <f>+'ex BH PW'!V163</f>
        <v>0</v>
      </c>
      <c r="O135" s="133">
        <f>+'ex BH PW'!W163</f>
        <v>0</v>
      </c>
      <c r="P135" s="133">
        <f>+'ex BH PW'!X163</f>
        <v>0</v>
      </c>
      <c r="Q135" s="133">
        <f>+'ex BH PW'!Y163</f>
        <v>0</v>
      </c>
      <c r="R135" s="133">
        <f>+'ex BH PW'!Z163</f>
        <v>0</v>
      </c>
      <c r="S135" s="133">
        <f>+'ex BH PW'!AA163</f>
        <v>0</v>
      </c>
      <c r="T135" s="133">
        <f>+'ex BH PW'!AB163</f>
        <v>0</v>
      </c>
      <c r="U135" s="133">
        <f>+'ex BH PW'!AC163</f>
        <v>0</v>
      </c>
      <c r="V135" s="133">
        <f>+'ex BH PW'!AD163</f>
        <v>0</v>
      </c>
      <c r="W135" s="133">
        <f>+'ex BH PW'!AE163</f>
        <v>0</v>
      </c>
      <c r="X135" s="133">
        <f>+'ex BH PW'!AF163</f>
        <v>0</v>
      </c>
      <c r="Y135" s="133">
        <f>+'ex BH PW'!AG163</f>
        <v>0</v>
      </c>
      <c r="Z135" s="133">
        <f>+'ex BH PW'!AH163</f>
        <v>0</v>
      </c>
    </row>
    <row r="136" spans="1:26" x14ac:dyDescent="0.25">
      <c r="A136" s="132" t="str">
        <f>+'ex BH PW'!H164</f>
        <v xml:space="preserve">Maxpool </v>
      </c>
      <c r="B136" s="133" t="str">
        <f>+'ex BH PW'!J164</f>
        <v>000-4057</v>
      </c>
      <c r="C136" s="133">
        <f>+'ex BH PW'!I164</f>
        <v>0</v>
      </c>
      <c r="D136" s="133">
        <f>+'ex BH PW'!K164</f>
        <v>0</v>
      </c>
      <c r="E136" s="133">
        <f>+'ex BH PW'!L164</f>
        <v>0</v>
      </c>
      <c r="F136" s="133">
        <f>+'ex BH PW'!M164</f>
        <v>0</v>
      </c>
      <c r="G136" s="133">
        <f>+'ex BH PW'!N164</f>
        <v>0</v>
      </c>
      <c r="H136" s="133">
        <f>+'ex BH PW'!P164</f>
        <v>0</v>
      </c>
      <c r="I136" s="133">
        <f>+'ex BH PW'!Q164</f>
        <v>0</v>
      </c>
      <c r="J136" s="133">
        <f>+'ex BH PW'!R164</f>
        <v>0</v>
      </c>
      <c r="K136" s="133">
        <f>+'ex BH PW'!S164</f>
        <v>0</v>
      </c>
      <c r="L136" s="133">
        <f>+'ex BH PW'!T164</f>
        <v>0</v>
      </c>
      <c r="M136" s="133">
        <f>+'ex BH PW'!U164</f>
        <v>0</v>
      </c>
      <c r="N136" s="133">
        <f>+'ex BH PW'!V164</f>
        <v>0</v>
      </c>
      <c r="O136" s="133">
        <f>+'ex BH PW'!W164</f>
        <v>0</v>
      </c>
      <c r="P136" s="133">
        <f>+'ex BH PW'!X164</f>
        <v>0</v>
      </c>
      <c r="Q136" s="133">
        <f>+'ex BH PW'!Y164</f>
        <v>0</v>
      </c>
      <c r="R136" s="133">
        <f>+'ex BH PW'!Z164</f>
        <v>0</v>
      </c>
      <c r="S136" s="133">
        <f>+'ex BH PW'!AA164</f>
        <v>0</v>
      </c>
      <c r="T136" s="133">
        <f>+'ex BH PW'!AB164</f>
        <v>0</v>
      </c>
      <c r="U136" s="133">
        <f>+'ex BH PW'!AC164</f>
        <v>0</v>
      </c>
      <c r="V136" s="133">
        <f>+'ex BH PW'!AD164</f>
        <v>0</v>
      </c>
      <c r="W136" s="133">
        <f>+'ex BH PW'!AE164</f>
        <v>0</v>
      </c>
      <c r="X136" s="133">
        <f>+'ex BH PW'!AF164</f>
        <v>0</v>
      </c>
      <c r="Y136" s="133">
        <f>+'ex BH PW'!AG164</f>
        <v>0</v>
      </c>
      <c r="Z136" s="133">
        <f>+'ex BH PW'!AH164</f>
        <v>0</v>
      </c>
    </row>
    <row r="137" spans="1:26" x14ac:dyDescent="0.25">
      <c r="A137" s="132" t="str">
        <f>+'ex BH PW'!H165</f>
        <v>Maxpool Leben</v>
      </c>
      <c r="B137" s="133" t="str">
        <f>+'ex BH PW'!J165</f>
        <v>000-6057</v>
      </c>
      <c r="C137" s="133">
        <f>+'ex BH PW'!I165</f>
        <v>0</v>
      </c>
      <c r="D137" s="133">
        <f>+'ex BH PW'!K165</f>
        <v>0</v>
      </c>
      <c r="E137" s="133">
        <f>+'ex BH PW'!L165</f>
        <v>0</v>
      </c>
      <c r="F137" s="133">
        <f>+'ex BH PW'!M165</f>
        <v>0</v>
      </c>
      <c r="G137" s="133">
        <f>+'ex BH PW'!N165</f>
        <v>0</v>
      </c>
      <c r="H137" s="133">
        <f>+'ex BH PW'!P165</f>
        <v>0</v>
      </c>
      <c r="I137" s="133">
        <f>+'ex BH PW'!Q165</f>
        <v>0</v>
      </c>
      <c r="J137" s="133">
        <f>+'ex BH PW'!R165</f>
        <v>0</v>
      </c>
      <c r="K137" s="133">
        <f>+'ex BH PW'!S165</f>
        <v>0</v>
      </c>
      <c r="L137" s="133">
        <f>+'ex BH PW'!T165</f>
        <v>0</v>
      </c>
      <c r="M137" s="133">
        <f>+'ex BH PW'!U165</f>
        <v>0</v>
      </c>
      <c r="N137" s="133">
        <f>+'ex BH PW'!V165</f>
        <v>0</v>
      </c>
      <c r="O137" s="133">
        <f>+'ex BH PW'!W165</f>
        <v>0</v>
      </c>
      <c r="P137" s="133">
        <f>+'ex BH PW'!X165</f>
        <v>0</v>
      </c>
      <c r="Q137" s="133">
        <f>+'ex BH PW'!Y165</f>
        <v>0</v>
      </c>
      <c r="R137" s="133">
        <f>+'ex BH PW'!Z165</f>
        <v>0</v>
      </c>
      <c r="S137" s="133">
        <f>+'ex BH PW'!AA165</f>
        <v>0</v>
      </c>
      <c r="T137" s="133">
        <f>+'ex BH PW'!AB165</f>
        <v>0</v>
      </c>
      <c r="U137" s="133">
        <f>+'ex BH PW'!AC165</f>
        <v>0</v>
      </c>
      <c r="V137" s="133">
        <f>+'ex BH PW'!AD165</f>
        <v>0</v>
      </c>
      <c r="W137" s="133">
        <f>+'ex BH PW'!AE165</f>
        <v>0</v>
      </c>
      <c r="X137" s="133">
        <f>+'ex BH PW'!AF165</f>
        <v>0</v>
      </c>
      <c r="Y137" s="133">
        <f>+'ex BH PW'!AG165</f>
        <v>0</v>
      </c>
      <c r="Z137" s="133">
        <f>+'ex BH PW'!AH165</f>
        <v>0</v>
      </c>
    </row>
    <row r="138" spans="1:26" x14ac:dyDescent="0.25">
      <c r="A138" s="132" t="str">
        <f>+'ex BH PW'!H167</f>
        <v xml:space="preserve">Medienversicherung </v>
      </c>
      <c r="B138" s="133">
        <f>+'ex BH PW'!J167</f>
        <v>0</v>
      </c>
      <c r="C138" s="133" t="str">
        <f>+'ex BH PW'!I167</f>
        <v>80487</v>
      </c>
      <c r="D138" s="133">
        <f>+'ex BH PW'!K167</f>
        <v>0</v>
      </c>
      <c r="E138" s="133">
        <f>+'ex BH PW'!L167</f>
        <v>0</v>
      </c>
      <c r="F138" s="133">
        <f>+'ex BH PW'!M167</f>
        <v>0</v>
      </c>
      <c r="G138" s="133" t="str">
        <f>+'ex BH PW'!N167</f>
        <v>79506</v>
      </c>
      <c r="H138" s="133">
        <f>+'ex BH PW'!P167</f>
        <v>0</v>
      </c>
      <c r="I138" s="133">
        <f>+'ex BH PW'!Q167</f>
        <v>0</v>
      </c>
      <c r="J138" s="133">
        <f>+'ex BH PW'!R167</f>
        <v>0</v>
      </c>
      <c r="K138" s="133">
        <f>+'ex BH PW'!S167</f>
        <v>0</v>
      </c>
      <c r="L138" s="133">
        <f>+'ex BH PW'!T167</f>
        <v>0</v>
      </c>
      <c r="M138" s="133">
        <f>+'ex BH PW'!U167</f>
        <v>0</v>
      </c>
      <c r="N138" s="133">
        <f>+'ex BH PW'!V167</f>
        <v>0</v>
      </c>
      <c r="O138" s="133">
        <f>+'ex BH PW'!W167</f>
        <v>0</v>
      </c>
      <c r="P138" s="133">
        <f>+'ex BH PW'!X167</f>
        <v>0</v>
      </c>
      <c r="Q138" s="133">
        <f>+'ex BH PW'!Y167</f>
        <v>0</v>
      </c>
      <c r="R138" s="133">
        <f>+'ex BH PW'!Z167</f>
        <v>0</v>
      </c>
      <c r="S138" s="133">
        <f>+'ex BH PW'!AA167</f>
        <v>0</v>
      </c>
      <c r="T138" s="133">
        <f>+'ex BH PW'!AB167</f>
        <v>0</v>
      </c>
      <c r="U138" s="133">
        <f>+'ex BH PW'!AC167</f>
        <v>0</v>
      </c>
      <c r="V138" s="133">
        <f>+'ex BH PW'!AD167</f>
        <v>0</v>
      </c>
      <c r="W138" s="133">
        <f>+'ex BH PW'!AE167</f>
        <v>0</v>
      </c>
      <c r="X138" s="133">
        <f>+'ex BH PW'!AF167</f>
        <v>0</v>
      </c>
      <c r="Y138" s="133">
        <f>+'ex BH PW'!AG167</f>
        <v>0</v>
      </c>
      <c r="Z138" s="133">
        <f>+'ex BH PW'!AH167</f>
        <v>0</v>
      </c>
    </row>
    <row r="139" spans="1:26" x14ac:dyDescent="0.25">
      <c r="A139" s="132" t="str">
        <f>+'ex BH PW'!H168</f>
        <v>Metzler</v>
      </c>
      <c r="B139" s="133" t="str">
        <f>+'ex BH PW'!J168</f>
        <v>14916</v>
      </c>
      <c r="C139" s="133">
        <f>+'ex BH PW'!I168</f>
        <v>0</v>
      </c>
      <c r="D139" s="133">
        <f>+'ex BH PW'!K168</f>
        <v>0</v>
      </c>
      <c r="E139" s="133">
        <f>+'ex BH PW'!L168</f>
        <v>0</v>
      </c>
      <c r="F139" s="133">
        <f>+'ex BH PW'!M168</f>
        <v>0</v>
      </c>
      <c r="G139" s="133">
        <f>+'ex BH PW'!N168</f>
        <v>0</v>
      </c>
      <c r="H139" s="133">
        <f>+'ex BH PW'!P168</f>
        <v>0</v>
      </c>
      <c r="I139" s="133">
        <f>+'ex BH PW'!Q168</f>
        <v>0</v>
      </c>
      <c r="J139" s="133">
        <f>+'ex BH PW'!R168</f>
        <v>0</v>
      </c>
      <c r="K139" s="133">
        <f>+'ex BH PW'!S168</f>
        <v>0</v>
      </c>
      <c r="L139" s="133">
        <f>+'ex BH PW'!T168</f>
        <v>0</v>
      </c>
      <c r="M139" s="133">
        <f>+'ex BH PW'!U168</f>
        <v>0</v>
      </c>
      <c r="N139" s="133">
        <f>+'ex BH PW'!V168</f>
        <v>0</v>
      </c>
      <c r="O139" s="133">
        <f>+'ex BH PW'!W168</f>
        <v>0</v>
      </c>
      <c r="P139" s="133">
        <f>+'ex BH PW'!X168</f>
        <v>0</v>
      </c>
      <c r="Q139" s="133">
        <f>+'ex BH PW'!Y168</f>
        <v>0</v>
      </c>
      <c r="R139" s="133">
        <f>+'ex BH PW'!Z168</f>
        <v>0</v>
      </c>
      <c r="S139" s="133">
        <f>+'ex BH PW'!AA168</f>
        <v>0</v>
      </c>
      <c r="T139" s="133">
        <f>+'ex BH PW'!AB168</f>
        <v>0</v>
      </c>
      <c r="U139" s="133">
        <f>+'ex BH PW'!AC168</f>
        <v>0</v>
      </c>
      <c r="V139" s="133">
        <f>+'ex BH PW'!AD168</f>
        <v>0</v>
      </c>
      <c r="W139" s="133">
        <f>+'ex BH PW'!AE168</f>
        <v>0</v>
      </c>
      <c r="X139" s="133">
        <f>+'ex BH PW'!AF168</f>
        <v>0</v>
      </c>
      <c r="Y139" s="133">
        <f>+'ex BH PW'!AG168</f>
        <v>0</v>
      </c>
      <c r="Z139" s="133">
        <f>+'ex BH PW'!AH168</f>
        <v>0</v>
      </c>
    </row>
    <row r="140" spans="1:26" x14ac:dyDescent="0.25">
      <c r="A140" s="132" t="str">
        <f>+'ex BH PW'!H169</f>
        <v>Metzler Vermög.verw.</v>
      </c>
      <c r="B140" s="133" t="str">
        <f>+'ex BH PW'!J169</f>
        <v>14918</v>
      </c>
      <c r="C140" s="133">
        <f>+'ex BH PW'!I169</f>
        <v>0</v>
      </c>
      <c r="D140" s="133">
        <f>+'ex BH PW'!K169</f>
        <v>0</v>
      </c>
      <c r="E140" s="133">
        <f>+'ex BH PW'!L169</f>
        <v>0</v>
      </c>
      <c r="F140" s="133">
        <f>+'ex BH PW'!M169</f>
        <v>0</v>
      </c>
      <c r="G140" s="133">
        <f>+'ex BH PW'!N169</f>
        <v>0</v>
      </c>
      <c r="H140" s="133">
        <f>+'ex BH PW'!P169</f>
        <v>0</v>
      </c>
      <c r="I140" s="133">
        <f>+'ex BH PW'!Q169</f>
        <v>0</v>
      </c>
      <c r="J140" s="133">
        <f>+'ex BH PW'!R169</f>
        <v>0</v>
      </c>
      <c r="K140" s="133">
        <f>+'ex BH PW'!S169</f>
        <v>0</v>
      </c>
      <c r="L140" s="133">
        <f>+'ex BH PW'!T169</f>
        <v>0</v>
      </c>
      <c r="M140" s="133">
        <f>+'ex BH PW'!U169</f>
        <v>0</v>
      </c>
      <c r="N140" s="133">
        <f>+'ex BH PW'!V169</f>
        <v>0</v>
      </c>
      <c r="O140" s="133">
        <f>+'ex BH PW'!W169</f>
        <v>0</v>
      </c>
      <c r="P140" s="133">
        <f>+'ex BH PW'!X169</f>
        <v>0</v>
      </c>
      <c r="Q140" s="133">
        <f>+'ex BH PW'!Y169</f>
        <v>0</v>
      </c>
      <c r="R140" s="133">
        <f>+'ex BH PW'!Z169</f>
        <v>0</v>
      </c>
      <c r="S140" s="133">
        <f>+'ex BH PW'!AA169</f>
        <v>0</v>
      </c>
      <c r="T140" s="133">
        <f>+'ex BH PW'!AB169</f>
        <v>0</v>
      </c>
      <c r="U140" s="133">
        <f>+'ex BH PW'!AC169</f>
        <v>0</v>
      </c>
      <c r="V140" s="133">
        <f>+'ex BH PW'!AD169</f>
        <v>0</v>
      </c>
      <c r="W140" s="133">
        <f>+'ex BH PW'!AE169</f>
        <v>0</v>
      </c>
      <c r="X140" s="133">
        <f>+'ex BH PW'!AF169</f>
        <v>0</v>
      </c>
      <c r="Y140" s="133">
        <f>+'ex BH PW'!AG169</f>
        <v>0</v>
      </c>
      <c r="Z140" s="133">
        <f>+'ex BH PW'!AH169</f>
        <v>0</v>
      </c>
    </row>
    <row r="141" spans="1:26" x14ac:dyDescent="0.25">
      <c r="A141" s="132" t="str">
        <f>+'ex BH PW'!H170</f>
        <v>MK (Münchner Kapital)</v>
      </c>
      <c r="B141" s="133">
        <f>+'ex BH PW'!J170</f>
        <v>0</v>
      </c>
      <c r="C141" s="133">
        <f>+'ex BH PW'!I170</f>
        <v>0</v>
      </c>
      <c r="D141" s="133">
        <f>+'ex BH PW'!K170</f>
        <v>0</v>
      </c>
      <c r="E141" s="133">
        <f>+'ex BH PW'!L170</f>
        <v>0</v>
      </c>
      <c r="F141" s="133">
        <f>+'ex BH PW'!M170</f>
        <v>0</v>
      </c>
      <c r="G141" s="133">
        <f>+'ex BH PW'!N170</f>
        <v>0</v>
      </c>
      <c r="H141" s="133">
        <f>+'ex BH PW'!P170</f>
        <v>0</v>
      </c>
      <c r="I141" s="133">
        <f>+'ex BH PW'!Q170</f>
        <v>0</v>
      </c>
      <c r="J141" s="133">
        <f>+'ex BH PW'!R170</f>
        <v>0</v>
      </c>
      <c r="K141" s="133">
        <f>+'ex BH PW'!S170</f>
        <v>0</v>
      </c>
      <c r="L141" s="133">
        <f>+'ex BH PW'!T170</f>
        <v>0</v>
      </c>
      <c r="M141" s="133">
        <f>+'ex BH PW'!U170</f>
        <v>0</v>
      </c>
      <c r="N141" s="133">
        <f>+'ex BH PW'!V170</f>
        <v>0</v>
      </c>
      <c r="O141" s="133">
        <f>+'ex BH PW'!W170</f>
        <v>0</v>
      </c>
      <c r="P141" s="133">
        <f>+'ex BH PW'!X170</f>
        <v>0</v>
      </c>
      <c r="Q141" s="133">
        <f>+'ex BH PW'!Y170</f>
        <v>0</v>
      </c>
      <c r="R141" s="133">
        <f>+'ex BH PW'!Z170</f>
        <v>0</v>
      </c>
      <c r="S141" s="133">
        <f>+'ex BH PW'!AA170</f>
        <v>0</v>
      </c>
      <c r="T141" s="133">
        <f>+'ex BH PW'!AB170</f>
        <v>0</v>
      </c>
      <c r="U141" s="133">
        <f>+'ex BH PW'!AC170</f>
        <v>0</v>
      </c>
      <c r="V141" s="133">
        <f>+'ex BH PW'!AD170</f>
        <v>0</v>
      </c>
      <c r="W141" s="133">
        <f>+'ex BH PW'!AE170</f>
        <v>0</v>
      </c>
      <c r="X141" s="133">
        <f>+'ex BH PW'!AF170</f>
        <v>0</v>
      </c>
      <c r="Y141" s="133">
        <f>+'ex BH PW'!AG170</f>
        <v>0</v>
      </c>
      <c r="Z141" s="133">
        <f>+'ex BH PW'!AH170</f>
        <v>0</v>
      </c>
    </row>
    <row r="142" spans="1:26" x14ac:dyDescent="0.25">
      <c r="A142" s="132" t="str">
        <f>+'ex BH PW'!H171</f>
        <v>Monuta</v>
      </c>
      <c r="B142" s="133" t="str">
        <f>+'ex BH PW'!J171</f>
        <v>1240842</v>
      </c>
      <c r="C142" s="133" t="str">
        <f>+'ex BH PW'!I171</f>
        <v>1240842</v>
      </c>
      <c r="D142" s="133">
        <f>+'ex BH PW'!K171</f>
        <v>0</v>
      </c>
      <c r="E142" s="133">
        <f>+'ex BH PW'!L171</f>
        <v>0</v>
      </c>
      <c r="F142" s="133">
        <f>+'ex BH PW'!M171</f>
        <v>0</v>
      </c>
      <c r="G142" s="133">
        <f>+'ex BH PW'!N171</f>
        <v>0</v>
      </c>
      <c r="H142" s="133">
        <f>+'ex BH PW'!P171</f>
        <v>0</v>
      </c>
      <c r="I142" s="133">
        <f>+'ex BH PW'!Q171</f>
        <v>0</v>
      </c>
      <c r="J142" s="133">
        <f>+'ex BH PW'!R171</f>
        <v>0</v>
      </c>
      <c r="K142" s="133">
        <f>+'ex BH PW'!S171</f>
        <v>0</v>
      </c>
      <c r="L142" s="133">
        <f>+'ex BH PW'!T171</f>
        <v>0</v>
      </c>
      <c r="M142" s="133">
        <f>+'ex BH PW'!U171</f>
        <v>0</v>
      </c>
      <c r="N142" s="133">
        <f>+'ex BH PW'!V171</f>
        <v>0</v>
      </c>
      <c r="O142" s="133">
        <f>+'ex BH PW'!W171</f>
        <v>0</v>
      </c>
      <c r="P142" s="133">
        <f>+'ex BH PW'!X171</f>
        <v>0</v>
      </c>
      <c r="Q142" s="133">
        <f>+'ex BH PW'!Y171</f>
        <v>0</v>
      </c>
      <c r="R142" s="133">
        <f>+'ex BH PW'!Z171</f>
        <v>0</v>
      </c>
      <c r="S142" s="133">
        <f>+'ex BH PW'!AA171</f>
        <v>0</v>
      </c>
      <c r="T142" s="133">
        <f>+'ex BH PW'!AB171</f>
        <v>0</v>
      </c>
      <c r="U142" s="133">
        <f>+'ex BH PW'!AC171</f>
        <v>0</v>
      </c>
      <c r="V142" s="133">
        <f>+'ex BH PW'!AD171</f>
        <v>0</v>
      </c>
      <c r="W142" s="133">
        <f>+'ex BH PW'!AE171</f>
        <v>0</v>
      </c>
      <c r="X142" s="133">
        <f>+'ex BH PW'!AF171</f>
        <v>0</v>
      </c>
      <c r="Y142" s="133">
        <f>+'ex BH PW'!AG171</f>
        <v>0</v>
      </c>
      <c r="Z142" s="133">
        <f>+'ex BH PW'!AH171</f>
        <v>0</v>
      </c>
    </row>
    <row r="143" spans="1:26" x14ac:dyDescent="0.25">
      <c r="A143" s="132" t="str">
        <f>+'ex BH PW'!H174</f>
        <v>Münchner Verein</v>
      </c>
      <c r="B143" s="133" t="str">
        <f>+'ex BH PW'!J174</f>
        <v>36656/A</v>
      </c>
      <c r="C143" s="133">
        <f>+'ex BH PW'!I174</f>
        <v>0</v>
      </c>
      <c r="D143" s="133">
        <f>+'ex BH PW'!K174</f>
        <v>0</v>
      </c>
      <c r="E143" s="133">
        <f>+'ex BH PW'!L174</f>
        <v>0</v>
      </c>
      <c r="F143" s="133">
        <f>+'ex BH PW'!M174</f>
        <v>0</v>
      </c>
      <c r="G143" s="133">
        <f>+'ex BH PW'!N174</f>
        <v>0</v>
      </c>
      <c r="H143" s="133">
        <f>+'ex BH PW'!P174</f>
        <v>0</v>
      </c>
      <c r="I143" s="133">
        <f>+'ex BH PW'!Q174</f>
        <v>0</v>
      </c>
      <c r="J143" s="133">
        <f>+'ex BH PW'!R174</f>
        <v>0</v>
      </c>
      <c r="K143" s="133">
        <f>+'ex BH PW'!S174</f>
        <v>0</v>
      </c>
      <c r="L143" s="133">
        <f>+'ex BH PW'!T174</f>
        <v>0</v>
      </c>
      <c r="M143" s="133">
        <f>+'ex BH PW'!U174</f>
        <v>0</v>
      </c>
      <c r="N143" s="133">
        <f>+'ex BH PW'!V174</f>
        <v>0</v>
      </c>
      <c r="O143" s="133" t="str">
        <f>+'ex BH PW'!W174</f>
        <v>36895/A</v>
      </c>
      <c r="P143" s="133">
        <f>+'ex BH PW'!X174</f>
        <v>0</v>
      </c>
      <c r="Q143" s="133">
        <f>+'ex BH PW'!Y174</f>
        <v>0</v>
      </c>
      <c r="R143" s="133">
        <f>+'ex BH PW'!Z174</f>
        <v>0</v>
      </c>
      <c r="S143" s="133">
        <f>+'ex BH PW'!AA174</f>
        <v>0</v>
      </c>
      <c r="T143" s="133">
        <f>+'ex BH PW'!AB174</f>
        <v>0</v>
      </c>
      <c r="U143" s="133">
        <f>+'ex BH PW'!AC174</f>
        <v>0</v>
      </c>
      <c r="V143" s="133">
        <f>+'ex BH PW'!AD174</f>
        <v>0</v>
      </c>
      <c r="W143" s="133">
        <f>+'ex BH PW'!AE174</f>
        <v>0</v>
      </c>
      <c r="X143" s="133">
        <f>+'ex BH PW'!AF174</f>
        <v>0</v>
      </c>
      <c r="Y143" s="133">
        <f>+'ex BH PW'!AG174</f>
        <v>0</v>
      </c>
      <c r="Z143" s="133">
        <f>+'ex BH PW'!AH174</f>
        <v>0</v>
      </c>
    </row>
    <row r="144" spans="1:26" x14ac:dyDescent="0.25">
      <c r="A144" s="132" t="str">
        <f>+'ex BH PW'!H176</f>
        <v>Netfonds</v>
      </c>
      <c r="B144" s="133">
        <f>+'ex BH PW'!J176</f>
        <v>0</v>
      </c>
      <c r="C144" s="133">
        <f>+'ex BH PW'!I176</f>
        <v>0</v>
      </c>
      <c r="D144" s="133">
        <f>+'ex BH PW'!K176</f>
        <v>0</v>
      </c>
      <c r="E144" s="133">
        <f>+'ex BH PW'!L176</f>
        <v>0</v>
      </c>
      <c r="F144" s="133">
        <f>+'ex BH PW'!M176</f>
        <v>0</v>
      </c>
      <c r="G144" s="133">
        <f>+'ex BH PW'!N176</f>
        <v>0</v>
      </c>
      <c r="H144" s="133">
        <f>+'ex BH PW'!P176</f>
        <v>0</v>
      </c>
      <c r="I144" s="133">
        <f>+'ex BH PW'!Q176</f>
        <v>0</v>
      </c>
      <c r="J144" s="133">
        <f>+'ex BH PW'!R176</f>
        <v>0</v>
      </c>
      <c r="K144" s="133">
        <f>+'ex BH PW'!S176</f>
        <v>0</v>
      </c>
      <c r="L144" s="133">
        <f>+'ex BH PW'!T176</f>
        <v>0</v>
      </c>
      <c r="M144" s="133">
        <f>+'ex BH PW'!U176</f>
        <v>0</v>
      </c>
      <c r="N144" s="133">
        <f>+'ex BH PW'!V176</f>
        <v>0</v>
      </c>
      <c r="O144" s="133">
        <f>+'ex BH PW'!W176</f>
        <v>0</v>
      </c>
      <c r="P144" s="133">
        <f>+'ex BH PW'!X176</f>
        <v>0</v>
      </c>
      <c r="Q144" s="133">
        <f>+'ex BH PW'!Y176</f>
        <v>0</v>
      </c>
      <c r="R144" s="133">
        <f>+'ex BH PW'!Z176</f>
        <v>0</v>
      </c>
      <c r="S144" s="133">
        <f>+'ex BH PW'!AA176</f>
        <v>0</v>
      </c>
      <c r="T144" s="133">
        <f>+'ex BH PW'!AB176</f>
        <v>0</v>
      </c>
      <c r="U144" s="133">
        <f>+'ex BH PW'!AC176</f>
        <v>0</v>
      </c>
      <c r="V144" s="133">
        <f>+'ex BH PW'!AD176</f>
        <v>0</v>
      </c>
      <c r="W144" s="133">
        <f>+'ex BH PW'!AE176</f>
        <v>0</v>
      </c>
      <c r="X144" s="133">
        <f>+'ex BH PW'!AF176</f>
        <v>0</v>
      </c>
      <c r="Y144" s="133">
        <f>+'ex BH PW'!AG176</f>
        <v>0</v>
      </c>
      <c r="Z144" s="133">
        <f>+'ex BH PW'!AH176</f>
        <v>0</v>
      </c>
    </row>
    <row r="145" spans="1:26" x14ac:dyDescent="0.25">
      <c r="A145" s="132" t="str">
        <f>+'ex BH PW'!H178</f>
        <v>NRV</v>
      </c>
      <c r="B145" s="133" t="str">
        <f>+'ex BH PW'!J178</f>
        <v>152 05 3992</v>
      </c>
      <c r="C145" s="133">
        <f>+'ex BH PW'!I178</f>
        <v>0</v>
      </c>
      <c r="D145" s="133">
        <f>+'ex BH PW'!K178</f>
        <v>0</v>
      </c>
      <c r="E145" s="133">
        <f>+'ex BH PW'!L178</f>
        <v>0</v>
      </c>
      <c r="F145" s="133">
        <f>+'ex BH PW'!M178</f>
        <v>0</v>
      </c>
      <c r="G145" s="133">
        <f>+'ex BH PW'!N178</f>
        <v>0</v>
      </c>
      <c r="H145" s="133">
        <f>+'ex BH PW'!P178</f>
        <v>0</v>
      </c>
      <c r="I145" s="133">
        <f>+'ex BH PW'!Q178</f>
        <v>0</v>
      </c>
      <c r="J145" s="133">
        <f>+'ex BH PW'!R178</f>
        <v>0</v>
      </c>
      <c r="K145" s="133">
        <f>+'ex BH PW'!S178</f>
        <v>0</v>
      </c>
      <c r="L145" s="133">
        <f>+'ex BH PW'!T178</f>
        <v>0</v>
      </c>
      <c r="M145" s="133">
        <f>+'ex BH PW'!U178</f>
        <v>0</v>
      </c>
      <c r="N145" s="133">
        <f>+'ex BH PW'!V178</f>
        <v>0</v>
      </c>
      <c r="O145" s="133">
        <f>+'ex BH PW'!W178</f>
        <v>0</v>
      </c>
      <c r="P145" s="133">
        <f>+'ex BH PW'!X178</f>
        <v>0</v>
      </c>
      <c r="Q145" s="133">
        <f>+'ex BH PW'!Y178</f>
        <v>0</v>
      </c>
      <c r="R145" s="133">
        <f>+'ex BH PW'!Z178</f>
        <v>0</v>
      </c>
      <c r="S145" s="133">
        <f>+'ex BH PW'!AA178</f>
        <v>0</v>
      </c>
      <c r="T145" s="133">
        <f>+'ex BH PW'!AB178</f>
        <v>0</v>
      </c>
      <c r="U145" s="133">
        <f>+'ex BH PW'!AC178</f>
        <v>0</v>
      </c>
      <c r="V145" s="133">
        <f>+'ex BH PW'!AD178</f>
        <v>0</v>
      </c>
      <c r="W145" s="133">
        <f>+'ex BH PW'!AE178</f>
        <v>0</v>
      </c>
      <c r="X145" s="133">
        <f>+'ex BH PW'!AF178</f>
        <v>0</v>
      </c>
      <c r="Y145" s="133">
        <f>+'ex BH PW'!AG178</f>
        <v>0</v>
      </c>
      <c r="Z145" s="133">
        <f>+'ex BH PW'!AH178</f>
        <v>0</v>
      </c>
    </row>
    <row r="146" spans="1:26" x14ac:dyDescent="0.25">
      <c r="A146" s="132" t="str">
        <f>+'ex BH PW'!H179</f>
        <v>Nürnberger Versicherung</v>
      </c>
      <c r="B146" s="133" t="str">
        <f>+'ex BH PW'!J179</f>
        <v>152 05 3992</v>
      </c>
      <c r="C146" s="133">
        <f>+'ex BH PW'!I179</f>
        <v>152053992</v>
      </c>
      <c r="D146" s="133">
        <f>+'ex BH PW'!K179</f>
        <v>0</v>
      </c>
      <c r="E146" s="133">
        <f>+'ex BH PW'!L179</f>
        <v>0</v>
      </c>
      <c r="F146" s="133">
        <f>+'ex BH PW'!M179</f>
        <v>0</v>
      </c>
      <c r="G146" s="133">
        <f>+'ex BH PW'!N179</f>
        <v>0</v>
      </c>
      <c r="H146" s="133">
        <f>+'ex BH PW'!P179</f>
        <v>0</v>
      </c>
      <c r="I146" s="133">
        <f>+'ex BH PW'!Q179</f>
        <v>0</v>
      </c>
      <c r="J146" s="133">
        <f>+'ex BH PW'!R179</f>
        <v>0</v>
      </c>
      <c r="K146" s="133">
        <f>+'ex BH PW'!S179</f>
        <v>0</v>
      </c>
      <c r="L146" s="133">
        <f>+'ex BH PW'!T179</f>
        <v>0</v>
      </c>
      <c r="M146" s="133">
        <f>+'ex BH PW'!U179</f>
        <v>0</v>
      </c>
      <c r="N146" s="133">
        <f>+'ex BH PW'!V179</f>
        <v>0</v>
      </c>
      <c r="O146" s="133">
        <f>+'ex BH PW'!W179</f>
        <v>0</v>
      </c>
      <c r="P146" s="133">
        <f>+'ex BH PW'!X179</f>
        <v>0</v>
      </c>
      <c r="Q146" s="133">
        <f>+'ex BH PW'!Y179</f>
        <v>0</v>
      </c>
      <c r="R146" s="133">
        <f>+'ex BH PW'!Z179</f>
        <v>0</v>
      </c>
      <c r="S146" s="133">
        <f>+'ex BH PW'!AA179</f>
        <v>0</v>
      </c>
      <c r="T146" s="133">
        <f>+'ex BH PW'!AB179</f>
        <v>0</v>
      </c>
      <c r="U146" s="133">
        <f>+'ex BH PW'!AC179</f>
        <v>0</v>
      </c>
      <c r="V146" s="133">
        <f>+'ex BH PW'!AD179</f>
        <v>0</v>
      </c>
      <c r="W146" s="133">
        <f>+'ex BH PW'!AE179</f>
        <v>0</v>
      </c>
      <c r="X146" s="133">
        <f>+'ex BH PW'!AF179</f>
        <v>0</v>
      </c>
      <c r="Y146" s="133">
        <f>+'ex BH PW'!AG179</f>
        <v>0</v>
      </c>
      <c r="Z146" s="133">
        <f>+'ex BH PW'!AH179</f>
        <v>0</v>
      </c>
    </row>
    <row r="147" spans="1:26" x14ac:dyDescent="0.25">
      <c r="A147" s="132" t="str">
        <f>+'ex BH PW'!H180</f>
        <v>Nürnberger Versicherung</v>
      </c>
      <c r="B147" s="133">
        <f>+'ex BH PW'!J180</f>
        <v>0</v>
      </c>
      <c r="C147" s="133">
        <f>+'ex BH PW'!I180</f>
        <v>0</v>
      </c>
      <c r="D147" s="133">
        <f>+'ex BH PW'!K180</f>
        <v>0</v>
      </c>
      <c r="E147" s="133">
        <f>+'ex BH PW'!L180</f>
        <v>0</v>
      </c>
      <c r="F147" s="133">
        <f>+'ex BH PW'!M180</f>
        <v>0</v>
      </c>
      <c r="G147" s="133">
        <f>+'ex BH PW'!N180</f>
        <v>0</v>
      </c>
      <c r="H147" s="133">
        <f>+'ex BH PW'!P180</f>
        <v>0</v>
      </c>
      <c r="I147" s="133">
        <f>+'ex BH PW'!Q180</f>
        <v>0</v>
      </c>
      <c r="J147" s="133">
        <f>+'ex BH PW'!R180</f>
        <v>0</v>
      </c>
      <c r="K147" s="133">
        <f>+'ex BH PW'!S180</f>
        <v>0</v>
      </c>
      <c r="L147" s="133">
        <f>+'ex BH PW'!T180</f>
        <v>0</v>
      </c>
      <c r="M147" s="133">
        <f>+'ex BH PW'!U180</f>
        <v>0</v>
      </c>
      <c r="N147" s="133">
        <f>+'ex BH PW'!V180</f>
        <v>0</v>
      </c>
      <c r="O147" s="133">
        <f>+'ex BH PW'!W180</f>
        <v>0</v>
      </c>
      <c r="P147" s="133">
        <f>+'ex BH PW'!X180</f>
        <v>0</v>
      </c>
      <c r="Q147" s="133">
        <f>+'ex BH PW'!Y180</f>
        <v>0</v>
      </c>
      <c r="R147" s="133">
        <f>+'ex BH PW'!Z180</f>
        <v>0</v>
      </c>
      <c r="S147" s="133">
        <f>+'ex BH PW'!AA180</f>
        <v>0</v>
      </c>
      <c r="T147" s="133">
        <f>+'ex BH PW'!AB180</f>
        <v>0</v>
      </c>
      <c r="U147" s="133">
        <f>+'ex BH PW'!AC180</f>
        <v>0</v>
      </c>
      <c r="V147" s="133">
        <f>+'ex BH PW'!AD180</f>
        <v>0</v>
      </c>
      <c r="W147" s="133">
        <f>+'ex BH PW'!AE180</f>
        <v>0</v>
      </c>
      <c r="X147" s="133">
        <f>+'ex BH PW'!AF180</f>
        <v>0</v>
      </c>
      <c r="Y147" s="133">
        <f>+'ex BH PW'!AG180</f>
        <v>0</v>
      </c>
      <c r="Z147" s="133">
        <f>+'ex BH PW'!AH180</f>
        <v>0</v>
      </c>
    </row>
    <row r="148" spans="1:26" x14ac:dyDescent="0.25">
      <c r="A148" s="132" t="str">
        <f>+'ex BH PW'!H183</f>
        <v>Oberöstereichische Versicherung AG</v>
      </c>
      <c r="B148" s="133" t="str">
        <f>+'ex BH PW'!J183</f>
        <v>29/790451</v>
      </c>
      <c r="C148" s="133">
        <f>+'ex BH PW'!I183</f>
        <v>790451</v>
      </c>
      <c r="D148" s="133">
        <f>+'ex BH PW'!K183</f>
        <v>0</v>
      </c>
      <c r="E148" s="133">
        <f>+'ex BH PW'!L183</f>
        <v>0</v>
      </c>
      <c r="F148" s="133">
        <f>+'ex BH PW'!M183</f>
        <v>0</v>
      </c>
      <c r="G148" s="133">
        <f>+'ex BH PW'!N183</f>
        <v>0</v>
      </c>
      <c r="H148" s="133" t="str">
        <f>+'ex BH PW'!P183</f>
        <v>2202</v>
      </c>
      <c r="I148" s="133">
        <f>+'ex BH PW'!Q183</f>
        <v>0</v>
      </c>
      <c r="J148" s="133">
        <f>+'ex BH PW'!R183</f>
        <v>0</v>
      </c>
      <c r="K148" s="133">
        <f>+'ex BH PW'!S183</f>
        <v>0</v>
      </c>
      <c r="L148" s="133">
        <f>+'ex BH PW'!T183</f>
        <v>0</v>
      </c>
      <c r="M148" s="133">
        <f>+'ex BH PW'!U183</f>
        <v>0</v>
      </c>
      <c r="N148" s="133">
        <f>+'ex BH PW'!V183</f>
        <v>0</v>
      </c>
      <c r="O148" s="133">
        <f>+'ex BH PW'!W183</f>
        <v>0</v>
      </c>
      <c r="P148" s="133">
        <f>+'ex BH PW'!X183</f>
        <v>0</v>
      </c>
      <c r="Q148" s="133">
        <f>+'ex BH PW'!Y183</f>
        <v>0</v>
      </c>
      <c r="R148" s="133">
        <f>+'ex BH PW'!Z183</f>
        <v>0</v>
      </c>
      <c r="S148" s="133">
        <f>+'ex BH PW'!AA183</f>
        <v>0</v>
      </c>
      <c r="T148" s="133">
        <f>+'ex BH PW'!AB183</f>
        <v>0</v>
      </c>
      <c r="U148" s="133">
        <f>+'ex BH PW'!AC183</f>
        <v>0</v>
      </c>
      <c r="V148" s="133">
        <f>+'ex BH PW'!AD183</f>
        <v>0</v>
      </c>
      <c r="W148" s="133">
        <f>+'ex BH PW'!AE183</f>
        <v>0</v>
      </c>
      <c r="X148" s="133">
        <f>+'ex BH PW'!AF183</f>
        <v>0</v>
      </c>
      <c r="Y148" s="133">
        <f>+'ex BH PW'!AG183</f>
        <v>0</v>
      </c>
      <c r="Z148" s="133">
        <f>+'ex BH PW'!AH183</f>
        <v>0</v>
      </c>
    </row>
    <row r="149" spans="1:26" x14ac:dyDescent="0.25">
      <c r="A149" s="132" t="str">
        <f>+'ex BH PW'!H184</f>
        <v>Ostangler Brandgilde</v>
      </c>
      <c r="B149" s="133">
        <f>+'ex BH PW'!J184</f>
        <v>0</v>
      </c>
      <c r="C149" s="133" t="str">
        <f>+'ex BH PW'!I184</f>
        <v>2500242</v>
      </c>
      <c r="D149" s="133">
        <f>+'ex BH PW'!K184</f>
        <v>0</v>
      </c>
      <c r="E149" s="133" t="str">
        <f>+'ex BH PW'!L184</f>
        <v>707993201</v>
      </c>
      <c r="F149" s="133">
        <f>+'ex BH PW'!M184</f>
        <v>0</v>
      </c>
      <c r="G149" s="133">
        <f>+'ex BH PW'!N184</f>
        <v>0</v>
      </c>
      <c r="H149" s="133">
        <f>+'ex BH PW'!P184</f>
        <v>0</v>
      </c>
      <c r="I149" s="133">
        <f>+'ex BH PW'!Q184</f>
        <v>0</v>
      </c>
      <c r="J149" s="133">
        <f>+'ex BH PW'!R184</f>
        <v>0</v>
      </c>
      <c r="K149" s="133">
        <f>+'ex BH PW'!S184</f>
        <v>0</v>
      </c>
      <c r="L149" s="133">
        <f>+'ex BH PW'!T184</f>
        <v>0</v>
      </c>
      <c r="M149" s="133">
        <f>+'ex BH PW'!U184</f>
        <v>0</v>
      </c>
      <c r="N149" s="133">
        <f>+'ex BH PW'!V184</f>
        <v>0</v>
      </c>
      <c r="O149" s="133">
        <f>+'ex BH PW'!W184</f>
        <v>0</v>
      </c>
      <c r="P149" s="133">
        <f>+'ex BH PW'!X184</f>
        <v>0</v>
      </c>
      <c r="Q149" s="133">
        <f>+'ex BH PW'!Y184</f>
        <v>0</v>
      </c>
      <c r="R149" s="133">
        <f>+'ex BH PW'!Z184</f>
        <v>0</v>
      </c>
      <c r="S149" s="133">
        <f>+'ex BH PW'!AA184</f>
        <v>0</v>
      </c>
      <c r="T149" s="133">
        <f>+'ex BH PW'!AB184</f>
        <v>0</v>
      </c>
      <c r="U149" s="133">
        <f>+'ex BH PW'!AC184</f>
        <v>0</v>
      </c>
      <c r="V149" s="133">
        <f>+'ex BH PW'!AD184</f>
        <v>0</v>
      </c>
      <c r="W149" s="133">
        <f>+'ex BH PW'!AE184</f>
        <v>0</v>
      </c>
      <c r="X149" s="133">
        <f>+'ex BH PW'!AF184</f>
        <v>0</v>
      </c>
      <c r="Y149" s="133">
        <f>+'ex BH PW'!AG184</f>
        <v>0</v>
      </c>
      <c r="Z149" s="133">
        <f>+'ex BH PW'!AH184</f>
        <v>0</v>
      </c>
    </row>
    <row r="150" spans="1:26" x14ac:dyDescent="0.25">
      <c r="A150" s="132" t="str">
        <f>+'ex BH PW'!H185</f>
        <v>Prisma Life/Cadea Life</v>
      </c>
      <c r="B150" s="133" t="str">
        <f>+'ex BH PW'!J185</f>
        <v>8800706</v>
      </c>
      <c r="C150" s="133">
        <f>+'ex BH PW'!I185</f>
        <v>0</v>
      </c>
      <c r="D150" s="133">
        <f>+'ex BH PW'!K185</f>
        <v>0</v>
      </c>
      <c r="E150" s="133">
        <f>+'ex BH PW'!L185</f>
        <v>0</v>
      </c>
      <c r="F150" s="133">
        <f>+'ex BH PW'!M185</f>
        <v>0</v>
      </c>
      <c r="G150" s="133">
        <f>+'ex BH PW'!N185</f>
        <v>0</v>
      </c>
      <c r="H150" s="133">
        <f>+'ex BH PW'!P185</f>
        <v>0</v>
      </c>
      <c r="I150" s="133">
        <f>+'ex BH PW'!Q185</f>
        <v>0</v>
      </c>
      <c r="J150" s="133">
        <f>+'ex BH PW'!R185</f>
        <v>0</v>
      </c>
      <c r="K150" s="133">
        <f>+'ex BH PW'!S185</f>
        <v>0</v>
      </c>
      <c r="L150" s="133">
        <f>+'ex BH PW'!T185</f>
        <v>0</v>
      </c>
      <c r="M150" s="133">
        <f>+'ex BH PW'!U185</f>
        <v>0</v>
      </c>
      <c r="N150" s="133">
        <f>+'ex BH PW'!V185</f>
        <v>0</v>
      </c>
      <c r="O150" s="133">
        <f>+'ex BH PW'!W185</f>
        <v>0</v>
      </c>
      <c r="P150" s="133">
        <f>+'ex BH PW'!X185</f>
        <v>0</v>
      </c>
      <c r="Q150" s="133">
        <f>+'ex BH PW'!Y185</f>
        <v>0</v>
      </c>
      <c r="R150" s="133">
        <f>+'ex BH PW'!Z185</f>
        <v>0</v>
      </c>
      <c r="S150" s="133">
        <f>+'ex BH PW'!AA185</f>
        <v>0</v>
      </c>
      <c r="T150" s="133">
        <f>+'ex BH PW'!AB185</f>
        <v>0</v>
      </c>
      <c r="U150" s="133">
        <f>+'ex BH PW'!AC185</f>
        <v>0</v>
      </c>
      <c r="V150" s="133">
        <f>+'ex BH PW'!AD185</f>
        <v>0</v>
      </c>
      <c r="W150" s="133">
        <f>+'ex BH PW'!AE185</f>
        <v>0</v>
      </c>
      <c r="X150" s="133">
        <f>+'ex BH PW'!AF185</f>
        <v>0</v>
      </c>
      <c r="Y150" s="133">
        <f>+'ex BH PW'!AG185</f>
        <v>0</v>
      </c>
      <c r="Z150" s="133">
        <f>+'ex BH PW'!AH185</f>
        <v>0</v>
      </c>
    </row>
    <row r="151" spans="1:26" x14ac:dyDescent="0.25">
      <c r="A151" s="132" t="str">
        <f>+'ex BH PW'!H186</f>
        <v>Prisma Life/Cadea Life</v>
      </c>
      <c r="B151" s="133">
        <f>+'ex BH PW'!J186</f>
        <v>0</v>
      </c>
      <c r="C151" s="133">
        <f>+'ex BH PW'!I186</f>
        <v>0</v>
      </c>
      <c r="D151" s="133">
        <f>+'ex BH PW'!K186</f>
        <v>0</v>
      </c>
      <c r="E151" s="133">
        <f>+'ex BH PW'!L186</f>
        <v>0</v>
      </c>
      <c r="F151" s="133">
        <f>+'ex BH PW'!M186</f>
        <v>0</v>
      </c>
      <c r="G151" s="133">
        <f>+'ex BH PW'!N186</f>
        <v>0</v>
      </c>
      <c r="H151" s="133">
        <f>+'ex BH PW'!P186</f>
        <v>0</v>
      </c>
      <c r="I151" s="133">
        <f>+'ex BH PW'!Q186</f>
        <v>0</v>
      </c>
      <c r="J151" s="133">
        <f>+'ex BH PW'!R186</f>
        <v>0</v>
      </c>
      <c r="K151" s="133">
        <f>+'ex BH PW'!S186</f>
        <v>0</v>
      </c>
      <c r="L151" s="133">
        <f>+'ex BH PW'!T186</f>
        <v>0</v>
      </c>
      <c r="M151" s="133">
        <f>+'ex BH PW'!U186</f>
        <v>0</v>
      </c>
      <c r="N151" s="133">
        <f>+'ex BH PW'!V186</f>
        <v>0</v>
      </c>
      <c r="O151" s="133">
        <f>+'ex BH PW'!W186</f>
        <v>0</v>
      </c>
      <c r="P151" s="133">
        <f>+'ex BH PW'!X186</f>
        <v>0</v>
      </c>
      <c r="Q151" s="133">
        <f>+'ex BH PW'!Y186</f>
        <v>0</v>
      </c>
      <c r="R151" s="133">
        <f>+'ex BH PW'!Z186</f>
        <v>0</v>
      </c>
      <c r="S151" s="133">
        <f>+'ex BH PW'!AA186</f>
        <v>0</v>
      </c>
      <c r="T151" s="133">
        <f>+'ex BH PW'!AB186</f>
        <v>0</v>
      </c>
      <c r="U151" s="133">
        <f>+'ex BH PW'!AC186</f>
        <v>0</v>
      </c>
      <c r="V151" s="133">
        <f>+'ex BH PW'!AD186</f>
        <v>0</v>
      </c>
      <c r="W151" s="133">
        <f>+'ex BH PW'!AE186</f>
        <v>0</v>
      </c>
      <c r="X151" s="133">
        <f>+'ex BH PW'!AF186</f>
        <v>0</v>
      </c>
      <c r="Y151" s="133">
        <f>+'ex BH PW'!AG186</f>
        <v>0</v>
      </c>
      <c r="Z151" s="133">
        <f>+'ex BH PW'!AH186</f>
        <v>0</v>
      </c>
    </row>
    <row r="152" spans="1:26" x14ac:dyDescent="0.25">
      <c r="A152" s="132" t="str">
        <f>+'ex BH PW'!H187</f>
        <v>Prisma Life/Cadea Life</v>
      </c>
      <c r="B152" s="133">
        <f>+'ex BH PW'!J187</f>
        <v>0</v>
      </c>
      <c r="C152" s="133">
        <f>+'ex BH PW'!I187</f>
        <v>0</v>
      </c>
      <c r="D152" s="133">
        <f>+'ex BH PW'!K187</f>
        <v>0</v>
      </c>
      <c r="E152" s="133">
        <f>+'ex BH PW'!L187</f>
        <v>0</v>
      </c>
      <c r="F152" s="133">
        <f>+'ex BH PW'!M187</f>
        <v>0</v>
      </c>
      <c r="G152" s="133">
        <f>+'ex BH PW'!N187</f>
        <v>0</v>
      </c>
      <c r="H152" s="133">
        <f>+'ex BH PW'!P187</f>
        <v>0</v>
      </c>
      <c r="I152" s="133">
        <f>+'ex BH PW'!Q187</f>
        <v>0</v>
      </c>
      <c r="J152" s="133">
        <f>+'ex BH PW'!R187</f>
        <v>0</v>
      </c>
      <c r="K152" s="133">
        <f>+'ex BH PW'!S187</f>
        <v>0</v>
      </c>
      <c r="L152" s="133">
        <f>+'ex BH PW'!T187</f>
        <v>0</v>
      </c>
      <c r="M152" s="133">
        <f>+'ex BH PW'!U187</f>
        <v>0</v>
      </c>
      <c r="N152" s="133">
        <f>+'ex BH PW'!V187</f>
        <v>0</v>
      </c>
      <c r="O152" s="133">
        <f>+'ex BH PW'!W187</f>
        <v>0</v>
      </c>
      <c r="P152" s="133">
        <f>+'ex BH PW'!X187</f>
        <v>0</v>
      </c>
      <c r="Q152" s="133">
        <f>+'ex BH PW'!Y187</f>
        <v>0</v>
      </c>
      <c r="R152" s="133">
        <f>+'ex BH PW'!Z187</f>
        <v>0</v>
      </c>
      <c r="S152" s="133">
        <f>+'ex BH PW'!AA187</f>
        <v>0</v>
      </c>
      <c r="T152" s="133">
        <f>+'ex BH PW'!AB187</f>
        <v>0</v>
      </c>
      <c r="U152" s="133">
        <f>+'ex BH PW'!AC187</f>
        <v>0</v>
      </c>
      <c r="V152" s="133">
        <f>+'ex BH PW'!AD187</f>
        <v>0</v>
      </c>
      <c r="W152" s="133">
        <f>+'ex BH PW'!AE187</f>
        <v>0</v>
      </c>
      <c r="X152" s="133">
        <f>+'ex BH PW'!AF187</f>
        <v>0</v>
      </c>
      <c r="Y152" s="133">
        <f>+'ex BH PW'!AG187</f>
        <v>0</v>
      </c>
      <c r="Z152" s="133">
        <f>+'ex BH PW'!AH187</f>
        <v>0</v>
      </c>
    </row>
    <row r="153" spans="1:26" x14ac:dyDescent="0.25">
      <c r="A153" s="132" t="str">
        <f>+'ex BH PW'!H188</f>
        <v>Procheck.24</v>
      </c>
      <c r="B153" s="133" t="str">
        <f>+'ex BH PW'!J188</f>
        <v>570775</v>
      </c>
      <c r="C153" s="133">
        <f>+'ex BH PW'!I188</f>
        <v>0</v>
      </c>
      <c r="D153" s="133">
        <f>+'ex BH PW'!K188</f>
        <v>0</v>
      </c>
      <c r="E153" s="133">
        <f>+'ex BH PW'!L188</f>
        <v>0</v>
      </c>
      <c r="F153" s="133">
        <f>+'ex BH PW'!M188</f>
        <v>0</v>
      </c>
      <c r="G153" s="133">
        <f>+'ex BH PW'!N188</f>
        <v>0</v>
      </c>
      <c r="H153" s="133">
        <f>+'ex BH PW'!P188</f>
        <v>0</v>
      </c>
      <c r="I153" s="133">
        <f>+'ex BH PW'!Q188</f>
        <v>0</v>
      </c>
      <c r="J153" s="133">
        <f>+'ex BH PW'!R188</f>
        <v>0</v>
      </c>
      <c r="K153" s="133">
        <f>+'ex BH PW'!S188</f>
        <v>0</v>
      </c>
      <c r="L153" s="133">
        <f>+'ex BH PW'!T188</f>
        <v>0</v>
      </c>
      <c r="M153" s="133">
        <f>+'ex BH PW'!U188</f>
        <v>0</v>
      </c>
      <c r="N153" s="133">
        <f>+'ex BH PW'!V188</f>
        <v>0</v>
      </c>
      <c r="O153" s="133">
        <f>+'ex BH PW'!W188</f>
        <v>0</v>
      </c>
      <c r="P153" s="133">
        <f>+'ex BH PW'!X188</f>
        <v>0</v>
      </c>
      <c r="Q153" s="133">
        <f>+'ex BH PW'!Y188</f>
        <v>0</v>
      </c>
      <c r="R153" s="133">
        <f>+'ex BH PW'!Z188</f>
        <v>0</v>
      </c>
      <c r="S153" s="133">
        <f>+'ex BH PW'!AA188</f>
        <v>0</v>
      </c>
      <c r="T153" s="133">
        <f>+'ex BH PW'!AB188</f>
        <v>0</v>
      </c>
      <c r="U153" s="133">
        <f>+'ex BH PW'!AC188</f>
        <v>0</v>
      </c>
      <c r="V153" s="133">
        <f>+'ex BH PW'!AD188</f>
        <v>0</v>
      </c>
      <c r="W153" s="133">
        <f>+'ex BH PW'!AE188</f>
        <v>0</v>
      </c>
      <c r="X153" s="133">
        <f>+'ex BH PW'!AF188</f>
        <v>0</v>
      </c>
      <c r="Y153" s="133">
        <f>+'ex BH PW'!AG188</f>
        <v>0</v>
      </c>
      <c r="Z153" s="133">
        <f>+'ex BH PW'!AH188</f>
        <v>0</v>
      </c>
    </row>
    <row r="154" spans="1:26" x14ac:dyDescent="0.25">
      <c r="A154" s="132" t="e">
        <f>+[1]passwörter_agenturen!#REF!</f>
        <v>#REF!</v>
      </c>
      <c r="B154" s="133" t="e">
        <f>+[1]passwörter_agenturen!#REF!</f>
        <v>#REF!</v>
      </c>
      <c r="C154" s="133" t="e">
        <f>+[1]passwörter_agenturen!#REF!</f>
        <v>#REF!</v>
      </c>
      <c r="D154" s="133" t="e">
        <f>+[1]passwörter_agenturen!#REF!</f>
        <v>#REF!</v>
      </c>
      <c r="E154" s="133" t="e">
        <f>+[1]passwörter_agenturen!#REF!</f>
        <v>#REF!</v>
      </c>
      <c r="F154" s="133" t="e">
        <f>+[1]passwörter_agenturen!#REF!</f>
        <v>#REF!</v>
      </c>
      <c r="G154" s="133" t="e">
        <f>+[1]passwörter_agenturen!#REF!</f>
        <v>#REF!</v>
      </c>
      <c r="H154" s="133" t="e">
        <f>+[1]passwörter_agenturen!#REF!</f>
        <v>#REF!</v>
      </c>
      <c r="I154" s="133" t="e">
        <f>+[1]passwörter_agenturen!#REF!</f>
        <v>#REF!</v>
      </c>
      <c r="J154" s="133" t="e">
        <f>+[1]passwörter_agenturen!#REF!</f>
        <v>#REF!</v>
      </c>
      <c r="K154" s="133" t="e">
        <f>+[1]passwörter_agenturen!#REF!</f>
        <v>#REF!</v>
      </c>
      <c r="L154" s="133" t="e">
        <f>+[1]passwörter_agenturen!#REF!</f>
        <v>#REF!</v>
      </c>
      <c r="M154" s="133" t="e">
        <f>+[1]passwörter_agenturen!#REF!</f>
        <v>#REF!</v>
      </c>
      <c r="N154" s="133" t="e">
        <f>+[1]passwörter_agenturen!#REF!</f>
        <v>#REF!</v>
      </c>
      <c r="O154" s="133" t="e">
        <f>+[1]passwörter_agenturen!#REF!</f>
        <v>#REF!</v>
      </c>
      <c r="P154" s="133" t="e">
        <f>+[1]passwörter_agenturen!#REF!</f>
        <v>#REF!</v>
      </c>
      <c r="Q154" s="133" t="e">
        <f>+[1]passwörter_agenturen!#REF!</f>
        <v>#REF!</v>
      </c>
      <c r="R154" s="133" t="e">
        <f>+[1]passwörter_agenturen!#REF!</f>
        <v>#REF!</v>
      </c>
      <c r="S154" s="133" t="e">
        <f>+[1]passwörter_agenturen!#REF!</f>
        <v>#REF!</v>
      </c>
      <c r="T154" s="133" t="e">
        <f>+[1]passwörter_agenturen!#REF!</f>
        <v>#REF!</v>
      </c>
      <c r="U154" s="133" t="e">
        <f>+[1]passwörter_agenturen!#REF!</f>
        <v>#REF!</v>
      </c>
      <c r="V154" s="133" t="e">
        <f>+[1]passwörter_agenturen!#REF!</f>
        <v>#REF!</v>
      </c>
      <c r="W154" s="133" t="e">
        <f>+[1]passwörter_agenturen!#REF!</f>
        <v>#REF!</v>
      </c>
      <c r="X154" s="133" t="e">
        <f>+[1]passwörter_agenturen!#REF!</f>
        <v>#REF!</v>
      </c>
      <c r="Y154" s="133" t="e">
        <f>+[1]passwörter_agenturen!#REF!</f>
        <v>#REF!</v>
      </c>
      <c r="Z154" s="133" t="e">
        <f>+[1]passwörter_agenturen!#REF!</f>
        <v>#REF!</v>
      </c>
    </row>
    <row r="155" spans="1:26" x14ac:dyDescent="0.25">
      <c r="A155" s="132" t="str">
        <f>+'ex BH PW'!H189</f>
        <v>R+V Kredit Connect</v>
      </c>
      <c r="B155" s="133">
        <f>+'ex BH PW'!J189</f>
        <v>0</v>
      </c>
      <c r="C155" s="133">
        <f>+'ex BH PW'!I189</f>
        <v>0</v>
      </c>
      <c r="D155" s="133">
        <f>+'ex BH PW'!K189</f>
        <v>0</v>
      </c>
      <c r="E155" s="133">
        <f>+'ex BH PW'!L189</f>
        <v>0</v>
      </c>
      <c r="F155" s="133">
        <f>+'ex BH PW'!M189</f>
        <v>0</v>
      </c>
      <c r="G155" s="133">
        <f>+'ex BH PW'!N189</f>
        <v>0</v>
      </c>
      <c r="H155" s="133">
        <f>+'ex BH PW'!P189</f>
        <v>0</v>
      </c>
      <c r="I155" s="133">
        <f>+'ex BH PW'!Q189</f>
        <v>0</v>
      </c>
      <c r="J155" s="133">
        <f>+'ex BH PW'!R189</f>
        <v>0</v>
      </c>
      <c r="K155" s="133">
        <f>+'ex BH PW'!S189</f>
        <v>0</v>
      </c>
      <c r="L155" s="133">
        <f>+'ex BH PW'!T189</f>
        <v>0</v>
      </c>
      <c r="M155" s="133">
        <f>+'ex BH PW'!U189</f>
        <v>0</v>
      </c>
      <c r="N155" s="133">
        <f>+'ex BH PW'!V189</f>
        <v>0</v>
      </c>
      <c r="O155" s="133">
        <f>+'ex BH PW'!W189</f>
        <v>0</v>
      </c>
      <c r="P155" s="133">
        <f>+'ex BH PW'!X189</f>
        <v>0</v>
      </c>
      <c r="Q155" s="133">
        <f>+'ex BH PW'!Y189</f>
        <v>0</v>
      </c>
      <c r="R155" s="133">
        <f>+'ex BH PW'!Z189</f>
        <v>0</v>
      </c>
      <c r="S155" s="133">
        <f>+'ex BH PW'!AA189</f>
        <v>0</v>
      </c>
      <c r="T155" s="133">
        <f>+'ex BH PW'!AB189</f>
        <v>0</v>
      </c>
      <c r="U155" s="133">
        <f>+'ex BH PW'!AC189</f>
        <v>0</v>
      </c>
      <c r="V155" s="133">
        <f>+'ex BH PW'!AD189</f>
        <v>0</v>
      </c>
      <c r="W155" s="133">
        <f>+'ex BH PW'!AE189</f>
        <v>0</v>
      </c>
      <c r="X155" s="133">
        <f>+'ex BH PW'!AF189</f>
        <v>0</v>
      </c>
      <c r="Y155" s="133">
        <f>+'ex BH PW'!AG189</f>
        <v>0</v>
      </c>
      <c r="Z155" s="133">
        <f>+'ex BH PW'!AH189</f>
        <v>0</v>
      </c>
    </row>
    <row r="156" spans="1:26" x14ac:dyDescent="0.25">
      <c r="A156" s="132" t="str">
        <f>+'ex BH PW'!H190</f>
        <v>R+V Versicherung Leben</v>
      </c>
      <c r="B156" s="133" t="str">
        <f>+'ex BH PW'!J190</f>
        <v>413/806252</v>
      </c>
      <c r="C156" s="133" t="str">
        <f>+'ex BH PW'!I190</f>
        <v>450782</v>
      </c>
      <c r="D156" s="133">
        <f>+'ex BH PW'!K190</f>
        <v>0</v>
      </c>
      <c r="E156" s="133">
        <f>+'ex BH PW'!L190</f>
        <v>0</v>
      </c>
      <c r="F156" s="133">
        <f>+'ex BH PW'!M190</f>
        <v>0</v>
      </c>
      <c r="G156" s="133">
        <f>+'ex BH PW'!N190</f>
        <v>0</v>
      </c>
      <c r="H156" s="133">
        <f>+'ex BH PW'!P190</f>
        <v>0</v>
      </c>
      <c r="I156" s="133">
        <f>+'ex BH PW'!Q190</f>
        <v>0</v>
      </c>
      <c r="J156" s="133">
        <f>+'ex BH PW'!R190</f>
        <v>0</v>
      </c>
      <c r="K156" s="133">
        <f>+'ex BH PW'!S190</f>
        <v>0</v>
      </c>
      <c r="L156" s="133">
        <f>+'ex BH PW'!T190</f>
        <v>0</v>
      </c>
      <c r="M156" s="133">
        <f>+'ex BH PW'!U190</f>
        <v>0</v>
      </c>
      <c r="N156" s="133">
        <f>+'ex BH PW'!V190</f>
        <v>0</v>
      </c>
      <c r="O156" s="133">
        <f>+'ex BH PW'!W190</f>
        <v>0</v>
      </c>
      <c r="P156" s="133">
        <f>+'ex BH PW'!X190</f>
        <v>0</v>
      </c>
      <c r="Q156" s="133">
        <f>+'ex BH PW'!Y190</f>
        <v>0</v>
      </c>
      <c r="R156" s="133">
        <f>+'ex BH PW'!Z190</f>
        <v>0</v>
      </c>
      <c r="S156" s="133">
        <f>+'ex BH PW'!AA190</f>
        <v>0</v>
      </c>
      <c r="T156" s="133">
        <f>+'ex BH PW'!AB190</f>
        <v>0</v>
      </c>
      <c r="U156" s="133">
        <f>+'ex BH PW'!AC190</f>
        <v>0</v>
      </c>
      <c r="V156" s="133">
        <f>+'ex BH PW'!AD190</f>
        <v>0</v>
      </c>
      <c r="W156" s="133">
        <f>+'ex BH PW'!AE190</f>
        <v>0</v>
      </c>
      <c r="X156" s="133">
        <f>+'ex BH PW'!AF190</f>
        <v>0</v>
      </c>
      <c r="Y156" s="133">
        <f>+'ex BH PW'!AG190</f>
        <v>0</v>
      </c>
      <c r="Z156" s="133">
        <f>+'ex BH PW'!AH190</f>
        <v>0</v>
      </c>
    </row>
    <row r="157" spans="1:26" x14ac:dyDescent="0.25">
      <c r="A157" s="132" t="str">
        <f>+'ex BH PW'!H191</f>
        <v>R+V Versicherung Sach</v>
      </c>
      <c r="B157" s="133" t="str">
        <f>+'ex BH PW'!J191</f>
        <v>406/450782</v>
      </c>
      <c r="C157" s="133" t="str">
        <f>+'ex BH PW'!I191</f>
        <v>450782</v>
      </c>
      <c r="D157" s="133">
        <f>+'ex BH PW'!K191</f>
        <v>0</v>
      </c>
      <c r="E157" s="133">
        <f>+'ex BH PW'!L191</f>
        <v>0</v>
      </c>
      <c r="F157" s="133">
        <f>+'ex BH PW'!M191</f>
        <v>0</v>
      </c>
      <c r="G157" s="133">
        <f>+'ex BH PW'!N191</f>
        <v>0</v>
      </c>
      <c r="H157" s="133">
        <f>+'ex BH PW'!P191</f>
        <v>0</v>
      </c>
      <c r="I157" s="133">
        <f>+'ex BH PW'!Q191</f>
        <v>0</v>
      </c>
      <c r="J157" s="133">
        <f>+'ex BH PW'!R191</f>
        <v>0</v>
      </c>
      <c r="K157" s="133">
        <f>+'ex BH PW'!S191</f>
        <v>0</v>
      </c>
      <c r="L157" s="133">
        <f>+'ex BH PW'!T191</f>
        <v>0</v>
      </c>
      <c r="M157" s="133">
        <f>+'ex BH PW'!U191</f>
        <v>0</v>
      </c>
      <c r="N157" s="133">
        <f>+'ex BH PW'!V191</f>
        <v>0</v>
      </c>
      <c r="O157" s="133">
        <f>+'ex BH PW'!W191</f>
        <v>0</v>
      </c>
      <c r="P157" s="133">
        <f>+'ex BH PW'!X191</f>
        <v>0</v>
      </c>
      <c r="Q157" s="133">
        <f>+'ex BH PW'!Y191</f>
        <v>0</v>
      </c>
      <c r="R157" s="133">
        <f>+'ex BH PW'!Z191</f>
        <v>0</v>
      </c>
      <c r="S157" s="133">
        <f>+'ex BH PW'!AA191</f>
        <v>0</v>
      </c>
      <c r="T157" s="133">
        <f>+'ex BH PW'!AB191</f>
        <v>0</v>
      </c>
      <c r="U157" s="133">
        <f>+'ex BH PW'!AC191</f>
        <v>0</v>
      </c>
      <c r="V157" s="133">
        <f>+'ex BH PW'!AD191</f>
        <v>0</v>
      </c>
      <c r="W157" s="133">
        <f>+'ex BH PW'!AE191</f>
        <v>0</v>
      </c>
      <c r="X157" s="133">
        <f>+'ex BH PW'!AF191</f>
        <v>0</v>
      </c>
      <c r="Y157" s="133">
        <f>+'ex BH PW'!AG191</f>
        <v>0</v>
      </c>
      <c r="Z157" s="133">
        <f>+'ex BH PW'!AH191</f>
        <v>0</v>
      </c>
    </row>
    <row r="158" spans="1:26" x14ac:dyDescent="0.25">
      <c r="A158" s="132" t="str">
        <f>+'ex BH PW'!H192</f>
        <v>Recht.-Union</v>
      </c>
      <c r="B158" s="133" t="str">
        <f>+'ex BH PW'!J192</f>
        <v>1/50/23/8801</v>
      </c>
      <c r="C158" s="133">
        <f>+'ex BH PW'!I192</f>
        <v>0</v>
      </c>
      <c r="D158" s="133">
        <f>+'ex BH PW'!K192</f>
        <v>0</v>
      </c>
      <c r="E158" s="133">
        <f>+'ex BH PW'!L192</f>
        <v>0</v>
      </c>
      <c r="F158" s="133">
        <f>+'ex BH PW'!M192</f>
        <v>0</v>
      </c>
      <c r="G158" s="133">
        <f>+'ex BH PW'!N192</f>
        <v>0</v>
      </c>
      <c r="H158" s="133">
        <f>+'ex BH PW'!P192</f>
        <v>0</v>
      </c>
      <c r="I158" s="133">
        <f>+'ex BH PW'!Q192</f>
        <v>0</v>
      </c>
      <c r="J158" s="133">
        <f>+'ex BH PW'!R192</f>
        <v>0</v>
      </c>
      <c r="K158" s="133">
        <f>+'ex BH PW'!S192</f>
        <v>0</v>
      </c>
      <c r="L158" s="133">
        <f>+'ex BH PW'!T192</f>
        <v>0</v>
      </c>
      <c r="M158" s="133">
        <f>+'ex BH PW'!U192</f>
        <v>0</v>
      </c>
      <c r="N158" s="133">
        <f>+'ex BH PW'!V192</f>
        <v>0</v>
      </c>
      <c r="O158" s="133">
        <f>+'ex BH PW'!W192</f>
        <v>0</v>
      </c>
      <c r="P158" s="133">
        <f>+'ex BH PW'!X192</f>
        <v>0</v>
      </c>
      <c r="Q158" s="133">
        <f>+'ex BH PW'!Y192</f>
        <v>0</v>
      </c>
      <c r="R158" s="133">
        <f>+'ex BH PW'!Z192</f>
        <v>0</v>
      </c>
      <c r="S158" s="133">
        <f>+'ex BH PW'!AA192</f>
        <v>0</v>
      </c>
      <c r="T158" s="133">
        <f>+'ex BH PW'!AB192</f>
        <v>0</v>
      </c>
      <c r="U158" s="133">
        <f>+'ex BH PW'!AC192</f>
        <v>0</v>
      </c>
      <c r="V158" s="133">
        <f>+'ex BH PW'!AD192</f>
        <v>0</v>
      </c>
      <c r="W158" s="133">
        <f>+'ex BH PW'!AE192</f>
        <v>0</v>
      </c>
      <c r="X158" s="133">
        <f>+'ex BH PW'!AF192</f>
        <v>0</v>
      </c>
      <c r="Y158" s="133">
        <f>+'ex BH PW'!AG192</f>
        <v>0</v>
      </c>
      <c r="Z158" s="133">
        <f>+'ex BH PW'!AH192</f>
        <v>0</v>
      </c>
    </row>
    <row r="159" spans="1:26" x14ac:dyDescent="0.25">
      <c r="A159" s="132" t="str">
        <f>+'ex BH PW'!H193</f>
        <v>Rheinland/alt</v>
      </c>
      <c r="B159" s="133" t="str">
        <f>+'ex BH PW'!J193</f>
        <v>47/8110</v>
      </c>
      <c r="C159" s="133">
        <f>+'ex BH PW'!I193</f>
        <v>0</v>
      </c>
      <c r="D159" s="133">
        <f>+'ex BH PW'!K193</f>
        <v>0</v>
      </c>
      <c r="E159" s="133">
        <f>+'ex BH PW'!L193</f>
        <v>0</v>
      </c>
      <c r="F159" s="133">
        <f>+'ex BH PW'!M193</f>
        <v>0</v>
      </c>
      <c r="G159" s="133">
        <f>+'ex BH PW'!N193</f>
        <v>0</v>
      </c>
      <c r="H159" s="133">
        <f>+'ex BH PW'!P193</f>
        <v>0</v>
      </c>
      <c r="I159" s="133">
        <f>+'ex BH PW'!Q193</f>
        <v>0</v>
      </c>
      <c r="J159" s="133">
        <f>+'ex BH PW'!R193</f>
        <v>0</v>
      </c>
      <c r="K159" s="133">
        <f>+'ex BH PW'!S193</f>
        <v>0</v>
      </c>
      <c r="L159" s="133">
        <f>+'ex BH PW'!T193</f>
        <v>0</v>
      </c>
      <c r="M159" s="133">
        <f>+'ex BH PW'!U193</f>
        <v>0</v>
      </c>
      <c r="N159" s="133">
        <f>+'ex BH PW'!V193</f>
        <v>0</v>
      </c>
      <c r="O159" s="133">
        <f>+'ex BH PW'!W193</f>
        <v>0</v>
      </c>
      <c r="P159" s="133">
        <f>+'ex BH PW'!X193</f>
        <v>0</v>
      </c>
      <c r="Q159" s="133">
        <f>+'ex BH PW'!Y193</f>
        <v>0</v>
      </c>
      <c r="R159" s="133">
        <f>+'ex BH PW'!Z193</f>
        <v>0</v>
      </c>
      <c r="S159" s="133">
        <f>+'ex BH PW'!AA193</f>
        <v>0</v>
      </c>
      <c r="T159" s="133">
        <f>+'ex BH PW'!AB193</f>
        <v>0</v>
      </c>
      <c r="U159" s="133">
        <f>+'ex BH PW'!AC193</f>
        <v>0</v>
      </c>
      <c r="V159" s="133">
        <f>+'ex BH PW'!AD193</f>
        <v>0</v>
      </c>
      <c r="W159" s="133">
        <f>+'ex BH PW'!AE193</f>
        <v>0</v>
      </c>
      <c r="X159" s="133">
        <f>+'ex BH PW'!AF193</f>
        <v>0</v>
      </c>
      <c r="Y159" s="133">
        <f>+'ex BH PW'!AG193</f>
        <v>0</v>
      </c>
      <c r="Z159" s="133">
        <f>+'ex BH PW'!AH193</f>
        <v>0</v>
      </c>
    </row>
    <row r="160" spans="1:26" x14ac:dyDescent="0.25">
      <c r="A160" s="132" t="str">
        <f>+'ex BH PW'!H194</f>
        <v>Rhion/Rheinland</v>
      </c>
      <c r="B160" s="133" t="str">
        <f>+'ex BH PW'!J194</f>
        <v>67/8110</v>
      </c>
      <c r="C160" s="133" t="str">
        <f>+'ex BH PW'!I194</f>
        <v>67/8110</v>
      </c>
      <c r="D160" s="133">
        <f>+'ex BH PW'!K194</f>
        <v>0</v>
      </c>
      <c r="E160" s="133">
        <f>+'ex BH PW'!L194</f>
        <v>0</v>
      </c>
      <c r="F160" s="133">
        <f>+'ex BH PW'!M194</f>
        <v>0</v>
      </c>
      <c r="G160" s="133">
        <f>+'ex BH PW'!N194</f>
        <v>0</v>
      </c>
      <c r="H160" s="133">
        <f>+'ex BH PW'!P194</f>
        <v>0</v>
      </c>
      <c r="I160" s="133">
        <f>+'ex BH PW'!Q194</f>
        <v>0</v>
      </c>
      <c r="J160" s="133">
        <f>+'ex BH PW'!R194</f>
        <v>0</v>
      </c>
      <c r="K160" s="133">
        <f>+'ex BH PW'!S194</f>
        <v>0</v>
      </c>
      <c r="L160" s="133">
        <f>+'ex BH PW'!T194</f>
        <v>0</v>
      </c>
      <c r="M160" s="133">
        <f>+'ex BH PW'!U194</f>
        <v>0</v>
      </c>
      <c r="N160" s="133">
        <f>+'ex BH PW'!V194</f>
        <v>0</v>
      </c>
      <c r="O160" s="133">
        <f>+'ex BH PW'!W194</f>
        <v>0</v>
      </c>
      <c r="P160" s="133">
        <f>+'ex BH PW'!X194</f>
        <v>0</v>
      </c>
      <c r="Q160" s="133">
        <f>+'ex BH PW'!Y194</f>
        <v>0</v>
      </c>
      <c r="R160" s="133">
        <f>+'ex BH PW'!Z194</f>
        <v>0</v>
      </c>
      <c r="S160" s="133">
        <f>+'ex BH PW'!AA194</f>
        <v>0</v>
      </c>
      <c r="T160" s="133">
        <f>+'ex BH PW'!AB194</f>
        <v>0</v>
      </c>
      <c r="U160" s="133">
        <f>+'ex BH PW'!AC194</f>
        <v>0</v>
      </c>
      <c r="V160" s="133">
        <f>+'ex BH PW'!AD194</f>
        <v>0</v>
      </c>
      <c r="W160" s="133">
        <f>+'ex BH PW'!AE194</f>
        <v>0</v>
      </c>
      <c r="X160" s="133">
        <f>+'ex BH PW'!AF194</f>
        <v>0</v>
      </c>
      <c r="Y160" s="133">
        <f>+'ex BH PW'!AG194</f>
        <v>0</v>
      </c>
      <c r="Z160" s="133">
        <f>+'ex BH PW'!AH194</f>
        <v>0</v>
      </c>
    </row>
    <row r="161" spans="1:26" x14ac:dyDescent="0.25">
      <c r="A161" s="132" t="str">
        <f>+'ex BH PW'!H195</f>
        <v>Roland Rechtsschutz (direkt)</v>
      </c>
      <c r="B161" s="133" t="str">
        <f>+'ex BH PW'!J195</f>
        <v>55.590</v>
      </c>
      <c r="C161" s="133" t="str">
        <f>+'ex BH PW'!I195</f>
        <v>55.590</v>
      </c>
      <c r="D161" s="133">
        <f>+'ex BH PW'!K195</f>
        <v>0</v>
      </c>
      <c r="E161" s="133">
        <f>+'ex BH PW'!L195</f>
        <v>0</v>
      </c>
      <c r="F161" s="133">
        <f>+'ex BH PW'!M195</f>
        <v>0</v>
      </c>
      <c r="G161" s="133">
        <f>+'ex BH PW'!N195</f>
        <v>0</v>
      </c>
      <c r="H161" s="133">
        <f>+'ex BH PW'!P195</f>
        <v>0</v>
      </c>
      <c r="I161" s="133">
        <f>+'ex BH PW'!Q195</f>
        <v>0</v>
      </c>
      <c r="J161" s="133">
        <f>+'ex BH PW'!R195</f>
        <v>0</v>
      </c>
      <c r="K161" s="133">
        <f>+'ex BH PW'!S195</f>
        <v>0</v>
      </c>
      <c r="L161" s="133">
        <f>+'ex BH PW'!T195</f>
        <v>0</v>
      </c>
      <c r="M161" s="133">
        <f>+'ex BH PW'!U195</f>
        <v>0</v>
      </c>
      <c r="N161" s="133">
        <f>+'ex BH PW'!V195</f>
        <v>0</v>
      </c>
      <c r="O161" s="133">
        <f>+'ex BH PW'!W195</f>
        <v>0</v>
      </c>
      <c r="P161" s="133">
        <f>+'ex BH PW'!X195</f>
        <v>0</v>
      </c>
      <c r="Q161" s="133">
        <f>+'ex BH PW'!Y195</f>
        <v>0</v>
      </c>
      <c r="R161" s="133">
        <f>+'ex BH PW'!Z195</f>
        <v>0</v>
      </c>
      <c r="S161" s="133">
        <f>+'ex BH PW'!AA195</f>
        <v>0</v>
      </c>
      <c r="T161" s="133">
        <f>+'ex BH PW'!AB195</f>
        <v>0</v>
      </c>
      <c r="U161" s="133">
        <f>+'ex BH PW'!AC195</f>
        <v>0</v>
      </c>
      <c r="V161" s="133">
        <f>+'ex BH PW'!AD195</f>
        <v>0</v>
      </c>
      <c r="W161" s="133">
        <f>+'ex BH PW'!AE195</f>
        <v>0</v>
      </c>
      <c r="X161" s="133">
        <f>+'ex BH PW'!AF195</f>
        <v>0</v>
      </c>
      <c r="Y161" s="133">
        <f>+'ex BH PW'!AG195</f>
        <v>0</v>
      </c>
      <c r="Z161" s="133">
        <f>+'ex BH PW'!AH195</f>
        <v>0</v>
      </c>
    </row>
    <row r="162" spans="1:26" x14ac:dyDescent="0.25">
      <c r="A162" s="132" t="str">
        <f>+'ex BH PW'!H196</f>
        <v>RWB</v>
      </c>
      <c r="B162" s="133" t="str">
        <f>+'ex BH PW'!J196</f>
        <v>049-005425</v>
      </c>
      <c r="C162" s="133" t="str">
        <f>+'ex BH PW'!I196</f>
        <v xml:space="preserve">  </v>
      </c>
      <c r="D162" s="133">
        <f>+'ex BH PW'!K196</f>
        <v>0</v>
      </c>
      <c r="E162" s="133">
        <f>+'ex BH PW'!L196</f>
        <v>0</v>
      </c>
      <c r="F162" s="133">
        <f>+'ex BH PW'!M196</f>
        <v>0</v>
      </c>
      <c r="G162" s="133">
        <f>+'ex BH PW'!N196</f>
        <v>0</v>
      </c>
      <c r="H162" s="133">
        <f>+'ex BH PW'!P196</f>
        <v>0</v>
      </c>
      <c r="I162" s="133">
        <f>+'ex BH PW'!Q196</f>
        <v>0</v>
      </c>
      <c r="J162" s="133">
        <f>+'ex BH PW'!R196</f>
        <v>0</v>
      </c>
      <c r="K162" s="133">
        <f>+'ex BH PW'!S196</f>
        <v>0</v>
      </c>
      <c r="L162" s="133">
        <f>+'ex BH PW'!T196</f>
        <v>0</v>
      </c>
      <c r="M162" s="133">
        <f>+'ex BH PW'!U196</f>
        <v>0</v>
      </c>
      <c r="N162" s="133">
        <f>+'ex BH PW'!V196</f>
        <v>0</v>
      </c>
      <c r="O162" s="133">
        <f>+'ex BH PW'!W196</f>
        <v>0</v>
      </c>
      <c r="P162" s="133">
        <f>+'ex BH PW'!X196</f>
        <v>0</v>
      </c>
      <c r="Q162" s="133">
        <f>+'ex BH PW'!Y196</f>
        <v>0</v>
      </c>
      <c r="R162" s="133">
        <f>+'ex BH PW'!Z196</f>
        <v>0</v>
      </c>
      <c r="S162" s="133">
        <f>+'ex BH PW'!AA196</f>
        <v>0</v>
      </c>
      <c r="T162" s="133">
        <f>+'ex BH PW'!AB196</f>
        <v>0</v>
      </c>
      <c r="U162" s="133">
        <f>+'ex BH PW'!AC196</f>
        <v>0</v>
      </c>
      <c r="V162" s="133">
        <f>+'ex BH PW'!AD196</f>
        <v>0</v>
      </c>
      <c r="W162" s="133">
        <f>+'ex BH PW'!AE196</f>
        <v>0</v>
      </c>
      <c r="X162" s="133">
        <f>+'ex BH PW'!AF196</f>
        <v>0</v>
      </c>
      <c r="Y162" s="133">
        <f>+'ex BH PW'!AG196</f>
        <v>0</v>
      </c>
      <c r="Z162" s="133">
        <f>+'ex BH PW'!AH196</f>
        <v>0</v>
      </c>
    </row>
    <row r="163" spans="1:26" x14ac:dyDescent="0.25">
      <c r="A163" s="132" t="str">
        <f>+'ex BH PW'!H197</f>
        <v>Salus BKK</v>
      </c>
      <c r="B163" s="133" t="str">
        <f>+'ex BH PW'!J197</f>
        <v>26711</v>
      </c>
      <c r="C163" s="133">
        <f>+'ex BH PW'!I197</f>
        <v>0</v>
      </c>
      <c r="D163" s="133">
        <f>+'ex BH PW'!K197</f>
        <v>0</v>
      </c>
      <c r="E163" s="133">
        <f>+'ex BH PW'!L197</f>
        <v>0</v>
      </c>
      <c r="F163" s="133">
        <f>+'ex BH PW'!M197</f>
        <v>0</v>
      </c>
      <c r="G163" s="133">
        <f>+'ex BH PW'!N197</f>
        <v>0</v>
      </c>
      <c r="H163" s="133">
        <f>+'ex BH PW'!P197</f>
        <v>0</v>
      </c>
      <c r="I163" s="133">
        <f>+'ex BH PW'!Q197</f>
        <v>0</v>
      </c>
      <c r="J163" s="133">
        <f>+'ex BH PW'!R197</f>
        <v>0</v>
      </c>
      <c r="K163" s="133">
        <f>+'ex BH PW'!S197</f>
        <v>0</v>
      </c>
      <c r="L163" s="133">
        <f>+'ex BH PW'!T197</f>
        <v>0</v>
      </c>
      <c r="M163" s="133">
        <f>+'ex BH PW'!U197</f>
        <v>0</v>
      </c>
      <c r="N163" s="133">
        <f>+'ex BH PW'!V197</f>
        <v>0</v>
      </c>
      <c r="O163" s="133">
        <f>+'ex BH PW'!W197</f>
        <v>0</v>
      </c>
      <c r="P163" s="133">
        <f>+'ex BH PW'!X197</f>
        <v>0</v>
      </c>
      <c r="Q163" s="133">
        <f>+'ex BH PW'!Y197</f>
        <v>0</v>
      </c>
      <c r="R163" s="133">
        <f>+'ex BH PW'!Z197</f>
        <v>0</v>
      </c>
      <c r="S163" s="133">
        <f>+'ex BH PW'!AA197</f>
        <v>0</v>
      </c>
      <c r="T163" s="133">
        <f>+'ex BH PW'!AB197</f>
        <v>0</v>
      </c>
      <c r="U163" s="133">
        <f>+'ex BH PW'!AC197</f>
        <v>0</v>
      </c>
      <c r="V163" s="133">
        <f>+'ex BH PW'!AD197</f>
        <v>0</v>
      </c>
      <c r="W163" s="133">
        <f>+'ex BH PW'!AE197</f>
        <v>0</v>
      </c>
      <c r="X163" s="133">
        <f>+'ex BH PW'!AF197</f>
        <v>0</v>
      </c>
      <c r="Y163" s="133">
        <f>+'ex BH PW'!AG197</f>
        <v>0</v>
      </c>
      <c r="Z163" s="133">
        <f>+'ex BH PW'!AH197</f>
        <v>0</v>
      </c>
    </row>
    <row r="164" spans="1:26" x14ac:dyDescent="0.25">
      <c r="A164" s="132" t="str">
        <f>+'ex BH PW'!H198</f>
        <v>Schleswiger AG</v>
      </c>
      <c r="B164" s="133" t="str">
        <f>+'ex BH PW'!J198</f>
        <v>11978</v>
      </c>
      <c r="C164" s="133">
        <f>+'ex BH PW'!I198</f>
        <v>0</v>
      </c>
      <c r="D164" s="133">
        <f>+'ex BH PW'!K198</f>
        <v>0</v>
      </c>
      <c r="E164" s="133">
        <f>+'ex BH PW'!L198</f>
        <v>0</v>
      </c>
      <c r="F164" s="133">
        <f>+'ex BH PW'!M198</f>
        <v>0</v>
      </c>
      <c r="G164" s="133">
        <f>+'ex BH PW'!N198</f>
        <v>0</v>
      </c>
      <c r="H164" s="133">
        <f>+'ex BH PW'!P198</f>
        <v>0</v>
      </c>
      <c r="I164" s="133">
        <f>+'ex BH PW'!Q198</f>
        <v>0</v>
      </c>
      <c r="J164" s="133">
        <f>+'ex BH PW'!R198</f>
        <v>0</v>
      </c>
      <c r="K164" s="133">
        <f>+'ex BH PW'!S198</f>
        <v>0</v>
      </c>
      <c r="L164" s="133">
        <f>+'ex BH PW'!T198</f>
        <v>0</v>
      </c>
      <c r="M164" s="133">
        <f>+'ex BH PW'!U198</f>
        <v>0</v>
      </c>
      <c r="N164" s="133">
        <f>+'ex BH PW'!V198</f>
        <v>0</v>
      </c>
      <c r="O164" s="133">
        <f>+'ex BH PW'!W198</f>
        <v>0</v>
      </c>
      <c r="P164" s="133">
        <f>+'ex BH PW'!X198</f>
        <v>0</v>
      </c>
      <c r="Q164" s="133">
        <f>+'ex BH PW'!Y198</f>
        <v>0</v>
      </c>
      <c r="R164" s="133">
        <f>+'ex BH PW'!Z198</f>
        <v>0</v>
      </c>
      <c r="S164" s="133">
        <f>+'ex BH PW'!AA198</f>
        <v>0</v>
      </c>
      <c r="T164" s="133">
        <f>+'ex BH PW'!AB198</f>
        <v>0</v>
      </c>
      <c r="U164" s="133">
        <f>+'ex BH PW'!AC198</f>
        <v>0</v>
      </c>
      <c r="V164" s="133">
        <f>+'ex BH PW'!AD198</f>
        <v>0</v>
      </c>
      <c r="W164" s="133">
        <f>+'ex BH PW'!AE198</f>
        <v>0</v>
      </c>
      <c r="X164" s="133">
        <f>+'ex BH PW'!AF198</f>
        <v>0</v>
      </c>
      <c r="Y164" s="133">
        <f>+'ex BH PW'!AG198</f>
        <v>0</v>
      </c>
      <c r="Z164" s="133">
        <f>+'ex BH PW'!AH198</f>
        <v>0</v>
      </c>
    </row>
    <row r="165" spans="1:26" x14ac:dyDescent="0.25">
      <c r="A165" s="132" t="str">
        <f>+'ex BH PW'!H199</f>
        <v>Signal</v>
      </c>
      <c r="B165" s="133" t="str">
        <f>+'ex BH PW'!J199</f>
        <v>2834196</v>
      </c>
      <c r="C165" s="133" t="str">
        <f>+'ex BH PW'!I199</f>
        <v>KV-8656194</v>
      </c>
      <c r="D165" s="133">
        <f>+'ex BH PW'!K199</f>
        <v>0</v>
      </c>
      <c r="E165" s="133">
        <f>+'ex BH PW'!L199</f>
        <v>0</v>
      </c>
      <c r="F165" s="133">
        <f>+'ex BH PW'!M199</f>
        <v>0</v>
      </c>
      <c r="G165" s="133">
        <f>+'ex BH PW'!N199</f>
        <v>0</v>
      </c>
      <c r="H165" s="133">
        <f>+'ex BH PW'!P199</f>
        <v>0</v>
      </c>
      <c r="I165" s="133">
        <f>+'ex BH PW'!Q199</f>
        <v>0</v>
      </c>
      <c r="J165" s="133">
        <f>+'ex BH PW'!R199</f>
        <v>0</v>
      </c>
      <c r="K165" s="133">
        <f>+'ex BH PW'!S199</f>
        <v>0</v>
      </c>
      <c r="L165" s="133">
        <f>+'ex BH PW'!T199</f>
        <v>0</v>
      </c>
      <c r="M165" s="133">
        <f>+'ex BH PW'!U199</f>
        <v>0</v>
      </c>
      <c r="N165" s="133">
        <f>+'ex BH PW'!V199</f>
        <v>0</v>
      </c>
      <c r="O165" s="133">
        <f>+'ex BH PW'!W199</f>
        <v>0</v>
      </c>
      <c r="P165" s="133">
        <f>+'ex BH PW'!X199</f>
        <v>0</v>
      </c>
      <c r="Q165" s="133">
        <f>+'ex BH PW'!Y199</f>
        <v>0</v>
      </c>
      <c r="R165" s="133">
        <f>+'ex BH PW'!Z199</f>
        <v>0</v>
      </c>
      <c r="S165" s="133">
        <f>+'ex BH PW'!AA199</f>
        <v>0</v>
      </c>
      <c r="T165" s="133">
        <f>+'ex BH PW'!AB199</f>
        <v>0</v>
      </c>
      <c r="U165" s="133">
        <f>+'ex BH PW'!AC199</f>
        <v>0</v>
      </c>
      <c r="V165" s="133">
        <f>+'ex BH PW'!AD199</f>
        <v>0</v>
      </c>
      <c r="W165" s="133">
        <f>+'ex BH PW'!AE199</f>
        <v>0</v>
      </c>
      <c r="X165" s="133">
        <f>+'ex BH PW'!AF199</f>
        <v>0</v>
      </c>
      <c r="Y165" s="133">
        <f>+'ex BH PW'!AG199</f>
        <v>0</v>
      </c>
      <c r="Z165" s="133">
        <f>+'ex BH PW'!AH199</f>
        <v>0</v>
      </c>
    </row>
    <row r="166" spans="1:26" x14ac:dyDescent="0.25">
      <c r="A166" s="132" t="str">
        <f>+'ex BH PW'!H200</f>
        <v>Signal Iduna (ADV-Nr. 2986853)</v>
      </c>
      <c r="B166" s="133" t="str">
        <f>+'ex BH PW'!J200</f>
        <v>2834196</v>
      </c>
      <c r="C166" s="133" t="str">
        <f>+'ex BH PW'!I200</f>
        <v>2986853</v>
      </c>
      <c r="D166" s="133">
        <f>+'ex BH PW'!K200</f>
        <v>0</v>
      </c>
      <c r="E166" s="133">
        <f>+'ex BH PW'!L200</f>
        <v>0</v>
      </c>
      <c r="F166" s="133">
        <f>+'ex BH PW'!M200</f>
        <v>0</v>
      </c>
      <c r="G166" s="133">
        <f>+'ex BH PW'!N200</f>
        <v>0</v>
      </c>
      <c r="H166" s="133">
        <f>+'ex BH PW'!P200</f>
        <v>0</v>
      </c>
      <c r="I166" s="133">
        <f>+'ex BH PW'!Q200</f>
        <v>0</v>
      </c>
      <c r="J166" s="133">
        <f>+'ex BH PW'!R200</f>
        <v>0</v>
      </c>
      <c r="K166" s="133">
        <f>+'ex BH PW'!S200</f>
        <v>0</v>
      </c>
      <c r="L166" s="133">
        <f>+'ex BH PW'!T200</f>
        <v>0</v>
      </c>
      <c r="M166" s="133">
        <f>+'ex BH PW'!U200</f>
        <v>0</v>
      </c>
      <c r="N166" s="133">
        <f>+'ex BH PW'!V200</f>
        <v>0</v>
      </c>
      <c r="O166" s="133">
        <f>+'ex BH PW'!W200</f>
        <v>0</v>
      </c>
      <c r="P166" s="133">
        <f>+'ex BH PW'!X200</f>
        <v>0</v>
      </c>
      <c r="Q166" s="133">
        <f>+'ex BH PW'!Y200</f>
        <v>0</v>
      </c>
      <c r="R166" s="133">
        <f>+'ex BH PW'!Z200</f>
        <v>0</v>
      </c>
      <c r="S166" s="133">
        <f>+'ex BH PW'!AA200</f>
        <v>0</v>
      </c>
      <c r="T166" s="133">
        <f>+'ex BH PW'!AB200</f>
        <v>0</v>
      </c>
      <c r="U166" s="133">
        <f>+'ex BH PW'!AC200</f>
        <v>0</v>
      </c>
      <c r="V166" s="133">
        <f>+'ex BH PW'!AD200</f>
        <v>0</v>
      </c>
      <c r="W166" s="133">
        <f>+'ex BH PW'!AE200</f>
        <v>0</v>
      </c>
      <c r="X166" s="133">
        <f>+'ex BH PW'!AF200</f>
        <v>0</v>
      </c>
      <c r="Y166" s="133">
        <f>+'ex BH PW'!AG200</f>
        <v>0</v>
      </c>
      <c r="Z166" s="133">
        <f>+'ex BH PW'!AH200</f>
        <v>0</v>
      </c>
    </row>
    <row r="167" spans="1:26" x14ac:dyDescent="0.25">
      <c r="A167" s="132" t="str">
        <f>+'ex BH PW'!H202</f>
        <v>SLP / Swiss Life Partner</v>
      </c>
      <c r="B167" s="133" t="str">
        <f>+'ex BH PW'!J202</f>
        <v>421995</v>
      </c>
      <c r="C167" s="133">
        <f>+'ex BH PW'!I202</f>
        <v>0</v>
      </c>
      <c r="D167" s="133">
        <f>+'ex BH PW'!K202</f>
        <v>0</v>
      </c>
      <c r="E167" s="133">
        <f>+'ex BH PW'!L202</f>
        <v>0</v>
      </c>
      <c r="F167" s="133">
        <f>+'ex BH PW'!M202</f>
        <v>0</v>
      </c>
      <c r="G167" s="133">
        <f>+'ex BH PW'!N202</f>
        <v>0</v>
      </c>
      <c r="H167" s="133">
        <f>+'ex BH PW'!P202</f>
        <v>0</v>
      </c>
      <c r="I167" s="133">
        <f>+'ex BH PW'!Q202</f>
        <v>0</v>
      </c>
      <c r="J167" s="133">
        <f>+'ex BH PW'!R202</f>
        <v>0</v>
      </c>
      <c r="K167" s="133">
        <f>+'ex BH PW'!S202</f>
        <v>0</v>
      </c>
      <c r="L167" s="133">
        <f>+'ex BH PW'!T202</f>
        <v>0</v>
      </c>
      <c r="M167" s="133">
        <f>+'ex BH PW'!U202</f>
        <v>0</v>
      </c>
      <c r="N167" s="133">
        <f>+'ex BH PW'!V202</f>
        <v>0</v>
      </c>
      <c r="O167" s="133">
        <f>+'ex BH PW'!W202</f>
        <v>0</v>
      </c>
      <c r="P167" s="133">
        <f>+'ex BH PW'!X202</f>
        <v>0</v>
      </c>
      <c r="Q167" s="133">
        <f>+'ex BH PW'!Y202</f>
        <v>0</v>
      </c>
      <c r="R167" s="133">
        <f>+'ex BH PW'!Z202</f>
        <v>0</v>
      </c>
      <c r="S167" s="133">
        <f>+'ex BH PW'!AA202</f>
        <v>0</v>
      </c>
      <c r="T167" s="133">
        <f>+'ex BH PW'!AB202</f>
        <v>0</v>
      </c>
      <c r="U167" s="133">
        <f>+'ex BH PW'!AC202</f>
        <v>0</v>
      </c>
      <c r="V167" s="133">
        <f>+'ex BH PW'!AD202</f>
        <v>0</v>
      </c>
      <c r="W167" s="133">
        <f>+'ex BH PW'!AE202</f>
        <v>0</v>
      </c>
      <c r="X167" s="133">
        <f>+'ex BH PW'!AF202</f>
        <v>0</v>
      </c>
      <c r="Y167" s="133">
        <f>+'ex BH PW'!AG202</f>
        <v>0</v>
      </c>
      <c r="Z167" s="133">
        <f>+'ex BH PW'!AH202</f>
        <v>0</v>
      </c>
    </row>
    <row r="168" spans="1:26" x14ac:dyDescent="0.25">
      <c r="A168" s="132" t="str">
        <f>+'ex BH PW'!H203</f>
        <v>Standard Life</v>
      </c>
      <c r="B168" s="133">
        <f>+'ex BH PW'!J203</f>
        <v>0</v>
      </c>
      <c r="C168" s="133" t="str">
        <f>+'ex BH PW'!I203</f>
        <v>2022_VEMA</v>
      </c>
      <c r="D168" s="133">
        <f>+'ex BH PW'!K203</f>
        <v>0</v>
      </c>
      <c r="E168" s="133">
        <f>+'ex BH PW'!L203</f>
        <v>0</v>
      </c>
      <c r="F168" s="133">
        <f>+'ex BH PW'!M203</f>
        <v>0</v>
      </c>
      <c r="G168" s="133">
        <f>+'ex BH PW'!N203</f>
        <v>0</v>
      </c>
      <c r="H168" s="133">
        <f>+'ex BH PW'!P203</f>
        <v>0</v>
      </c>
      <c r="I168" s="133">
        <f>+'ex BH PW'!Q203</f>
        <v>0</v>
      </c>
      <c r="J168" s="133">
        <f>+'ex BH PW'!R203</f>
        <v>0</v>
      </c>
      <c r="K168" s="133">
        <f>+'ex BH PW'!S203</f>
        <v>0</v>
      </c>
      <c r="L168" s="133">
        <f>+'ex BH PW'!T203</f>
        <v>0</v>
      </c>
      <c r="M168" s="133">
        <f>+'ex BH PW'!U203</f>
        <v>0</v>
      </c>
      <c r="N168" s="133">
        <f>+'ex BH PW'!V203</f>
        <v>0</v>
      </c>
      <c r="O168" s="133">
        <f>+'ex BH PW'!W203</f>
        <v>0</v>
      </c>
      <c r="P168" s="133">
        <f>+'ex BH PW'!X203</f>
        <v>0</v>
      </c>
      <c r="Q168" s="133">
        <f>+'ex BH PW'!Y203</f>
        <v>0</v>
      </c>
      <c r="R168" s="133">
        <f>+'ex BH PW'!Z203</f>
        <v>0</v>
      </c>
      <c r="S168" s="133">
        <f>+'ex BH PW'!AA203</f>
        <v>0</v>
      </c>
      <c r="T168" s="133">
        <f>+'ex BH PW'!AB203</f>
        <v>0</v>
      </c>
      <c r="U168" s="133">
        <f>+'ex BH PW'!AC203</f>
        <v>0</v>
      </c>
      <c r="V168" s="133">
        <f>+'ex BH PW'!AD203</f>
        <v>0</v>
      </c>
      <c r="W168" s="133">
        <f>+'ex BH PW'!AE203</f>
        <v>0</v>
      </c>
      <c r="X168" s="133">
        <f>+'ex BH PW'!AF203</f>
        <v>0</v>
      </c>
      <c r="Y168" s="133">
        <f>+'ex BH PW'!AG203</f>
        <v>0</v>
      </c>
      <c r="Z168" s="133">
        <f>+'ex BH PW'!AH203</f>
        <v>0</v>
      </c>
    </row>
    <row r="169" spans="1:26" x14ac:dyDescent="0.25">
      <c r="A169" s="132" t="str">
        <f>+'ex BH PW'!H205</f>
        <v>Stromschalten.de (4Motions GmbH)</v>
      </c>
      <c r="B169" s="133" t="str">
        <f>+'ex BH PW'!J205</f>
        <v xml:space="preserve"> 5114-0001</v>
      </c>
      <c r="C169" s="133">
        <f>+'ex BH PW'!I205</f>
        <v>0</v>
      </c>
      <c r="D169" s="133">
        <f>+'ex BH PW'!K205</f>
        <v>0</v>
      </c>
      <c r="E169" s="133">
        <f>+'ex BH PW'!L205</f>
        <v>0</v>
      </c>
      <c r="F169" s="133">
        <f>+'ex BH PW'!M205</f>
        <v>0</v>
      </c>
      <c r="G169" s="133">
        <f>+'ex BH PW'!N205</f>
        <v>0</v>
      </c>
      <c r="H169" s="133">
        <f>+'ex BH PW'!P205</f>
        <v>0</v>
      </c>
      <c r="I169" s="133">
        <f>+'ex BH PW'!Q205</f>
        <v>0</v>
      </c>
      <c r="J169" s="133">
        <f>+'ex BH PW'!R205</f>
        <v>0</v>
      </c>
      <c r="K169" s="133">
        <f>+'ex BH PW'!S205</f>
        <v>0</v>
      </c>
      <c r="L169" s="133">
        <f>+'ex BH PW'!T205</f>
        <v>0</v>
      </c>
      <c r="M169" s="133">
        <f>+'ex BH PW'!U205</f>
        <v>0</v>
      </c>
      <c r="N169" s="133">
        <f>+'ex BH PW'!V205</f>
        <v>0</v>
      </c>
      <c r="O169" s="133">
        <f>+'ex BH PW'!W205</f>
        <v>0</v>
      </c>
      <c r="P169" s="133">
        <f>+'ex BH PW'!X205</f>
        <v>0</v>
      </c>
      <c r="Q169" s="133">
        <f>+'ex BH PW'!Y205</f>
        <v>0</v>
      </c>
      <c r="R169" s="133">
        <f>+'ex BH PW'!Z205</f>
        <v>0</v>
      </c>
      <c r="S169" s="133">
        <f>+'ex BH PW'!AA205</f>
        <v>0</v>
      </c>
      <c r="T169" s="133">
        <f>+'ex BH PW'!AB205</f>
        <v>0</v>
      </c>
      <c r="U169" s="133">
        <f>+'ex BH PW'!AC205</f>
        <v>0</v>
      </c>
      <c r="V169" s="133">
        <f>+'ex BH PW'!AD205</f>
        <v>0</v>
      </c>
      <c r="W169" s="133">
        <f>+'ex BH PW'!AE205</f>
        <v>0</v>
      </c>
      <c r="X169" s="133">
        <f>+'ex BH PW'!AF205</f>
        <v>0</v>
      </c>
      <c r="Y169" s="133">
        <f>+'ex BH PW'!AG205</f>
        <v>0</v>
      </c>
      <c r="Z169" s="133">
        <f>+'ex BH PW'!AH205</f>
        <v>0</v>
      </c>
    </row>
    <row r="170" spans="1:26" x14ac:dyDescent="0.25">
      <c r="A170" s="132" t="str">
        <f>+'ex BH PW'!H206</f>
        <v>Stuttgarter</v>
      </c>
      <c r="B170" s="133" t="str">
        <f>+'ex BH PW'!J206</f>
        <v>72.00087372</v>
      </c>
      <c r="C170" s="133" t="str">
        <f>+'ex BH PW'!I206</f>
        <v>87372</v>
      </c>
      <c r="D170" s="133">
        <f>+'ex BH PW'!K206</f>
        <v>0</v>
      </c>
      <c r="E170" s="133" t="str">
        <f>+'ex BH PW'!L206</f>
        <v>72.00105789</v>
      </c>
      <c r="F170" s="133">
        <f>+'ex BH PW'!M206</f>
        <v>0</v>
      </c>
      <c r="G170" s="133">
        <f>+'ex BH PW'!N206</f>
        <v>0</v>
      </c>
      <c r="H170" s="133">
        <f>+'ex BH PW'!P206</f>
        <v>0</v>
      </c>
      <c r="I170" s="133">
        <f>+'ex BH PW'!Q206</f>
        <v>0</v>
      </c>
      <c r="J170" s="133">
        <f>+'ex BH PW'!R206</f>
        <v>0</v>
      </c>
      <c r="K170" s="133">
        <f>+'ex BH PW'!S206</f>
        <v>0</v>
      </c>
      <c r="L170" s="133">
        <f>+'ex BH PW'!T206</f>
        <v>0</v>
      </c>
      <c r="M170" s="133">
        <f>+'ex BH PW'!U206</f>
        <v>0</v>
      </c>
      <c r="N170" s="133">
        <f>+'ex BH PW'!V206</f>
        <v>0</v>
      </c>
      <c r="O170" s="133">
        <f>+'ex BH PW'!W206</f>
        <v>0</v>
      </c>
      <c r="P170" s="133">
        <f>+'ex BH PW'!X206</f>
        <v>0</v>
      </c>
      <c r="Q170" s="133">
        <f>+'ex BH PW'!Y206</f>
        <v>0</v>
      </c>
      <c r="R170" s="133">
        <f>+'ex BH PW'!Z206</f>
        <v>0</v>
      </c>
      <c r="S170" s="133" t="str">
        <f>+'ex BH PW'!AA206</f>
        <v>72.00103830</v>
      </c>
      <c r="T170" s="133">
        <f>+'ex BH PW'!AB206</f>
        <v>0</v>
      </c>
      <c r="U170" s="133">
        <f>+'ex BH PW'!AC206</f>
        <v>0</v>
      </c>
      <c r="V170" s="133">
        <f>+'ex BH PW'!AD206</f>
        <v>0</v>
      </c>
      <c r="W170" s="133">
        <f>+'ex BH PW'!AE206</f>
        <v>0</v>
      </c>
      <c r="X170" s="133">
        <f>+'ex BH PW'!AF206</f>
        <v>0</v>
      </c>
      <c r="Y170" s="133">
        <f>+'ex BH PW'!AG206</f>
        <v>0</v>
      </c>
      <c r="Z170" s="133">
        <f>+'ex BH PW'!AH206</f>
        <v>0</v>
      </c>
    </row>
    <row r="171" spans="1:26" x14ac:dyDescent="0.25">
      <c r="A171" s="132" t="str">
        <f>+'ex BH PW'!H207</f>
        <v>SV SparkassenVersicherung  AG / ÖRAG</v>
      </c>
      <c r="B171" s="133" t="str">
        <f>+'ex BH PW'!J207</f>
        <v xml:space="preserve"> </v>
      </c>
      <c r="C171" s="133" t="str">
        <f>+'ex BH PW'!I207</f>
        <v>M000867</v>
      </c>
      <c r="D171" s="133">
        <f>+'ex BH PW'!K207</f>
        <v>0</v>
      </c>
      <c r="E171" s="133">
        <f>+'ex BH PW'!L207</f>
        <v>0</v>
      </c>
      <c r="F171" s="133">
        <f>+'ex BH PW'!M207</f>
        <v>0</v>
      </c>
      <c r="G171" s="133">
        <f>+'ex BH PW'!N207</f>
        <v>0</v>
      </c>
      <c r="H171" s="133">
        <f>+'ex BH PW'!P207</f>
        <v>0</v>
      </c>
      <c r="I171" s="133">
        <f>+'ex BH PW'!Q207</f>
        <v>0</v>
      </c>
      <c r="J171" s="133">
        <f>+'ex BH PW'!R207</f>
        <v>0</v>
      </c>
      <c r="K171" s="133">
        <f>+'ex BH PW'!S207</f>
        <v>0</v>
      </c>
      <c r="L171" s="133">
        <f>+'ex BH PW'!T207</f>
        <v>0</v>
      </c>
      <c r="M171" s="133">
        <f>+'ex BH PW'!U207</f>
        <v>0</v>
      </c>
      <c r="N171" s="133">
        <f>+'ex BH PW'!V207</f>
        <v>0</v>
      </c>
      <c r="O171" s="133">
        <f>+'ex BH PW'!W207</f>
        <v>0</v>
      </c>
      <c r="P171" s="133">
        <f>+'ex BH PW'!X207</f>
        <v>0</v>
      </c>
      <c r="Q171" s="133">
        <f>+'ex BH PW'!Y207</f>
        <v>0</v>
      </c>
      <c r="R171" s="133">
        <f>+'ex BH PW'!Z207</f>
        <v>0</v>
      </c>
      <c r="S171" s="133">
        <f>+'ex BH PW'!AA207</f>
        <v>0</v>
      </c>
      <c r="T171" s="133">
        <f>+'ex BH PW'!AB207</f>
        <v>0</v>
      </c>
      <c r="U171" s="133">
        <f>+'ex BH PW'!AC207</f>
        <v>0</v>
      </c>
      <c r="V171" s="133">
        <f>+'ex BH PW'!AD207</f>
        <v>0</v>
      </c>
      <c r="W171" s="133">
        <f>+'ex BH PW'!AE207</f>
        <v>0</v>
      </c>
      <c r="X171" s="133" t="str">
        <f>+'ex BH PW'!AF207</f>
        <v>320107</v>
      </c>
      <c r="Y171" s="133">
        <f>+'ex BH PW'!AG207</f>
        <v>0</v>
      </c>
      <c r="Z171" s="133">
        <f>+'ex BH PW'!AH207</f>
        <v>0</v>
      </c>
    </row>
    <row r="172" spans="1:26" x14ac:dyDescent="0.25">
      <c r="A172" s="132" t="str">
        <f>+'ex BH PW'!H208</f>
        <v>Swisslife</v>
      </c>
      <c r="B172" s="133" t="str">
        <f>+'ex BH PW'!J208</f>
        <v>421995-0001</v>
      </c>
      <c r="C172" s="133" t="str">
        <f>+'ex BH PW'!I208</f>
        <v>421995</v>
      </c>
      <c r="D172" s="133">
        <f>+'ex BH PW'!K208</f>
        <v>0</v>
      </c>
      <c r="E172" s="133">
        <f>+'ex BH PW'!L208</f>
        <v>0</v>
      </c>
      <c r="F172" s="133">
        <f>+'ex BH PW'!M208</f>
        <v>0</v>
      </c>
      <c r="G172" s="133">
        <f>+'ex BH PW'!N208</f>
        <v>0</v>
      </c>
      <c r="H172" s="133">
        <f>+'ex BH PW'!P208</f>
        <v>0</v>
      </c>
      <c r="I172" s="133">
        <f>+'ex BH PW'!Q208</f>
        <v>0</v>
      </c>
      <c r="J172" s="133">
        <f>+'ex BH PW'!R208</f>
        <v>0</v>
      </c>
      <c r="K172" s="133">
        <f>+'ex BH PW'!S208</f>
        <v>0</v>
      </c>
      <c r="L172" s="133">
        <f>+'ex BH PW'!T208</f>
        <v>0</v>
      </c>
      <c r="M172" s="133">
        <f>+'ex BH PW'!U208</f>
        <v>0</v>
      </c>
      <c r="N172" s="133">
        <f>+'ex BH PW'!V208</f>
        <v>0</v>
      </c>
      <c r="O172" s="133">
        <f>+'ex BH PW'!W208</f>
        <v>0</v>
      </c>
      <c r="P172" s="133">
        <f>+'ex BH PW'!X208</f>
        <v>0</v>
      </c>
      <c r="Q172" s="133">
        <f>+'ex BH PW'!Y208</f>
        <v>0</v>
      </c>
      <c r="R172" s="133">
        <f>+'ex BH PW'!Z208</f>
        <v>0</v>
      </c>
      <c r="S172" s="133">
        <f>+'ex BH PW'!AA208</f>
        <v>0</v>
      </c>
      <c r="T172" s="133">
        <f>+'ex BH PW'!AB208</f>
        <v>0</v>
      </c>
      <c r="U172" s="133">
        <f>+'ex BH PW'!AC208</f>
        <v>0</v>
      </c>
      <c r="V172" s="133">
        <f>+'ex BH PW'!AD208</f>
        <v>0</v>
      </c>
      <c r="W172" s="133">
        <f>+'ex BH PW'!AE208</f>
        <v>0</v>
      </c>
      <c r="X172" s="133">
        <f>+'ex BH PW'!AF208</f>
        <v>0</v>
      </c>
      <c r="Y172" s="133">
        <f>+'ex BH PW'!AG208</f>
        <v>0</v>
      </c>
      <c r="Z172" s="133">
        <f>+'ex BH PW'!AH208</f>
        <v>0</v>
      </c>
    </row>
    <row r="173" spans="1:26" x14ac:dyDescent="0.25">
      <c r="A173" s="132" t="str">
        <f>+'ex BH PW'!H209</f>
        <v>Techniker Krankenkasse</v>
      </c>
      <c r="B173" s="133" t="str">
        <f>+'ex BH PW'!J209</f>
        <v>T0505860G9</v>
      </c>
      <c r="C173" s="133">
        <f>+'ex BH PW'!I209</f>
        <v>0</v>
      </c>
      <c r="D173" s="133">
        <f>+'ex BH PW'!K209</f>
        <v>0</v>
      </c>
      <c r="E173" s="133">
        <f>+'ex BH PW'!L209</f>
        <v>0</v>
      </c>
      <c r="F173" s="133">
        <f>+'ex BH PW'!M209</f>
        <v>0</v>
      </c>
      <c r="G173" s="133">
        <f>+'ex BH PW'!N209</f>
        <v>0</v>
      </c>
      <c r="H173" s="133">
        <f>+'ex BH PW'!P209</f>
        <v>0</v>
      </c>
      <c r="I173" s="133">
        <f>+'ex BH PW'!Q209</f>
        <v>0</v>
      </c>
      <c r="J173" s="133">
        <f>+'ex BH PW'!R209</f>
        <v>0</v>
      </c>
      <c r="K173" s="133">
        <f>+'ex BH PW'!S209</f>
        <v>0</v>
      </c>
      <c r="L173" s="133">
        <f>+'ex BH PW'!T209</f>
        <v>0</v>
      </c>
      <c r="M173" s="133">
        <f>+'ex BH PW'!U209</f>
        <v>0</v>
      </c>
      <c r="N173" s="133">
        <f>+'ex BH PW'!V209</f>
        <v>0</v>
      </c>
      <c r="O173" s="133">
        <f>+'ex BH PW'!W209</f>
        <v>0</v>
      </c>
      <c r="P173" s="133">
        <f>+'ex BH PW'!X209</f>
        <v>0</v>
      </c>
      <c r="Q173" s="133">
        <f>+'ex BH PW'!Y209</f>
        <v>0</v>
      </c>
      <c r="R173" s="133">
        <f>+'ex BH PW'!Z209</f>
        <v>0</v>
      </c>
      <c r="S173" s="133">
        <f>+'ex BH PW'!AA209</f>
        <v>0</v>
      </c>
      <c r="T173" s="133">
        <f>+'ex BH PW'!AB209</f>
        <v>0</v>
      </c>
      <c r="U173" s="133">
        <f>+'ex BH PW'!AC209</f>
        <v>0</v>
      </c>
      <c r="V173" s="133">
        <f>+'ex BH PW'!AD209</f>
        <v>0</v>
      </c>
      <c r="W173" s="133">
        <f>+'ex BH PW'!AE209</f>
        <v>0</v>
      </c>
      <c r="X173" s="133">
        <f>+'ex BH PW'!AF209</f>
        <v>0</v>
      </c>
      <c r="Y173" s="133">
        <f>+'ex BH PW'!AG209</f>
        <v>0</v>
      </c>
      <c r="Z173" s="133">
        <f>+'ex BH PW'!AH209</f>
        <v>0</v>
      </c>
    </row>
    <row r="174" spans="1:26" x14ac:dyDescent="0.25">
      <c r="A174" s="132" t="str">
        <f>+'ex BH PW'!H210</f>
        <v>TRIXI</v>
      </c>
      <c r="B174" s="133">
        <f>+'ex BH PW'!J210</f>
        <v>0</v>
      </c>
      <c r="C174" s="133">
        <f>+'ex BH PW'!I210</f>
        <v>0</v>
      </c>
      <c r="D174" s="133">
        <f>+'ex BH PW'!K210</f>
        <v>0</v>
      </c>
      <c r="E174" s="133">
        <f>+'ex BH PW'!L210</f>
        <v>0</v>
      </c>
      <c r="F174" s="133">
        <f>+'ex BH PW'!M210</f>
        <v>0</v>
      </c>
      <c r="G174" s="133">
        <f>+'ex BH PW'!N210</f>
        <v>0</v>
      </c>
      <c r="H174" s="133">
        <f>+'ex BH PW'!P210</f>
        <v>0</v>
      </c>
      <c r="I174" s="133">
        <f>+'ex BH PW'!Q210</f>
        <v>0</v>
      </c>
      <c r="J174" s="133">
        <f>+'ex BH PW'!R210</f>
        <v>0</v>
      </c>
      <c r="K174" s="133">
        <f>+'ex BH PW'!S210</f>
        <v>0</v>
      </c>
      <c r="L174" s="133">
        <f>+'ex BH PW'!T210</f>
        <v>0</v>
      </c>
      <c r="M174" s="133">
        <f>+'ex BH PW'!U210</f>
        <v>0</v>
      </c>
      <c r="N174" s="133">
        <f>+'ex BH PW'!V210</f>
        <v>0</v>
      </c>
      <c r="O174" s="133">
        <f>+'ex BH PW'!W210</f>
        <v>0</v>
      </c>
      <c r="P174" s="133">
        <f>+'ex BH PW'!X210</f>
        <v>0</v>
      </c>
      <c r="Q174" s="133">
        <f>+'ex BH PW'!Y210</f>
        <v>0</v>
      </c>
      <c r="R174" s="133">
        <f>+'ex BH PW'!Z210</f>
        <v>0</v>
      </c>
      <c r="S174" s="133">
        <f>+'ex BH PW'!AA210</f>
        <v>0</v>
      </c>
      <c r="T174" s="133">
        <f>+'ex BH PW'!AB210</f>
        <v>0</v>
      </c>
      <c r="U174" s="133">
        <f>+'ex BH PW'!AC210</f>
        <v>0</v>
      </c>
      <c r="V174" s="133">
        <f>+'ex BH PW'!AD210</f>
        <v>0</v>
      </c>
      <c r="W174" s="133">
        <f>+'ex BH PW'!AE210</f>
        <v>0</v>
      </c>
      <c r="X174" s="133">
        <f>+'ex BH PW'!AF210</f>
        <v>0</v>
      </c>
      <c r="Y174" s="133">
        <f>+'ex BH PW'!AG210</f>
        <v>0</v>
      </c>
      <c r="Z174" s="133">
        <f>+'ex BH PW'!AH210</f>
        <v>0</v>
      </c>
    </row>
    <row r="175" spans="1:26" x14ac:dyDescent="0.25">
      <c r="A175" s="132" t="str">
        <f>+'ex BH PW'!H211</f>
        <v>TUTUS</v>
      </c>
      <c r="B175" s="133">
        <f>+'ex BH PW'!J211</f>
        <v>0</v>
      </c>
      <c r="C175" s="133">
        <f>+'ex BH PW'!I211</f>
        <v>0</v>
      </c>
      <c r="D175" s="133">
        <f>+'ex BH PW'!K211</f>
        <v>0</v>
      </c>
      <c r="E175" s="133">
        <f>+'ex BH PW'!L211</f>
        <v>0</v>
      </c>
      <c r="F175" s="133">
        <f>+'ex BH PW'!M211</f>
        <v>0</v>
      </c>
      <c r="G175" s="133">
        <f>+'ex BH PW'!N211</f>
        <v>0</v>
      </c>
      <c r="H175" s="133">
        <f>+'ex BH PW'!P211</f>
        <v>0</v>
      </c>
      <c r="I175" s="133">
        <f>+'ex BH PW'!Q211</f>
        <v>0</v>
      </c>
      <c r="J175" s="133">
        <f>+'ex BH PW'!R211</f>
        <v>0</v>
      </c>
      <c r="K175" s="133">
        <f>+'ex BH PW'!S211</f>
        <v>0</v>
      </c>
      <c r="L175" s="133">
        <f>+'ex BH PW'!T211</f>
        <v>0</v>
      </c>
      <c r="M175" s="133">
        <f>+'ex BH PW'!U211</f>
        <v>0</v>
      </c>
      <c r="N175" s="133">
        <f>+'ex BH PW'!V211</f>
        <v>0</v>
      </c>
      <c r="O175" s="133">
        <f>+'ex BH PW'!W211</f>
        <v>0</v>
      </c>
      <c r="P175" s="133">
        <f>+'ex BH PW'!X211</f>
        <v>0</v>
      </c>
      <c r="Q175" s="133">
        <f>+'ex BH PW'!Y211</f>
        <v>0</v>
      </c>
      <c r="R175" s="133">
        <f>+'ex BH PW'!Z211</f>
        <v>0</v>
      </c>
      <c r="S175" s="133">
        <f>+'ex BH PW'!AA211</f>
        <v>0</v>
      </c>
      <c r="T175" s="133">
        <f>+'ex BH PW'!AB211</f>
        <v>0</v>
      </c>
      <c r="U175" s="133">
        <f>+'ex BH PW'!AC211</f>
        <v>0</v>
      </c>
      <c r="V175" s="133">
        <f>+'ex BH PW'!AD211</f>
        <v>0</v>
      </c>
      <c r="W175" s="133">
        <f>+'ex BH PW'!AE211</f>
        <v>0</v>
      </c>
      <c r="X175" s="133">
        <f>+'ex BH PW'!AF211</f>
        <v>0</v>
      </c>
      <c r="Y175" s="133">
        <f>+'ex BH PW'!AG211</f>
        <v>0</v>
      </c>
      <c r="Z175" s="133">
        <f>+'ex BH PW'!AH211</f>
        <v>0</v>
      </c>
    </row>
    <row r="176" spans="1:26" x14ac:dyDescent="0.25">
      <c r="A176" s="132" t="str">
        <f>+'ex BH PW'!H212</f>
        <v>Uelzener</v>
      </c>
      <c r="B176" s="133" t="str">
        <f>+'ex BH PW'!J212</f>
        <v>000/29471</v>
      </c>
      <c r="C176" s="133">
        <f>+'ex BH PW'!I212</f>
        <v>0</v>
      </c>
      <c r="D176" s="133">
        <f>+'ex BH PW'!K212</f>
        <v>0</v>
      </c>
      <c r="E176" s="133">
        <f>+'ex BH PW'!L212</f>
        <v>0</v>
      </c>
      <c r="F176" s="133">
        <f>+'ex BH PW'!M212</f>
        <v>0</v>
      </c>
      <c r="G176" s="133">
        <f>+'ex BH PW'!N212</f>
        <v>0</v>
      </c>
      <c r="H176" s="133">
        <f>+'ex BH PW'!P212</f>
        <v>0</v>
      </c>
      <c r="I176" s="133">
        <f>+'ex BH PW'!Q212</f>
        <v>0</v>
      </c>
      <c r="J176" s="133">
        <f>+'ex BH PW'!R212</f>
        <v>0</v>
      </c>
      <c r="K176" s="133">
        <f>+'ex BH PW'!S212</f>
        <v>0</v>
      </c>
      <c r="L176" s="133">
        <f>+'ex BH PW'!T212</f>
        <v>0</v>
      </c>
      <c r="M176" s="133">
        <f>+'ex BH PW'!U212</f>
        <v>0</v>
      </c>
      <c r="N176" s="133">
        <f>+'ex BH PW'!V212</f>
        <v>0</v>
      </c>
      <c r="O176" s="133">
        <f>+'ex BH PW'!W212</f>
        <v>0</v>
      </c>
      <c r="P176" s="133">
        <f>+'ex BH PW'!X212</f>
        <v>0</v>
      </c>
      <c r="Q176" s="133">
        <f>+'ex BH PW'!Y212</f>
        <v>0</v>
      </c>
      <c r="R176" s="133">
        <f>+'ex BH PW'!Z212</f>
        <v>0</v>
      </c>
      <c r="S176" s="133">
        <f>+'ex BH PW'!AA212</f>
        <v>0</v>
      </c>
      <c r="T176" s="133">
        <f>+'ex BH PW'!AB212</f>
        <v>0</v>
      </c>
      <c r="U176" s="133">
        <f>+'ex BH PW'!AC212</f>
        <v>0</v>
      </c>
      <c r="V176" s="133">
        <f>+'ex BH PW'!AD212</f>
        <v>0</v>
      </c>
      <c r="W176" s="133">
        <f>+'ex BH PW'!AE212</f>
        <v>0</v>
      </c>
      <c r="X176" s="133">
        <f>+'ex BH PW'!AF212</f>
        <v>0</v>
      </c>
      <c r="Y176" s="133">
        <f>+'ex BH PW'!AG212</f>
        <v>0</v>
      </c>
      <c r="Z176" s="133">
        <f>+'ex BH PW'!AH212</f>
        <v>0</v>
      </c>
    </row>
    <row r="177" spans="1:26" x14ac:dyDescent="0.25">
      <c r="A177" s="132" t="str">
        <f>+'ex BH PW'!H213</f>
        <v>Universa</v>
      </c>
      <c r="B177" s="133" t="str">
        <f>+'ex BH PW'!J213</f>
        <v>365-43323</v>
      </c>
      <c r="C177" s="133" t="str">
        <f>+'ex BH PW'!I213</f>
        <v>43323</v>
      </c>
      <c r="D177" s="133">
        <f>+'ex BH PW'!K213</f>
        <v>0</v>
      </c>
      <c r="E177" s="133">
        <f>+'ex BH PW'!L213</f>
        <v>0</v>
      </c>
      <c r="F177" s="133">
        <f>+'ex BH PW'!M213</f>
        <v>0</v>
      </c>
      <c r="G177" s="133">
        <f>+'ex BH PW'!N213</f>
        <v>0</v>
      </c>
      <c r="H177" s="133">
        <f>+'ex BH PW'!P213</f>
        <v>0</v>
      </c>
      <c r="I177" s="133">
        <f>+'ex BH PW'!Q213</f>
        <v>0</v>
      </c>
      <c r="J177" s="133">
        <f>+'ex BH PW'!R213</f>
        <v>0</v>
      </c>
      <c r="K177" s="133">
        <f>+'ex BH PW'!S213</f>
        <v>0</v>
      </c>
      <c r="L177" s="133">
        <f>+'ex BH PW'!T213</f>
        <v>0</v>
      </c>
      <c r="M177" s="133">
        <f>+'ex BH PW'!U213</f>
        <v>0</v>
      </c>
      <c r="N177" s="133">
        <f>+'ex BH PW'!V213</f>
        <v>0</v>
      </c>
      <c r="O177" s="133">
        <f>+'ex BH PW'!W213</f>
        <v>0</v>
      </c>
      <c r="P177" s="133">
        <f>+'ex BH PW'!X213</f>
        <v>0</v>
      </c>
      <c r="Q177" s="133">
        <f>+'ex BH PW'!Y213</f>
        <v>0</v>
      </c>
      <c r="R177" s="133">
        <f>+'ex BH PW'!Z213</f>
        <v>0</v>
      </c>
      <c r="S177" s="133">
        <f>+'ex BH PW'!AA213</f>
        <v>0</v>
      </c>
      <c r="T177" s="133">
        <f>+'ex BH PW'!AB213</f>
        <v>0</v>
      </c>
      <c r="U177" s="133">
        <f>+'ex BH PW'!AC213</f>
        <v>0</v>
      </c>
      <c r="V177" s="133">
        <f>+'ex BH PW'!AD213</f>
        <v>0</v>
      </c>
      <c r="W177" s="133">
        <f>+'ex BH PW'!AE213</f>
        <v>0</v>
      </c>
      <c r="X177" s="133">
        <f>+'ex BH PW'!AF213</f>
        <v>0</v>
      </c>
      <c r="Y177" s="133">
        <f>+'ex BH PW'!AG213</f>
        <v>0</v>
      </c>
      <c r="Z177" s="133">
        <f>+'ex BH PW'!AH213</f>
        <v>0</v>
      </c>
    </row>
    <row r="178" spans="1:26" x14ac:dyDescent="0.25">
      <c r="A178" s="132" t="e">
        <f>+[1]passwörter_agenturen!#REF!</f>
        <v>#REF!</v>
      </c>
      <c r="B178" s="133" t="e">
        <f>+[1]passwörter_agenturen!#REF!</f>
        <v>#REF!</v>
      </c>
      <c r="C178" s="133" t="e">
        <f>+[1]passwörter_agenturen!#REF!</f>
        <v>#REF!</v>
      </c>
      <c r="D178" s="133" t="e">
        <f>+[1]passwörter_agenturen!#REF!</f>
        <v>#REF!</v>
      </c>
      <c r="E178" s="133" t="e">
        <f>+[1]passwörter_agenturen!#REF!</f>
        <v>#REF!</v>
      </c>
      <c r="F178" s="133" t="e">
        <f>+[1]passwörter_agenturen!#REF!</f>
        <v>#REF!</v>
      </c>
      <c r="G178" s="133" t="e">
        <f>+[1]passwörter_agenturen!#REF!</f>
        <v>#REF!</v>
      </c>
      <c r="H178" s="133" t="e">
        <f>+[1]passwörter_agenturen!#REF!</f>
        <v>#REF!</v>
      </c>
      <c r="I178" s="133" t="e">
        <f>+[1]passwörter_agenturen!#REF!</f>
        <v>#REF!</v>
      </c>
      <c r="J178" s="133" t="e">
        <f>+[1]passwörter_agenturen!#REF!</f>
        <v>#REF!</v>
      </c>
      <c r="K178" s="133" t="e">
        <f>+[1]passwörter_agenturen!#REF!</f>
        <v>#REF!</v>
      </c>
      <c r="L178" s="133" t="e">
        <f>+[1]passwörter_agenturen!#REF!</f>
        <v>#REF!</v>
      </c>
      <c r="M178" s="133" t="e">
        <f>+[1]passwörter_agenturen!#REF!</f>
        <v>#REF!</v>
      </c>
      <c r="N178" s="133" t="e">
        <f>+[1]passwörter_agenturen!#REF!</f>
        <v>#REF!</v>
      </c>
      <c r="O178" s="133" t="e">
        <f>+[1]passwörter_agenturen!#REF!</f>
        <v>#REF!</v>
      </c>
      <c r="P178" s="133" t="e">
        <f>+[1]passwörter_agenturen!#REF!</f>
        <v>#REF!</v>
      </c>
      <c r="Q178" s="133" t="e">
        <f>+[1]passwörter_agenturen!#REF!</f>
        <v>#REF!</v>
      </c>
      <c r="R178" s="133" t="e">
        <f>+[1]passwörter_agenturen!#REF!</f>
        <v>#REF!</v>
      </c>
      <c r="S178" s="133" t="e">
        <f>+[1]passwörter_agenturen!#REF!</f>
        <v>#REF!</v>
      </c>
      <c r="T178" s="133" t="e">
        <f>+[1]passwörter_agenturen!#REF!</f>
        <v>#REF!</v>
      </c>
      <c r="U178" s="133" t="e">
        <f>+[1]passwörter_agenturen!#REF!</f>
        <v>#REF!</v>
      </c>
      <c r="V178" s="133" t="e">
        <f>+[1]passwörter_agenturen!#REF!</f>
        <v>#REF!</v>
      </c>
      <c r="W178" s="133" t="e">
        <f>+[1]passwörter_agenturen!#REF!</f>
        <v>#REF!</v>
      </c>
      <c r="X178" s="133" t="e">
        <f>+[1]passwörter_agenturen!#REF!</f>
        <v>#REF!</v>
      </c>
      <c r="Y178" s="133" t="e">
        <f>+[1]passwörter_agenturen!#REF!</f>
        <v>#REF!</v>
      </c>
      <c r="Z178" s="133" t="e">
        <f>+[1]passwörter_agenturen!#REF!</f>
        <v>#REF!</v>
      </c>
    </row>
    <row r="179" spans="1:26" x14ac:dyDescent="0.25">
      <c r="A179" s="132" t="e">
        <f>+[1]passwörter_agenturen!#REF!</f>
        <v>#REF!</v>
      </c>
      <c r="B179" s="133" t="e">
        <f>+[1]passwörter_agenturen!#REF!</f>
        <v>#REF!</v>
      </c>
      <c r="C179" s="133" t="e">
        <f>+[1]passwörter_agenturen!#REF!</f>
        <v>#REF!</v>
      </c>
      <c r="D179" s="133" t="e">
        <f>+[1]passwörter_agenturen!#REF!</f>
        <v>#REF!</v>
      </c>
      <c r="E179" s="133" t="e">
        <f>+[1]passwörter_agenturen!#REF!</f>
        <v>#REF!</v>
      </c>
      <c r="F179" s="133" t="e">
        <f>+[1]passwörter_agenturen!#REF!</f>
        <v>#REF!</v>
      </c>
      <c r="G179" s="133" t="e">
        <f>+[1]passwörter_agenturen!#REF!</f>
        <v>#REF!</v>
      </c>
      <c r="H179" s="133" t="e">
        <f>+[1]passwörter_agenturen!#REF!</f>
        <v>#REF!</v>
      </c>
      <c r="I179" s="133" t="e">
        <f>+[1]passwörter_agenturen!#REF!</f>
        <v>#REF!</v>
      </c>
      <c r="J179" s="133" t="e">
        <f>+[1]passwörter_agenturen!#REF!</f>
        <v>#REF!</v>
      </c>
      <c r="K179" s="133" t="e">
        <f>+[1]passwörter_agenturen!#REF!</f>
        <v>#REF!</v>
      </c>
      <c r="L179" s="133" t="e">
        <f>+[1]passwörter_agenturen!#REF!</f>
        <v>#REF!</v>
      </c>
      <c r="M179" s="133" t="e">
        <f>+[1]passwörter_agenturen!#REF!</f>
        <v>#REF!</v>
      </c>
      <c r="N179" s="133" t="e">
        <f>+[1]passwörter_agenturen!#REF!</f>
        <v>#REF!</v>
      </c>
      <c r="O179" s="133" t="e">
        <f>+[1]passwörter_agenturen!#REF!</f>
        <v>#REF!</v>
      </c>
      <c r="P179" s="133" t="e">
        <f>+[1]passwörter_agenturen!#REF!</f>
        <v>#REF!</v>
      </c>
      <c r="Q179" s="133" t="e">
        <f>+[1]passwörter_agenturen!#REF!</f>
        <v>#REF!</v>
      </c>
      <c r="R179" s="133" t="e">
        <f>+[1]passwörter_agenturen!#REF!</f>
        <v>#REF!</v>
      </c>
      <c r="S179" s="133" t="e">
        <f>+[1]passwörter_agenturen!#REF!</f>
        <v>#REF!</v>
      </c>
      <c r="T179" s="133" t="e">
        <f>+[1]passwörter_agenturen!#REF!</f>
        <v>#REF!</v>
      </c>
      <c r="U179" s="133" t="e">
        <f>+[1]passwörter_agenturen!#REF!</f>
        <v>#REF!</v>
      </c>
      <c r="V179" s="133" t="e">
        <f>+[1]passwörter_agenturen!#REF!</f>
        <v>#REF!</v>
      </c>
      <c r="W179" s="133" t="e">
        <f>+[1]passwörter_agenturen!#REF!</f>
        <v>#REF!</v>
      </c>
      <c r="X179" s="133" t="e">
        <f>+[1]passwörter_agenturen!#REF!</f>
        <v>#REF!</v>
      </c>
      <c r="Y179" s="133" t="e">
        <f>+[1]passwörter_agenturen!#REF!</f>
        <v>#REF!</v>
      </c>
      <c r="Z179" s="133" t="e">
        <f>+[1]passwörter_agenturen!#REF!</f>
        <v>#REF!</v>
      </c>
    </row>
    <row r="180" spans="1:26" x14ac:dyDescent="0.25">
      <c r="A180" s="132" t="e">
        <f>+[1]passwörter_agenturen!#REF!</f>
        <v>#REF!</v>
      </c>
      <c r="B180" s="133" t="e">
        <f>+[1]passwörter_agenturen!#REF!</f>
        <v>#REF!</v>
      </c>
      <c r="C180" s="133" t="e">
        <f>+[1]passwörter_agenturen!#REF!</f>
        <v>#REF!</v>
      </c>
      <c r="D180" s="133" t="e">
        <f>+[1]passwörter_agenturen!#REF!</f>
        <v>#REF!</v>
      </c>
      <c r="E180" s="133" t="e">
        <f>+[1]passwörter_agenturen!#REF!</f>
        <v>#REF!</v>
      </c>
      <c r="F180" s="133" t="e">
        <f>+[1]passwörter_agenturen!#REF!</f>
        <v>#REF!</v>
      </c>
      <c r="G180" s="133" t="e">
        <f>+[1]passwörter_agenturen!#REF!</f>
        <v>#REF!</v>
      </c>
      <c r="H180" s="133" t="e">
        <f>+[1]passwörter_agenturen!#REF!</f>
        <v>#REF!</v>
      </c>
      <c r="I180" s="133" t="e">
        <f>+[1]passwörter_agenturen!#REF!</f>
        <v>#REF!</v>
      </c>
      <c r="J180" s="133" t="e">
        <f>+[1]passwörter_agenturen!#REF!</f>
        <v>#REF!</v>
      </c>
      <c r="K180" s="133" t="e">
        <f>+[1]passwörter_agenturen!#REF!</f>
        <v>#REF!</v>
      </c>
      <c r="L180" s="133" t="e">
        <f>+[1]passwörter_agenturen!#REF!</f>
        <v>#REF!</v>
      </c>
      <c r="M180" s="133" t="e">
        <f>+[1]passwörter_agenturen!#REF!</f>
        <v>#REF!</v>
      </c>
      <c r="N180" s="133" t="e">
        <f>+[1]passwörter_agenturen!#REF!</f>
        <v>#REF!</v>
      </c>
      <c r="O180" s="133" t="e">
        <f>+[1]passwörter_agenturen!#REF!</f>
        <v>#REF!</v>
      </c>
      <c r="P180" s="133" t="e">
        <f>+[1]passwörter_agenturen!#REF!</f>
        <v>#REF!</v>
      </c>
      <c r="Q180" s="133" t="e">
        <f>+[1]passwörter_agenturen!#REF!</f>
        <v>#REF!</v>
      </c>
      <c r="R180" s="133" t="e">
        <f>+[1]passwörter_agenturen!#REF!</f>
        <v>#REF!</v>
      </c>
      <c r="S180" s="133" t="e">
        <f>+[1]passwörter_agenturen!#REF!</f>
        <v>#REF!</v>
      </c>
      <c r="T180" s="133" t="e">
        <f>+[1]passwörter_agenturen!#REF!</f>
        <v>#REF!</v>
      </c>
      <c r="U180" s="133" t="e">
        <f>+[1]passwörter_agenturen!#REF!</f>
        <v>#REF!</v>
      </c>
      <c r="V180" s="133" t="e">
        <f>+[1]passwörter_agenturen!#REF!</f>
        <v>#REF!</v>
      </c>
      <c r="W180" s="133" t="e">
        <f>+[1]passwörter_agenturen!#REF!</f>
        <v>#REF!</v>
      </c>
      <c r="X180" s="133" t="e">
        <f>+[1]passwörter_agenturen!#REF!</f>
        <v>#REF!</v>
      </c>
      <c r="Y180" s="133" t="e">
        <f>+[1]passwörter_agenturen!#REF!</f>
        <v>#REF!</v>
      </c>
      <c r="Z180" s="133" t="e">
        <f>+[1]passwörter_agenturen!#REF!</f>
        <v>#REF!</v>
      </c>
    </row>
    <row r="181" spans="1:26" x14ac:dyDescent="0.25">
      <c r="A181" s="132" t="e">
        <f>+[1]passwörter_agenturen!#REF!</f>
        <v>#REF!</v>
      </c>
      <c r="B181" s="133" t="e">
        <f>+[1]passwörter_agenturen!#REF!</f>
        <v>#REF!</v>
      </c>
      <c r="C181" s="133" t="e">
        <f>+[1]passwörter_agenturen!#REF!</f>
        <v>#REF!</v>
      </c>
      <c r="D181" s="133" t="e">
        <f>+[1]passwörter_agenturen!#REF!</f>
        <v>#REF!</v>
      </c>
      <c r="E181" s="133" t="e">
        <f>+[1]passwörter_agenturen!#REF!</f>
        <v>#REF!</v>
      </c>
      <c r="F181" s="133" t="e">
        <f>+[1]passwörter_agenturen!#REF!</f>
        <v>#REF!</v>
      </c>
      <c r="G181" s="133" t="e">
        <f>+[1]passwörter_agenturen!#REF!</f>
        <v>#REF!</v>
      </c>
      <c r="H181" s="133" t="e">
        <f>+[1]passwörter_agenturen!#REF!</f>
        <v>#REF!</v>
      </c>
      <c r="I181" s="133" t="e">
        <f>+[1]passwörter_agenturen!#REF!</f>
        <v>#REF!</v>
      </c>
      <c r="J181" s="133" t="e">
        <f>+[1]passwörter_agenturen!#REF!</f>
        <v>#REF!</v>
      </c>
      <c r="K181" s="133" t="e">
        <f>+[1]passwörter_agenturen!#REF!</f>
        <v>#REF!</v>
      </c>
      <c r="L181" s="133" t="e">
        <f>+[1]passwörter_agenturen!#REF!</f>
        <v>#REF!</v>
      </c>
      <c r="M181" s="133" t="e">
        <f>+[1]passwörter_agenturen!#REF!</f>
        <v>#REF!</v>
      </c>
      <c r="N181" s="133" t="e">
        <f>+[1]passwörter_agenturen!#REF!</f>
        <v>#REF!</v>
      </c>
      <c r="O181" s="133" t="e">
        <f>+[1]passwörter_agenturen!#REF!</f>
        <v>#REF!</v>
      </c>
      <c r="P181" s="133" t="e">
        <f>+[1]passwörter_agenturen!#REF!</f>
        <v>#REF!</v>
      </c>
      <c r="Q181" s="133" t="e">
        <f>+[1]passwörter_agenturen!#REF!</f>
        <v>#REF!</v>
      </c>
      <c r="R181" s="133" t="e">
        <f>+[1]passwörter_agenturen!#REF!</f>
        <v>#REF!</v>
      </c>
      <c r="S181" s="133" t="e">
        <f>+[1]passwörter_agenturen!#REF!</f>
        <v>#REF!</v>
      </c>
      <c r="T181" s="133" t="e">
        <f>+[1]passwörter_agenturen!#REF!</f>
        <v>#REF!</v>
      </c>
      <c r="U181" s="133" t="e">
        <f>+[1]passwörter_agenturen!#REF!</f>
        <v>#REF!</v>
      </c>
      <c r="V181" s="133" t="e">
        <f>+[1]passwörter_agenturen!#REF!</f>
        <v>#REF!</v>
      </c>
      <c r="W181" s="133" t="e">
        <f>+[1]passwörter_agenturen!#REF!</f>
        <v>#REF!</v>
      </c>
      <c r="X181" s="133" t="e">
        <f>+[1]passwörter_agenturen!#REF!</f>
        <v>#REF!</v>
      </c>
      <c r="Y181" s="133" t="e">
        <f>+[1]passwörter_agenturen!#REF!</f>
        <v>#REF!</v>
      </c>
      <c r="Z181" s="133" t="e">
        <f>+[1]passwörter_agenturen!#REF!</f>
        <v>#REF!</v>
      </c>
    </row>
    <row r="182" spans="1:26" x14ac:dyDescent="0.25">
      <c r="A182" s="132" t="e">
        <f>+[1]passwörter_agenturen!#REF!</f>
        <v>#REF!</v>
      </c>
      <c r="B182" s="133" t="e">
        <f>+[1]passwörter_agenturen!#REF!</f>
        <v>#REF!</v>
      </c>
      <c r="C182" s="133" t="e">
        <f>+[1]passwörter_agenturen!#REF!</f>
        <v>#REF!</v>
      </c>
      <c r="D182" s="133" t="e">
        <f>+[1]passwörter_agenturen!#REF!</f>
        <v>#REF!</v>
      </c>
      <c r="E182" s="133" t="e">
        <f>+[1]passwörter_agenturen!#REF!</f>
        <v>#REF!</v>
      </c>
      <c r="F182" s="133" t="e">
        <f>+[1]passwörter_agenturen!#REF!</f>
        <v>#REF!</v>
      </c>
      <c r="G182" s="133" t="e">
        <f>+[1]passwörter_agenturen!#REF!</f>
        <v>#REF!</v>
      </c>
      <c r="H182" s="133" t="e">
        <f>+[1]passwörter_agenturen!#REF!</f>
        <v>#REF!</v>
      </c>
      <c r="I182" s="133" t="e">
        <f>+[1]passwörter_agenturen!#REF!</f>
        <v>#REF!</v>
      </c>
      <c r="J182" s="133" t="e">
        <f>+[1]passwörter_agenturen!#REF!</f>
        <v>#REF!</v>
      </c>
      <c r="K182" s="133" t="e">
        <f>+[1]passwörter_agenturen!#REF!</f>
        <v>#REF!</v>
      </c>
      <c r="L182" s="133" t="e">
        <f>+[1]passwörter_agenturen!#REF!</f>
        <v>#REF!</v>
      </c>
      <c r="M182" s="133" t="e">
        <f>+[1]passwörter_agenturen!#REF!</f>
        <v>#REF!</v>
      </c>
      <c r="N182" s="133" t="e">
        <f>+[1]passwörter_agenturen!#REF!</f>
        <v>#REF!</v>
      </c>
      <c r="O182" s="133" t="e">
        <f>+[1]passwörter_agenturen!#REF!</f>
        <v>#REF!</v>
      </c>
      <c r="P182" s="133" t="e">
        <f>+[1]passwörter_agenturen!#REF!</f>
        <v>#REF!</v>
      </c>
      <c r="Q182" s="133" t="e">
        <f>+[1]passwörter_agenturen!#REF!</f>
        <v>#REF!</v>
      </c>
      <c r="R182" s="133" t="e">
        <f>+[1]passwörter_agenturen!#REF!</f>
        <v>#REF!</v>
      </c>
      <c r="S182" s="133" t="e">
        <f>+[1]passwörter_agenturen!#REF!</f>
        <v>#REF!</v>
      </c>
      <c r="T182" s="133" t="e">
        <f>+[1]passwörter_agenturen!#REF!</f>
        <v>#REF!</v>
      </c>
      <c r="U182" s="133" t="e">
        <f>+[1]passwörter_agenturen!#REF!</f>
        <v>#REF!</v>
      </c>
      <c r="V182" s="133" t="e">
        <f>+[1]passwörter_agenturen!#REF!</f>
        <v>#REF!</v>
      </c>
      <c r="W182" s="133" t="e">
        <f>+[1]passwörter_agenturen!#REF!</f>
        <v>#REF!</v>
      </c>
      <c r="X182" s="133" t="e">
        <f>+[1]passwörter_agenturen!#REF!</f>
        <v>#REF!</v>
      </c>
      <c r="Y182" s="133" t="e">
        <f>+[1]passwörter_agenturen!#REF!</f>
        <v>#REF!</v>
      </c>
      <c r="Z182" s="133" t="e">
        <f>+[1]passwörter_agenturen!#REF!</f>
        <v>#REF!</v>
      </c>
    </row>
    <row r="183" spans="1:26" x14ac:dyDescent="0.25">
      <c r="A183" s="132" t="e">
        <f>+[1]passwörter_agenturen!#REF!</f>
        <v>#REF!</v>
      </c>
      <c r="B183" s="133" t="e">
        <f>+[1]passwörter_agenturen!#REF!</f>
        <v>#REF!</v>
      </c>
      <c r="C183" s="133" t="e">
        <f>+[1]passwörter_agenturen!#REF!</f>
        <v>#REF!</v>
      </c>
      <c r="D183" s="133" t="e">
        <f>+[1]passwörter_agenturen!#REF!</f>
        <v>#REF!</v>
      </c>
      <c r="E183" s="133" t="e">
        <f>+[1]passwörter_agenturen!#REF!</f>
        <v>#REF!</v>
      </c>
      <c r="F183" s="133" t="e">
        <f>+[1]passwörter_agenturen!#REF!</f>
        <v>#REF!</v>
      </c>
      <c r="G183" s="133" t="e">
        <f>+[1]passwörter_agenturen!#REF!</f>
        <v>#REF!</v>
      </c>
      <c r="H183" s="133" t="e">
        <f>+[1]passwörter_agenturen!#REF!</f>
        <v>#REF!</v>
      </c>
      <c r="I183" s="133" t="e">
        <f>+[1]passwörter_agenturen!#REF!</f>
        <v>#REF!</v>
      </c>
      <c r="J183" s="133" t="e">
        <f>+[1]passwörter_agenturen!#REF!</f>
        <v>#REF!</v>
      </c>
      <c r="K183" s="133" t="e">
        <f>+[1]passwörter_agenturen!#REF!</f>
        <v>#REF!</v>
      </c>
      <c r="L183" s="133" t="e">
        <f>+[1]passwörter_agenturen!#REF!</f>
        <v>#REF!</v>
      </c>
      <c r="M183" s="133" t="e">
        <f>+[1]passwörter_agenturen!#REF!</f>
        <v>#REF!</v>
      </c>
      <c r="N183" s="133" t="e">
        <f>+[1]passwörter_agenturen!#REF!</f>
        <v>#REF!</v>
      </c>
      <c r="O183" s="133" t="e">
        <f>+[1]passwörter_agenturen!#REF!</f>
        <v>#REF!</v>
      </c>
      <c r="P183" s="133" t="e">
        <f>+[1]passwörter_agenturen!#REF!</f>
        <v>#REF!</v>
      </c>
      <c r="Q183" s="133" t="e">
        <f>+[1]passwörter_agenturen!#REF!</f>
        <v>#REF!</v>
      </c>
      <c r="R183" s="133" t="e">
        <f>+[1]passwörter_agenturen!#REF!</f>
        <v>#REF!</v>
      </c>
      <c r="S183" s="133" t="e">
        <f>+[1]passwörter_agenturen!#REF!</f>
        <v>#REF!</v>
      </c>
      <c r="T183" s="133" t="e">
        <f>+[1]passwörter_agenturen!#REF!</f>
        <v>#REF!</v>
      </c>
      <c r="U183" s="133" t="e">
        <f>+[1]passwörter_agenturen!#REF!</f>
        <v>#REF!</v>
      </c>
      <c r="V183" s="133" t="e">
        <f>+[1]passwörter_agenturen!#REF!</f>
        <v>#REF!</v>
      </c>
      <c r="W183" s="133" t="e">
        <f>+[1]passwörter_agenturen!#REF!</f>
        <v>#REF!</v>
      </c>
      <c r="X183" s="133" t="e">
        <f>+[1]passwörter_agenturen!#REF!</f>
        <v>#REF!</v>
      </c>
      <c r="Y183" s="133" t="e">
        <f>+[1]passwörter_agenturen!#REF!</f>
        <v>#REF!</v>
      </c>
      <c r="Z183" s="133" t="e">
        <f>+[1]passwörter_agenturen!#REF!</f>
        <v>#REF!</v>
      </c>
    </row>
    <row r="184" spans="1:26" x14ac:dyDescent="0.25">
      <c r="A184" s="132" t="e">
        <f>+[1]passwörter_agenturen!#REF!</f>
        <v>#REF!</v>
      </c>
      <c r="B184" s="133" t="e">
        <f>+[1]passwörter_agenturen!#REF!</f>
        <v>#REF!</v>
      </c>
      <c r="C184" s="133" t="e">
        <f>+[1]passwörter_agenturen!#REF!</f>
        <v>#REF!</v>
      </c>
      <c r="D184" s="133" t="e">
        <f>+[1]passwörter_agenturen!#REF!</f>
        <v>#REF!</v>
      </c>
      <c r="E184" s="133" t="e">
        <f>+[1]passwörter_agenturen!#REF!</f>
        <v>#REF!</v>
      </c>
      <c r="F184" s="133" t="e">
        <f>+[1]passwörter_agenturen!#REF!</f>
        <v>#REF!</v>
      </c>
      <c r="G184" s="133" t="e">
        <f>+[1]passwörter_agenturen!#REF!</f>
        <v>#REF!</v>
      </c>
      <c r="H184" s="133" t="e">
        <f>+[1]passwörter_agenturen!#REF!</f>
        <v>#REF!</v>
      </c>
      <c r="I184" s="133" t="e">
        <f>+[1]passwörter_agenturen!#REF!</f>
        <v>#REF!</v>
      </c>
      <c r="J184" s="133" t="e">
        <f>+[1]passwörter_agenturen!#REF!</f>
        <v>#REF!</v>
      </c>
      <c r="K184" s="133" t="e">
        <f>+[1]passwörter_agenturen!#REF!</f>
        <v>#REF!</v>
      </c>
      <c r="L184" s="133" t="e">
        <f>+[1]passwörter_agenturen!#REF!</f>
        <v>#REF!</v>
      </c>
      <c r="M184" s="133" t="e">
        <f>+[1]passwörter_agenturen!#REF!</f>
        <v>#REF!</v>
      </c>
      <c r="N184" s="133" t="e">
        <f>+[1]passwörter_agenturen!#REF!</f>
        <v>#REF!</v>
      </c>
      <c r="O184" s="133" t="e">
        <f>+[1]passwörter_agenturen!#REF!</f>
        <v>#REF!</v>
      </c>
      <c r="P184" s="133" t="e">
        <f>+[1]passwörter_agenturen!#REF!</f>
        <v>#REF!</v>
      </c>
      <c r="Q184" s="133" t="e">
        <f>+[1]passwörter_agenturen!#REF!</f>
        <v>#REF!</v>
      </c>
      <c r="R184" s="133" t="e">
        <f>+[1]passwörter_agenturen!#REF!</f>
        <v>#REF!</v>
      </c>
      <c r="S184" s="133" t="e">
        <f>+[1]passwörter_agenturen!#REF!</f>
        <v>#REF!</v>
      </c>
      <c r="T184" s="133" t="e">
        <f>+[1]passwörter_agenturen!#REF!</f>
        <v>#REF!</v>
      </c>
      <c r="U184" s="133" t="e">
        <f>+[1]passwörter_agenturen!#REF!</f>
        <v>#REF!</v>
      </c>
      <c r="V184" s="133" t="e">
        <f>+[1]passwörter_agenturen!#REF!</f>
        <v>#REF!</v>
      </c>
      <c r="W184" s="133" t="e">
        <f>+[1]passwörter_agenturen!#REF!</f>
        <v>#REF!</v>
      </c>
      <c r="X184" s="133" t="e">
        <f>+[1]passwörter_agenturen!#REF!</f>
        <v>#REF!</v>
      </c>
      <c r="Y184" s="133" t="e">
        <f>+[1]passwörter_agenturen!#REF!</f>
        <v>#REF!</v>
      </c>
      <c r="Z184" s="133" t="e">
        <f>+[1]passwörter_agenturen!#REF!</f>
        <v>#REF!</v>
      </c>
    </row>
    <row r="185" spans="1:26" x14ac:dyDescent="0.25">
      <c r="A185" s="132" t="e">
        <f>+[1]passwörter_agenturen!#REF!</f>
        <v>#REF!</v>
      </c>
      <c r="B185" s="133" t="e">
        <f>+[1]passwörter_agenturen!#REF!</f>
        <v>#REF!</v>
      </c>
      <c r="C185" s="133" t="e">
        <f>+[1]passwörter_agenturen!#REF!</f>
        <v>#REF!</v>
      </c>
      <c r="D185" s="133" t="e">
        <f>+[1]passwörter_agenturen!#REF!</f>
        <v>#REF!</v>
      </c>
      <c r="E185" s="133" t="e">
        <f>+[1]passwörter_agenturen!#REF!</f>
        <v>#REF!</v>
      </c>
      <c r="F185" s="133" t="e">
        <f>+[1]passwörter_agenturen!#REF!</f>
        <v>#REF!</v>
      </c>
      <c r="G185" s="133" t="e">
        <f>+[1]passwörter_agenturen!#REF!</f>
        <v>#REF!</v>
      </c>
      <c r="H185" s="133" t="e">
        <f>+[1]passwörter_agenturen!#REF!</f>
        <v>#REF!</v>
      </c>
      <c r="I185" s="133" t="e">
        <f>+[1]passwörter_agenturen!#REF!</f>
        <v>#REF!</v>
      </c>
      <c r="J185" s="133" t="e">
        <f>+[1]passwörter_agenturen!#REF!</f>
        <v>#REF!</v>
      </c>
      <c r="K185" s="133" t="e">
        <f>+[1]passwörter_agenturen!#REF!</f>
        <v>#REF!</v>
      </c>
      <c r="L185" s="133" t="e">
        <f>+[1]passwörter_agenturen!#REF!</f>
        <v>#REF!</v>
      </c>
      <c r="M185" s="133" t="e">
        <f>+[1]passwörter_agenturen!#REF!</f>
        <v>#REF!</v>
      </c>
      <c r="N185" s="133" t="e">
        <f>+[1]passwörter_agenturen!#REF!</f>
        <v>#REF!</v>
      </c>
      <c r="O185" s="133" t="e">
        <f>+[1]passwörter_agenturen!#REF!</f>
        <v>#REF!</v>
      </c>
      <c r="P185" s="133" t="e">
        <f>+[1]passwörter_agenturen!#REF!</f>
        <v>#REF!</v>
      </c>
      <c r="Q185" s="133" t="e">
        <f>+[1]passwörter_agenturen!#REF!</f>
        <v>#REF!</v>
      </c>
      <c r="R185" s="133" t="e">
        <f>+[1]passwörter_agenturen!#REF!</f>
        <v>#REF!</v>
      </c>
      <c r="S185" s="133" t="e">
        <f>+[1]passwörter_agenturen!#REF!</f>
        <v>#REF!</v>
      </c>
      <c r="T185" s="133" t="e">
        <f>+[1]passwörter_agenturen!#REF!</f>
        <v>#REF!</v>
      </c>
      <c r="U185" s="133" t="e">
        <f>+[1]passwörter_agenturen!#REF!</f>
        <v>#REF!</v>
      </c>
      <c r="V185" s="133" t="e">
        <f>+[1]passwörter_agenturen!#REF!</f>
        <v>#REF!</v>
      </c>
      <c r="W185" s="133" t="e">
        <f>+[1]passwörter_agenturen!#REF!</f>
        <v>#REF!</v>
      </c>
      <c r="X185" s="133" t="e">
        <f>+[1]passwörter_agenturen!#REF!</f>
        <v>#REF!</v>
      </c>
      <c r="Y185" s="133" t="e">
        <f>+[1]passwörter_agenturen!#REF!</f>
        <v>#REF!</v>
      </c>
      <c r="Z185" s="133" t="e">
        <f>+[1]passwörter_agenturen!#REF!</f>
        <v>#REF!</v>
      </c>
    </row>
    <row r="186" spans="1:26" x14ac:dyDescent="0.25">
      <c r="A186" s="132" t="str">
        <f>+'ex BH PW'!H217</f>
        <v>VKB Versicherungskammer Bayern (Sach)</v>
      </c>
      <c r="B186" s="133" t="str">
        <f>+'ex BH PW'!J217</f>
        <v>935917</v>
      </c>
      <c r="C186" s="133" t="str">
        <f>+'ex BH PW'!I217</f>
        <v>935917</v>
      </c>
      <c r="D186" s="133">
        <f>+'ex BH PW'!K217</f>
        <v>0</v>
      </c>
      <c r="E186" s="133">
        <f>+'ex BH PW'!L217</f>
        <v>0</v>
      </c>
      <c r="F186" s="133">
        <f>+'ex BH PW'!M217</f>
        <v>0</v>
      </c>
      <c r="G186" s="133">
        <f>+'ex BH PW'!N217</f>
        <v>0</v>
      </c>
      <c r="H186" s="133">
        <f>+'ex BH PW'!P217</f>
        <v>0</v>
      </c>
      <c r="I186" s="133">
        <f>+'ex BH PW'!Q217</f>
        <v>0</v>
      </c>
      <c r="J186" s="133">
        <f>+'ex BH PW'!R217</f>
        <v>0</v>
      </c>
      <c r="K186" s="133">
        <f>+'ex BH PW'!S217</f>
        <v>0</v>
      </c>
      <c r="L186" s="133">
        <f>+'ex BH PW'!T217</f>
        <v>0</v>
      </c>
      <c r="M186" s="133">
        <f>+'ex BH PW'!U217</f>
        <v>0</v>
      </c>
      <c r="N186" s="133">
        <f>+'ex BH PW'!V217</f>
        <v>0</v>
      </c>
      <c r="O186" s="133">
        <f>+'ex BH PW'!W217</f>
        <v>0</v>
      </c>
      <c r="P186" s="133">
        <f>+'ex BH PW'!X217</f>
        <v>0</v>
      </c>
      <c r="Q186" s="133">
        <f>+'ex BH PW'!Y217</f>
        <v>0</v>
      </c>
      <c r="R186" s="133">
        <f>+'ex BH PW'!Z217</f>
        <v>0</v>
      </c>
      <c r="S186" s="133">
        <f>+'ex BH PW'!AA217</f>
        <v>0</v>
      </c>
      <c r="T186" s="133">
        <f>+'ex BH PW'!AB217</f>
        <v>0</v>
      </c>
      <c r="U186" s="133">
        <f>+'ex BH PW'!AC217</f>
        <v>0</v>
      </c>
      <c r="V186" s="133">
        <f>+'ex BH PW'!AD217</f>
        <v>0</v>
      </c>
      <c r="W186" s="133">
        <f>+'ex BH PW'!AE217</f>
        <v>0</v>
      </c>
      <c r="X186" s="133">
        <f>+'ex BH PW'!AF217</f>
        <v>0</v>
      </c>
      <c r="Y186" s="133">
        <f>+'ex BH PW'!AG217</f>
        <v>0</v>
      </c>
      <c r="Z186" s="133">
        <f>+'ex BH PW'!AH217</f>
        <v>0</v>
      </c>
    </row>
    <row r="187" spans="1:26" x14ac:dyDescent="0.25">
      <c r="A187" s="132" t="str">
        <f>+'ex BH PW'!H218</f>
        <v>VERTI (ex Direct Line)</v>
      </c>
      <c r="B187" s="133" t="str">
        <f>+'ex BH PW'!J218</f>
        <v>10423</v>
      </c>
      <c r="C187" s="133">
        <f>+'ex BH PW'!I218</f>
        <v>0</v>
      </c>
      <c r="D187" s="133">
        <f>+'ex BH PW'!K218</f>
        <v>0</v>
      </c>
      <c r="E187" s="133">
        <f>+'ex BH PW'!L218</f>
        <v>0</v>
      </c>
      <c r="F187" s="133">
        <f>+'ex BH PW'!M218</f>
        <v>0</v>
      </c>
      <c r="G187" s="133">
        <f>+'ex BH PW'!N218</f>
        <v>0</v>
      </c>
      <c r="H187" s="133">
        <f>+'ex BH PW'!P218</f>
        <v>0</v>
      </c>
      <c r="I187" s="133">
        <f>+'ex BH PW'!Q218</f>
        <v>0</v>
      </c>
      <c r="J187" s="133">
        <f>+'ex BH PW'!R218</f>
        <v>0</v>
      </c>
      <c r="K187" s="133">
        <f>+'ex BH PW'!S218</f>
        <v>0</v>
      </c>
      <c r="L187" s="133">
        <f>+'ex BH PW'!T218</f>
        <v>0</v>
      </c>
      <c r="M187" s="133">
        <f>+'ex BH PW'!U218</f>
        <v>0</v>
      </c>
      <c r="N187" s="133">
        <f>+'ex BH PW'!V218</f>
        <v>0</v>
      </c>
      <c r="O187" s="133">
        <f>+'ex BH PW'!W218</f>
        <v>0</v>
      </c>
      <c r="P187" s="133">
        <f>+'ex BH PW'!X218</f>
        <v>0</v>
      </c>
      <c r="Q187" s="133">
        <f>+'ex BH PW'!Y218</f>
        <v>0</v>
      </c>
      <c r="R187" s="133">
        <f>+'ex BH PW'!Z218</f>
        <v>0</v>
      </c>
      <c r="S187" s="133">
        <f>+'ex BH PW'!AA218</f>
        <v>0</v>
      </c>
      <c r="T187" s="133">
        <f>+'ex BH PW'!AB218</f>
        <v>0</v>
      </c>
      <c r="U187" s="133">
        <f>+'ex BH PW'!AC218</f>
        <v>0</v>
      </c>
      <c r="V187" s="133">
        <f>+'ex BH PW'!AD218</f>
        <v>0</v>
      </c>
      <c r="W187" s="133">
        <f>+'ex BH PW'!AE218</f>
        <v>0</v>
      </c>
      <c r="X187" s="133">
        <f>+'ex BH PW'!AF218</f>
        <v>0</v>
      </c>
      <c r="Y187" s="133">
        <f>+'ex BH PW'!AG218</f>
        <v>0</v>
      </c>
      <c r="Z187" s="133">
        <f>+'ex BH PW'!AH218</f>
        <v>0</v>
      </c>
    </row>
    <row r="188" spans="1:26" x14ac:dyDescent="0.25">
      <c r="A188" s="132" t="str">
        <f>+'ex BH PW'!H219</f>
        <v>VHV</v>
      </c>
      <c r="B188" s="133" t="str">
        <f>+'ex BH PW'!J219</f>
        <v>057383000</v>
      </c>
      <c r="C188" s="133" t="str">
        <f>+'ex BH PW'!I219</f>
        <v>501588000</v>
      </c>
      <c r="D188" s="133" t="str">
        <f>+'ex BH PW'!K219</f>
        <v>019750452</v>
      </c>
      <c r="E188" s="133" t="str">
        <f>+'ex BH PW'!L219</f>
        <v>058995489</v>
      </c>
      <c r="F188" s="133">
        <f>+'ex BH PW'!M219</f>
        <v>0</v>
      </c>
      <c r="G188" s="133">
        <f>+'ex BH PW'!N219</f>
        <v>0</v>
      </c>
      <c r="H188" s="133">
        <f>+'ex BH PW'!P219</f>
        <v>0</v>
      </c>
      <c r="I188" s="133">
        <f>+'ex BH PW'!Q219</f>
        <v>0</v>
      </c>
      <c r="J188" s="133">
        <f>+'ex BH PW'!R219</f>
        <v>0</v>
      </c>
      <c r="K188" s="133">
        <f>+'ex BH PW'!S219</f>
        <v>0</v>
      </c>
      <c r="L188" s="133">
        <f>+'ex BH PW'!T219</f>
        <v>0</v>
      </c>
      <c r="M188" s="133">
        <f>+'ex BH PW'!U219</f>
        <v>0</v>
      </c>
      <c r="N188" s="133">
        <f>+'ex BH PW'!V219</f>
        <v>0</v>
      </c>
      <c r="O188" s="133" t="str">
        <f>+'ex BH PW'!W219</f>
        <v>057383001</v>
      </c>
      <c r="P188" s="133">
        <f>+'ex BH PW'!X219</f>
        <v>0</v>
      </c>
      <c r="Q188" s="133">
        <f>+'ex BH PW'!Y219</f>
        <v>0</v>
      </c>
      <c r="R188" s="133">
        <f>+'ex BH PW'!Z219</f>
        <v>0</v>
      </c>
      <c r="S188" s="133">
        <f>+'ex BH PW'!AA219</f>
        <v>0</v>
      </c>
      <c r="T188" s="133">
        <f>+'ex BH PW'!AB219</f>
        <v>0</v>
      </c>
      <c r="U188" s="133">
        <f>+'ex BH PW'!AC219</f>
        <v>0</v>
      </c>
      <c r="V188" s="133">
        <f>+'ex BH PW'!AD219</f>
        <v>0</v>
      </c>
      <c r="W188" s="133">
        <f>+'ex BH PW'!AE219</f>
        <v>0</v>
      </c>
      <c r="X188" s="133" t="str">
        <f>+'ex BH PW'!AF219</f>
        <v>03375</v>
      </c>
      <c r="Y188" s="133">
        <f>+'ex BH PW'!AG219</f>
        <v>0</v>
      </c>
      <c r="Z188" s="133">
        <f>+'ex BH PW'!AH219</f>
        <v>0</v>
      </c>
    </row>
    <row r="189" spans="1:26" x14ac:dyDescent="0.25">
      <c r="A189" s="132" t="str">
        <f>+'ex BH PW'!H220</f>
        <v>Victoria (alt)</v>
      </c>
      <c r="B189" s="133" t="str">
        <f>+'ex BH PW'!J220</f>
        <v>00375-3519</v>
      </c>
      <c r="C189" s="133">
        <f>+'ex BH PW'!I220</f>
        <v>0</v>
      </c>
      <c r="D189" s="133">
        <f>+'ex BH PW'!K220</f>
        <v>0</v>
      </c>
      <c r="E189" s="133">
        <f>+'ex BH PW'!L220</f>
        <v>0</v>
      </c>
      <c r="F189" s="133">
        <f>+'ex BH PW'!M220</f>
        <v>0</v>
      </c>
      <c r="G189" s="133">
        <f>+'ex BH PW'!N220</f>
        <v>0</v>
      </c>
      <c r="H189" s="133">
        <f>+'ex BH PW'!P220</f>
        <v>0</v>
      </c>
      <c r="I189" s="133">
        <f>+'ex BH PW'!Q220</f>
        <v>0</v>
      </c>
      <c r="J189" s="133">
        <f>+'ex BH PW'!R220</f>
        <v>0</v>
      </c>
      <c r="K189" s="133">
        <f>+'ex BH PW'!S220</f>
        <v>0</v>
      </c>
      <c r="L189" s="133">
        <f>+'ex BH PW'!T220</f>
        <v>0</v>
      </c>
      <c r="M189" s="133">
        <f>+'ex BH PW'!U220</f>
        <v>0</v>
      </c>
      <c r="N189" s="133">
        <f>+'ex BH PW'!V220</f>
        <v>0</v>
      </c>
      <c r="O189" s="133">
        <f>+'ex BH PW'!W220</f>
        <v>0</v>
      </c>
      <c r="P189" s="133">
        <f>+'ex BH PW'!X220</f>
        <v>0</v>
      </c>
      <c r="Q189" s="133">
        <f>+'ex BH PW'!Y220</f>
        <v>0</v>
      </c>
      <c r="R189" s="133">
        <f>+'ex BH PW'!Z220</f>
        <v>0</v>
      </c>
      <c r="S189" s="133">
        <f>+'ex BH PW'!AA220</f>
        <v>0</v>
      </c>
      <c r="T189" s="133">
        <f>+'ex BH PW'!AB220</f>
        <v>0</v>
      </c>
      <c r="U189" s="133">
        <f>+'ex BH PW'!AC220</f>
        <v>0</v>
      </c>
      <c r="V189" s="133">
        <f>+'ex BH PW'!AD220</f>
        <v>0</v>
      </c>
      <c r="W189" s="133">
        <f>+'ex BH PW'!AE220</f>
        <v>0</v>
      </c>
      <c r="X189" s="133">
        <f>+'ex BH PW'!AF220</f>
        <v>0</v>
      </c>
      <c r="Y189" s="133">
        <f>+'ex BH PW'!AG220</f>
        <v>0</v>
      </c>
      <c r="Z189" s="133">
        <f>+'ex BH PW'!AH220</f>
        <v>0</v>
      </c>
    </row>
    <row r="190" spans="1:26" x14ac:dyDescent="0.25">
      <c r="A190" s="132" t="str">
        <f>+'ex BH PW'!H221</f>
        <v>Volkswohl-Bund</v>
      </c>
      <c r="B190" s="133" t="str">
        <f>+'ex BH PW'!J221</f>
        <v>184/204</v>
      </c>
      <c r="C190" s="133" t="str">
        <f>+'ex BH PW'!I221</f>
        <v>184/973</v>
      </c>
      <c r="D190" s="133">
        <f>+'ex BH PW'!K221</f>
        <v>0</v>
      </c>
      <c r="E190" s="133">
        <f>+'ex BH PW'!L221</f>
        <v>0</v>
      </c>
      <c r="F190" s="133">
        <f>+'ex BH PW'!M221</f>
        <v>0</v>
      </c>
      <c r="G190" s="133">
        <f>+'ex BH PW'!N221</f>
        <v>0</v>
      </c>
      <c r="H190" s="133">
        <f>+'ex BH PW'!P221</f>
        <v>0</v>
      </c>
      <c r="I190" s="133">
        <f>+'ex BH PW'!Q221</f>
        <v>0</v>
      </c>
      <c r="J190" s="133">
        <f>+'ex BH PW'!R221</f>
        <v>0</v>
      </c>
      <c r="K190" s="133">
        <f>+'ex BH PW'!S221</f>
        <v>0</v>
      </c>
      <c r="L190" s="133">
        <f>+'ex BH PW'!T221</f>
        <v>0</v>
      </c>
      <c r="M190" s="133">
        <f>+'ex BH PW'!U221</f>
        <v>0</v>
      </c>
      <c r="N190" s="133">
        <f>+'ex BH PW'!V221</f>
        <v>0</v>
      </c>
      <c r="O190" s="133">
        <f>+'ex BH PW'!W221</f>
        <v>0</v>
      </c>
      <c r="P190" s="133">
        <f>+'ex BH PW'!X221</f>
        <v>0</v>
      </c>
      <c r="Q190" s="133">
        <f>+'ex BH PW'!Y221</f>
        <v>0</v>
      </c>
      <c r="R190" s="133">
        <f>+'ex BH PW'!Z221</f>
        <v>0</v>
      </c>
      <c r="S190" s="133">
        <f>+'ex BH PW'!AA221</f>
        <v>0</v>
      </c>
      <c r="T190" s="133">
        <f>+'ex BH PW'!AB221</f>
        <v>0</v>
      </c>
      <c r="U190" s="133">
        <f>+'ex BH PW'!AC221</f>
        <v>0</v>
      </c>
      <c r="V190" s="133">
        <f>+'ex BH PW'!AD221</f>
        <v>0</v>
      </c>
      <c r="W190" s="133">
        <f>+'ex BH PW'!AE221</f>
        <v>0</v>
      </c>
      <c r="X190" s="133">
        <f>+'ex BH PW'!AF221</f>
        <v>0</v>
      </c>
      <c r="Y190" s="133">
        <f>+'ex BH PW'!AG221</f>
        <v>0</v>
      </c>
      <c r="Z190" s="133">
        <f>+'ex BH PW'!AH221</f>
        <v>0</v>
      </c>
    </row>
    <row r="191" spans="1:26" x14ac:dyDescent="0.25">
      <c r="A191" s="132" t="str">
        <f>+'ex BH PW'!H222</f>
        <v>Volkswohl-Bund (prokundo)</v>
      </c>
      <c r="B191" s="133" t="str">
        <f>+'ex BH PW'!J222</f>
        <v>184/204</v>
      </c>
      <c r="C191" s="133" t="str">
        <f>+'ex BH PW'!I222</f>
        <v>184/973</v>
      </c>
      <c r="D191" s="133">
        <f>+'ex BH PW'!K222</f>
        <v>0</v>
      </c>
      <c r="E191" s="133">
        <f>+'ex BH PW'!L222</f>
        <v>0</v>
      </c>
      <c r="F191" s="133">
        <f>+'ex BH PW'!M222</f>
        <v>0</v>
      </c>
      <c r="G191" s="133">
        <f>+'ex BH PW'!N222</f>
        <v>0</v>
      </c>
      <c r="H191" s="133">
        <f>+'ex BH PW'!P222</f>
        <v>0</v>
      </c>
      <c r="I191" s="133">
        <f>+'ex BH PW'!Q222</f>
        <v>0</v>
      </c>
      <c r="J191" s="133">
        <f>+'ex BH PW'!R222</f>
        <v>0</v>
      </c>
      <c r="K191" s="133">
        <f>+'ex BH PW'!S222</f>
        <v>0</v>
      </c>
      <c r="L191" s="133">
        <f>+'ex BH PW'!T222</f>
        <v>0</v>
      </c>
      <c r="M191" s="133">
        <f>+'ex BH PW'!U222</f>
        <v>0</v>
      </c>
      <c r="N191" s="133">
        <f>+'ex BH PW'!V222</f>
        <v>0</v>
      </c>
      <c r="O191" s="133">
        <f>+'ex BH PW'!W222</f>
        <v>0</v>
      </c>
      <c r="P191" s="133">
        <f>+'ex BH PW'!X222</f>
        <v>0</v>
      </c>
      <c r="Q191" s="133">
        <f>+'ex BH PW'!Y222</f>
        <v>0</v>
      </c>
      <c r="R191" s="133">
        <f>+'ex BH PW'!Z222</f>
        <v>0</v>
      </c>
      <c r="S191" s="133">
        <f>+'ex BH PW'!AA222</f>
        <v>0</v>
      </c>
      <c r="T191" s="133">
        <f>+'ex BH PW'!AB222</f>
        <v>0</v>
      </c>
      <c r="U191" s="133">
        <f>+'ex BH PW'!AC222</f>
        <v>0</v>
      </c>
      <c r="V191" s="133">
        <f>+'ex BH PW'!AD222</f>
        <v>0</v>
      </c>
      <c r="W191" s="133">
        <f>+'ex BH PW'!AE222</f>
        <v>0</v>
      </c>
      <c r="X191" s="133">
        <f>+'ex BH PW'!AF222</f>
        <v>0</v>
      </c>
      <c r="Y191" s="133">
        <f>+'ex BH PW'!AG222</f>
        <v>0</v>
      </c>
      <c r="Z191" s="133">
        <f>+'ex BH PW'!AH222</f>
        <v>0</v>
      </c>
    </row>
    <row r="192" spans="1:26" x14ac:dyDescent="0.25">
      <c r="A192" s="132" t="str">
        <f>+'ex BH PW'!H224</f>
        <v>Württembergische Ideenwerk</v>
      </c>
      <c r="B192" s="133" t="str">
        <f>+'ex BH PW'!J224</f>
        <v>6850-5562-7</v>
      </c>
      <c r="C192" s="133">
        <f>+'ex BH PW'!I224</f>
        <v>0</v>
      </c>
      <c r="D192" s="133">
        <f>+'ex BH PW'!K224</f>
        <v>0</v>
      </c>
      <c r="E192" s="133">
        <f>+'ex BH PW'!L224</f>
        <v>0</v>
      </c>
      <c r="F192" s="133">
        <f>+'ex BH PW'!M224</f>
        <v>0</v>
      </c>
      <c r="G192" s="133">
        <f>+'ex BH PW'!N224</f>
        <v>0</v>
      </c>
      <c r="H192" s="133">
        <f>+'ex BH PW'!P224</f>
        <v>0</v>
      </c>
      <c r="I192" s="133">
        <f>+'ex BH PW'!Q224</f>
        <v>0</v>
      </c>
      <c r="J192" s="133">
        <f>+'ex BH PW'!R224</f>
        <v>0</v>
      </c>
      <c r="K192" s="133">
        <f>+'ex BH PW'!S224</f>
        <v>0</v>
      </c>
      <c r="L192" s="133">
        <f>+'ex BH PW'!T224</f>
        <v>0</v>
      </c>
      <c r="M192" s="133">
        <f>+'ex BH PW'!U224</f>
        <v>0</v>
      </c>
      <c r="N192" s="133">
        <f>+'ex BH PW'!V224</f>
        <v>0</v>
      </c>
      <c r="O192" s="133">
        <f>+'ex BH PW'!W224</f>
        <v>0</v>
      </c>
      <c r="P192" s="133">
        <f>+'ex BH PW'!X224</f>
        <v>0</v>
      </c>
      <c r="Q192" s="133">
        <f>+'ex BH PW'!Y224</f>
        <v>0</v>
      </c>
      <c r="R192" s="133">
        <f>+'ex BH PW'!Z224</f>
        <v>0</v>
      </c>
      <c r="S192" s="133">
        <f>+'ex BH PW'!AA224</f>
        <v>0</v>
      </c>
      <c r="T192" s="133">
        <f>+'ex BH PW'!AB224</f>
        <v>0</v>
      </c>
      <c r="U192" s="133">
        <f>+'ex BH PW'!AC224</f>
        <v>0</v>
      </c>
      <c r="V192" s="133">
        <f>+'ex BH PW'!AD224</f>
        <v>0</v>
      </c>
      <c r="W192" s="133">
        <f>+'ex BH PW'!AE224</f>
        <v>0</v>
      </c>
      <c r="X192" s="133">
        <f>+'ex BH PW'!AF224</f>
        <v>0</v>
      </c>
      <c r="Y192" s="133">
        <f>+'ex BH PW'!AG224</f>
        <v>0</v>
      </c>
      <c r="Z192" s="133">
        <f>+'ex BH PW'!AH224</f>
        <v>0</v>
      </c>
    </row>
    <row r="193" spans="1:26" x14ac:dyDescent="0.25">
      <c r="A193" s="132" t="str">
        <f>+'ex BH PW'!H225</f>
        <v>Württembergische LV + Sach</v>
      </c>
      <c r="B193" s="133" t="str">
        <f>+'ex BH PW'!J225</f>
        <v>6850-5223-7</v>
      </c>
      <c r="C193" s="133" t="str">
        <f>+'ex BH PW'!I225</f>
        <v>2000-6900-5</v>
      </c>
      <c r="D193" s="133">
        <f>+'ex BH PW'!K225</f>
        <v>0</v>
      </c>
      <c r="E193" s="133" t="str">
        <f>+'ex BH PW'!L225</f>
        <v>6850-6517-7 ( kein LV-Bestand)</v>
      </c>
      <c r="F193" s="133">
        <f>+'ex BH PW'!M225</f>
        <v>0</v>
      </c>
      <c r="G193" s="133">
        <f>+'ex BH PW'!N225</f>
        <v>0</v>
      </c>
      <c r="H193" s="133">
        <f>+'ex BH PW'!P225</f>
        <v>0</v>
      </c>
      <c r="I193" s="133">
        <f>+'ex BH PW'!Q225</f>
        <v>0</v>
      </c>
      <c r="J193" s="133">
        <f>+'ex BH PW'!R225</f>
        <v>0</v>
      </c>
      <c r="K193" s="133">
        <f>+'ex BH PW'!S225</f>
        <v>0</v>
      </c>
      <c r="L193" s="133">
        <f>+'ex BH PW'!T225</f>
        <v>0</v>
      </c>
      <c r="M193" s="133">
        <f>+'ex BH PW'!U225</f>
        <v>0</v>
      </c>
      <c r="N193" s="133">
        <f>+'ex BH PW'!V225</f>
        <v>0</v>
      </c>
      <c r="O193" s="133">
        <f>+'ex BH PW'!W225</f>
        <v>0</v>
      </c>
      <c r="P193" s="133">
        <f>+'ex BH PW'!X225</f>
        <v>0</v>
      </c>
      <c r="Q193" s="133">
        <f>+'ex BH PW'!Y225</f>
        <v>0</v>
      </c>
      <c r="R193" s="133">
        <f>+'ex BH PW'!Z225</f>
        <v>0</v>
      </c>
      <c r="S193" s="133">
        <f>+'ex BH PW'!AA225</f>
        <v>0</v>
      </c>
      <c r="T193" s="133">
        <f>+'ex BH PW'!AB225</f>
        <v>0</v>
      </c>
      <c r="U193" s="133">
        <f>+'ex BH PW'!AC225</f>
        <v>0</v>
      </c>
      <c r="V193" s="133">
        <f>+'ex BH PW'!AD225</f>
        <v>0</v>
      </c>
      <c r="W193" s="133">
        <f>+'ex BH PW'!AE225</f>
        <v>0</v>
      </c>
      <c r="X193" s="133">
        <f>+'ex BH PW'!AF225</f>
        <v>0</v>
      </c>
      <c r="Y193" s="133">
        <f>+'ex BH PW'!AG225</f>
        <v>0</v>
      </c>
      <c r="Z193" s="133">
        <f>+'ex BH PW'!AH225</f>
        <v>0</v>
      </c>
    </row>
    <row r="194" spans="1:26" x14ac:dyDescent="0.25">
      <c r="A194" s="132" t="str">
        <f>+'ex BH PW'!H226</f>
        <v>Württembergische Rahmenvertrag Kfz</v>
      </c>
      <c r="B194" s="133" t="str">
        <f>+'ex BH PW'!J226</f>
        <v>6850-5223-7         (alt 6810-7151-2)</v>
      </c>
      <c r="C194" s="133">
        <f>+'ex BH PW'!I226</f>
        <v>0</v>
      </c>
      <c r="D194" s="133">
        <f>+'ex BH PW'!K226</f>
        <v>0</v>
      </c>
      <c r="E194" s="133">
        <f>+'ex BH PW'!L226</f>
        <v>0</v>
      </c>
      <c r="F194" s="133">
        <f>+'ex BH PW'!M226</f>
        <v>0</v>
      </c>
      <c r="G194" s="133">
        <f>+'ex BH PW'!N226</f>
        <v>0</v>
      </c>
      <c r="H194" s="133">
        <f>+'ex BH PW'!P226</f>
        <v>0</v>
      </c>
      <c r="I194" s="133">
        <f>+'ex BH PW'!Q226</f>
        <v>0</v>
      </c>
      <c r="J194" s="133">
        <f>+'ex BH PW'!R226</f>
        <v>0</v>
      </c>
      <c r="K194" s="133">
        <f>+'ex BH PW'!S226</f>
        <v>0</v>
      </c>
      <c r="L194" s="133">
        <f>+'ex BH PW'!T226</f>
        <v>0</v>
      </c>
      <c r="M194" s="133">
        <f>+'ex BH PW'!U226</f>
        <v>0</v>
      </c>
      <c r="N194" s="133">
        <f>+'ex BH PW'!V226</f>
        <v>0</v>
      </c>
      <c r="O194" s="133">
        <f>+'ex BH PW'!W226</f>
        <v>0</v>
      </c>
      <c r="P194" s="133">
        <f>+'ex BH PW'!X226</f>
        <v>0</v>
      </c>
      <c r="Q194" s="133">
        <f>+'ex BH PW'!Y226</f>
        <v>0</v>
      </c>
      <c r="R194" s="133">
        <f>+'ex BH PW'!Z226</f>
        <v>0</v>
      </c>
      <c r="S194" s="133">
        <f>+'ex BH PW'!AA226</f>
        <v>0</v>
      </c>
      <c r="T194" s="133">
        <f>+'ex BH PW'!AB226</f>
        <v>0</v>
      </c>
      <c r="U194" s="133">
        <f>+'ex BH PW'!AC226</f>
        <v>0</v>
      </c>
      <c r="V194" s="133">
        <f>+'ex BH PW'!AD226</f>
        <v>0</v>
      </c>
      <c r="W194" s="133">
        <f>+'ex BH PW'!AE226</f>
        <v>0</v>
      </c>
      <c r="X194" s="133">
        <f>+'ex BH PW'!AF226</f>
        <v>0</v>
      </c>
      <c r="Y194" s="133">
        <f>+'ex BH PW'!AG226</f>
        <v>0</v>
      </c>
      <c r="Z194" s="133">
        <f>+'ex BH PW'!AH226</f>
        <v>0</v>
      </c>
    </row>
    <row r="195" spans="1:26" x14ac:dyDescent="0.25">
      <c r="A195" s="132" t="str">
        <f>+'ex BH PW'!H227</f>
        <v>Würzburger Handyschutz</v>
      </c>
      <c r="B195" s="133">
        <f>+'ex BH PW'!J227</f>
        <v>0</v>
      </c>
      <c r="C195" s="133" t="str">
        <f>+'ex BH PW'!I227</f>
        <v>1-9-850-2202</v>
      </c>
      <c r="D195" s="133">
        <f>+'ex BH PW'!K227</f>
        <v>0</v>
      </c>
      <c r="E195" s="133">
        <f>+'ex BH PW'!L227</f>
        <v>0</v>
      </c>
      <c r="F195" s="133">
        <f>+'ex BH PW'!M227</f>
        <v>0</v>
      </c>
      <c r="G195" s="133">
        <f>+'ex BH PW'!N227</f>
        <v>0</v>
      </c>
      <c r="H195" s="133">
        <f>+'ex BH PW'!P227</f>
        <v>0</v>
      </c>
      <c r="I195" s="133">
        <f>+'ex BH PW'!Q227</f>
        <v>0</v>
      </c>
      <c r="J195" s="133">
        <f>+'ex BH PW'!R227</f>
        <v>0</v>
      </c>
      <c r="K195" s="133">
        <f>+'ex BH PW'!S227</f>
        <v>0</v>
      </c>
      <c r="L195" s="133">
        <f>+'ex BH PW'!T227</f>
        <v>0</v>
      </c>
      <c r="M195" s="133">
        <f>+'ex BH PW'!U227</f>
        <v>0</v>
      </c>
      <c r="N195" s="133">
        <f>+'ex BH PW'!V227</f>
        <v>0</v>
      </c>
      <c r="O195" s="133">
        <f>+'ex BH PW'!W227</f>
        <v>0</v>
      </c>
      <c r="P195" s="133">
        <f>+'ex BH PW'!X227</f>
        <v>0</v>
      </c>
      <c r="Q195" s="133">
        <f>+'ex BH PW'!Y227</f>
        <v>0</v>
      </c>
      <c r="R195" s="133">
        <f>+'ex BH PW'!Z227</f>
        <v>0</v>
      </c>
      <c r="S195" s="133">
        <f>+'ex BH PW'!AA227</f>
        <v>0</v>
      </c>
      <c r="T195" s="133">
        <f>+'ex BH PW'!AB227</f>
        <v>0</v>
      </c>
      <c r="U195" s="133">
        <f>+'ex BH PW'!AC227</f>
        <v>0</v>
      </c>
      <c r="V195" s="133">
        <f>+'ex BH PW'!AD227</f>
        <v>0</v>
      </c>
      <c r="W195" s="133">
        <f>+'ex BH PW'!AE227</f>
        <v>0</v>
      </c>
      <c r="X195" s="133">
        <f>+'ex BH PW'!AF227</f>
        <v>0</v>
      </c>
      <c r="Y195" s="133">
        <f>+'ex BH PW'!AG227</f>
        <v>0</v>
      </c>
      <c r="Z195" s="133">
        <f>+'ex BH PW'!AH227</f>
        <v>0</v>
      </c>
    </row>
    <row r="196" spans="1:26" x14ac:dyDescent="0.25">
      <c r="A196" s="132" t="str">
        <f>+'ex BH PW'!H230</f>
        <v>Wüstenrot Bausparkasse</v>
      </c>
      <c r="B196" s="133" t="str">
        <f>+'ex BH PW'!J230</f>
        <v>012688</v>
      </c>
      <c r="C196" s="133">
        <f>+'ex BH PW'!I230</f>
        <v>0</v>
      </c>
      <c r="D196" s="133">
        <f>+'ex BH PW'!K230</f>
        <v>0</v>
      </c>
      <c r="E196" s="133">
        <f>+'ex BH PW'!L230</f>
        <v>0</v>
      </c>
      <c r="F196" s="133">
        <f>+'ex BH PW'!M230</f>
        <v>0</v>
      </c>
      <c r="G196" s="133">
        <f>+'ex BH PW'!N230</f>
        <v>0</v>
      </c>
      <c r="H196" s="133">
        <f>+'ex BH PW'!P230</f>
        <v>0</v>
      </c>
      <c r="I196" s="133">
        <f>+'ex BH PW'!Q230</f>
        <v>0</v>
      </c>
      <c r="J196" s="133">
        <f>+'ex BH PW'!R230</f>
        <v>0</v>
      </c>
      <c r="K196" s="133">
        <f>+'ex BH PW'!S230</f>
        <v>0</v>
      </c>
      <c r="L196" s="133">
        <f>+'ex BH PW'!T230</f>
        <v>0</v>
      </c>
      <c r="M196" s="133">
        <f>+'ex BH PW'!U230</f>
        <v>0</v>
      </c>
      <c r="N196" s="133">
        <f>+'ex BH PW'!V230</f>
        <v>0</v>
      </c>
      <c r="O196" s="133">
        <f>+'ex BH PW'!W230</f>
        <v>0</v>
      </c>
      <c r="P196" s="133">
        <f>+'ex BH PW'!X230</f>
        <v>0</v>
      </c>
      <c r="Q196" s="133">
        <f>+'ex BH PW'!Y230</f>
        <v>0</v>
      </c>
      <c r="R196" s="133">
        <f>+'ex BH PW'!Z230</f>
        <v>0</v>
      </c>
      <c r="S196" s="133">
        <f>+'ex BH PW'!AA230</f>
        <v>0</v>
      </c>
      <c r="T196" s="133">
        <f>+'ex BH PW'!AB230</f>
        <v>0</v>
      </c>
      <c r="U196" s="133">
        <f>+'ex BH PW'!AC230</f>
        <v>0</v>
      </c>
      <c r="V196" s="133">
        <f>+'ex BH PW'!AD230</f>
        <v>0</v>
      </c>
      <c r="W196" s="133">
        <f>+'ex BH PW'!AE230</f>
        <v>0</v>
      </c>
      <c r="X196" s="133">
        <f>+'ex BH PW'!AF230</f>
        <v>0</v>
      </c>
      <c r="Y196" s="133">
        <f>+'ex BH PW'!AG230</f>
        <v>0</v>
      </c>
      <c r="Z196" s="133">
        <f>+'ex BH PW'!AH230</f>
        <v>0</v>
      </c>
    </row>
    <row r="197" spans="1:26" x14ac:dyDescent="0.25">
      <c r="A197" s="132" t="str">
        <f>+'ex BH PW'!H231</f>
        <v xml:space="preserve">WWK </v>
      </c>
      <c r="B197" s="133">
        <f>+'ex BH PW'!J231</f>
        <v>0</v>
      </c>
      <c r="C197" s="133" t="str">
        <f>+'ex BH PW'!I231</f>
        <v>Q9837025</v>
      </c>
      <c r="D197" s="133">
        <f>+'ex BH PW'!K231</f>
        <v>0</v>
      </c>
      <c r="E197" s="133" t="str">
        <f>+'ex BH PW'!L231</f>
        <v>Q9821554</v>
      </c>
      <c r="F197" s="133">
        <f>+'ex BH PW'!M231</f>
        <v>0</v>
      </c>
      <c r="G197" s="133">
        <f>+'ex BH PW'!N231</f>
        <v>0</v>
      </c>
      <c r="H197" s="133">
        <f>+'ex BH PW'!P231</f>
        <v>0</v>
      </c>
      <c r="I197" s="133">
        <f>+'ex BH PW'!Q231</f>
        <v>0</v>
      </c>
      <c r="J197" s="133">
        <f>+'ex BH PW'!R231</f>
        <v>0</v>
      </c>
      <c r="K197" s="133">
        <f>+'ex BH PW'!S231</f>
        <v>0</v>
      </c>
      <c r="L197" s="133">
        <f>+'ex BH PW'!T231</f>
        <v>0</v>
      </c>
      <c r="M197" s="133">
        <f>+'ex BH PW'!U231</f>
        <v>0</v>
      </c>
      <c r="N197" s="133">
        <f>+'ex BH PW'!V231</f>
        <v>0</v>
      </c>
      <c r="O197" s="133">
        <f>+'ex BH PW'!W231</f>
        <v>0</v>
      </c>
      <c r="P197" s="133">
        <f>+'ex BH PW'!X231</f>
        <v>0</v>
      </c>
      <c r="Q197" s="133">
        <f>+'ex BH PW'!Y231</f>
        <v>0</v>
      </c>
      <c r="R197" s="133">
        <f>+'ex BH PW'!Z231</f>
        <v>0</v>
      </c>
      <c r="S197" s="133">
        <f>+'ex BH PW'!AA231</f>
        <v>0</v>
      </c>
      <c r="T197" s="133">
        <f>+'ex BH PW'!AB231</f>
        <v>0</v>
      </c>
      <c r="U197" s="133">
        <f>+'ex BH PW'!AC231</f>
        <v>0</v>
      </c>
      <c r="V197" s="133">
        <f>+'ex BH PW'!AD231</f>
        <v>0</v>
      </c>
      <c r="W197" s="133">
        <f>+'ex BH PW'!AE231</f>
        <v>0</v>
      </c>
      <c r="X197" s="133">
        <f>+'ex BH PW'!AF231</f>
        <v>0</v>
      </c>
      <c r="Y197" s="133">
        <f>+'ex BH PW'!AG231</f>
        <v>0</v>
      </c>
      <c r="Z197" s="133">
        <f>+'ex BH PW'!AH231</f>
        <v>0</v>
      </c>
    </row>
    <row r="198" spans="1:26" x14ac:dyDescent="0.25">
      <c r="A198" s="132" t="str">
        <f>+'ex BH PW'!H233</f>
        <v>Zurich (Patria) Sach alt</v>
      </c>
      <c r="B198" s="133" t="str">
        <f>+'ex BH PW'!J233</f>
        <v>7005484 alt</v>
      </c>
      <c r="C198" s="133">
        <f>+'ex BH PW'!I233</f>
        <v>0</v>
      </c>
      <c r="D198" s="133">
        <f>+'ex BH PW'!K233</f>
        <v>0</v>
      </c>
      <c r="E198" s="133">
        <f>+'ex BH PW'!L233</f>
        <v>0</v>
      </c>
      <c r="F198" s="133">
        <f>+'ex BH PW'!M233</f>
        <v>0</v>
      </c>
      <c r="G198" s="133">
        <f>+'ex BH PW'!N233</f>
        <v>0</v>
      </c>
      <c r="H198" s="133">
        <f>+'ex BH PW'!P233</f>
        <v>0</v>
      </c>
      <c r="I198" s="133">
        <f>+'ex BH PW'!Q233</f>
        <v>0</v>
      </c>
      <c r="J198" s="133">
        <f>+'ex BH PW'!R233</f>
        <v>0</v>
      </c>
      <c r="K198" s="133">
        <f>+'ex BH PW'!S233</f>
        <v>0</v>
      </c>
      <c r="L198" s="133">
        <f>+'ex BH PW'!T233</f>
        <v>0</v>
      </c>
      <c r="M198" s="133">
        <f>+'ex BH PW'!U233</f>
        <v>0</v>
      </c>
      <c r="N198" s="133">
        <f>+'ex BH PW'!V233</f>
        <v>0</v>
      </c>
      <c r="O198" s="133">
        <f>+'ex BH PW'!W233</f>
        <v>0</v>
      </c>
      <c r="P198" s="133">
        <f>+'ex BH PW'!X233</f>
        <v>0</v>
      </c>
      <c r="Q198" s="133">
        <f>+'ex BH PW'!Y233</f>
        <v>0</v>
      </c>
      <c r="R198" s="133">
        <f>+'ex BH PW'!Z233</f>
        <v>0</v>
      </c>
      <c r="S198" s="133">
        <f>+'ex BH PW'!AA233</f>
        <v>0</v>
      </c>
      <c r="T198" s="133">
        <f>+'ex BH PW'!AB233</f>
        <v>0</v>
      </c>
      <c r="U198" s="133">
        <f>+'ex BH PW'!AC233</f>
        <v>0</v>
      </c>
      <c r="V198" s="133">
        <f>+'ex BH PW'!AD233</f>
        <v>0</v>
      </c>
      <c r="W198" s="133">
        <f>+'ex BH PW'!AE233</f>
        <v>0</v>
      </c>
      <c r="X198" s="133">
        <f>+'ex BH PW'!AF233</f>
        <v>0</v>
      </c>
      <c r="Y198" s="133">
        <f>+'ex BH PW'!AG233</f>
        <v>0</v>
      </c>
      <c r="Z198" s="133">
        <f>+'ex BH PW'!AH233</f>
        <v>0</v>
      </c>
    </row>
    <row r="199" spans="1:26" x14ac:dyDescent="0.25">
      <c r="A199" s="132" t="str">
        <f>+'ex BH PW'!H234</f>
        <v>Zurich Leben Deutscher Herold</v>
      </c>
      <c r="B199" s="133" t="str">
        <f>+'ex BH PW'!J234</f>
        <v>5017933</v>
      </c>
      <c r="C199" s="133" t="str">
        <f>+'ex BH PW'!I234</f>
        <v>5017933</v>
      </c>
      <c r="D199" s="133">
        <f>+'ex BH PW'!K234</f>
        <v>0</v>
      </c>
      <c r="E199" s="133">
        <f>+'ex BH PW'!L234</f>
        <v>0</v>
      </c>
      <c r="F199" s="133">
        <f>+'ex BH PW'!M234</f>
        <v>0</v>
      </c>
      <c r="G199" s="133">
        <f>+'ex BH PW'!N234</f>
        <v>0</v>
      </c>
      <c r="H199" s="133">
        <f>+'ex BH PW'!P234</f>
        <v>0</v>
      </c>
      <c r="I199" s="133">
        <f>+'ex BH PW'!Q234</f>
        <v>0</v>
      </c>
      <c r="J199" s="133">
        <f>+'ex BH PW'!R234</f>
        <v>0</v>
      </c>
      <c r="K199" s="133">
        <f>+'ex BH PW'!S234</f>
        <v>0</v>
      </c>
      <c r="L199" s="133">
        <f>+'ex BH PW'!T234</f>
        <v>0</v>
      </c>
      <c r="M199" s="133">
        <f>+'ex BH PW'!U234</f>
        <v>0</v>
      </c>
      <c r="N199" s="133">
        <f>+'ex BH PW'!V234</f>
        <v>0</v>
      </c>
      <c r="O199" s="133">
        <f>+'ex BH PW'!W234</f>
        <v>0</v>
      </c>
      <c r="P199" s="133">
        <f>+'ex BH PW'!X234</f>
        <v>0</v>
      </c>
      <c r="Q199" s="133">
        <f>+'ex BH PW'!Y234</f>
        <v>0</v>
      </c>
      <c r="R199" s="133">
        <f>+'ex BH PW'!Z234</f>
        <v>0</v>
      </c>
      <c r="S199" s="133">
        <f>+'ex BH PW'!AA234</f>
        <v>0</v>
      </c>
      <c r="T199" s="133">
        <f>+'ex BH PW'!AB234</f>
        <v>0</v>
      </c>
      <c r="U199" s="133">
        <f>+'ex BH PW'!AC234</f>
        <v>0</v>
      </c>
      <c r="V199" s="133">
        <f>+'ex BH PW'!AD234</f>
        <v>0</v>
      </c>
      <c r="W199" s="133">
        <f>+'ex BH PW'!AE234</f>
        <v>0</v>
      </c>
      <c r="X199" s="133" t="str">
        <f>+'ex BH PW'!AF234</f>
        <v>7798161</v>
      </c>
      <c r="Y199" s="133">
        <f>+'ex BH PW'!AG234</f>
        <v>0</v>
      </c>
      <c r="Z199" s="133">
        <f>+'ex BH PW'!AH234</f>
        <v>0</v>
      </c>
    </row>
    <row r="200" spans="1:26" x14ac:dyDescent="0.25">
      <c r="A200" s="132" t="e">
        <f>+[1]passwörter_agenturen!#REF!</f>
        <v>#REF!</v>
      </c>
      <c r="B200" s="133" t="e">
        <f>+[1]passwörter_agenturen!#REF!</f>
        <v>#REF!</v>
      </c>
      <c r="C200" s="133" t="e">
        <f>+[1]passwörter_agenturen!#REF!</f>
        <v>#REF!</v>
      </c>
      <c r="D200" s="133" t="e">
        <f>+[1]passwörter_agenturen!#REF!</f>
        <v>#REF!</v>
      </c>
      <c r="E200" s="133" t="e">
        <f>+[1]passwörter_agenturen!#REF!</f>
        <v>#REF!</v>
      </c>
      <c r="F200" s="133" t="e">
        <f>+[1]passwörter_agenturen!#REF!</f>
        <v>#REF!</v>
      </c>
      <c r="G200" s="133" t="e">
        <f>+[1]passwörter_agenturen!#REF!</f>
        <v>#REF!</v>
      </c>
      <c r="H200" s="133" t="e">
        <f>+[1]passwörter_agenturen!#REF!</f>
        <v>#REF!</v>
      </c>
      <c r="I200" s="133" t="e">
        <f>+[1]passwörter_agenturen!#REF!</f>
        <v>#REF!</v>
      </c>
      <c r="J200" s="133" t="e">
        <f>+[1]passwörter_agenturen!#REF!</f>
        <v>#REF!</v>
      </c>
      <c r="K200" s="133" t="e">
        <f>+[1]passwörter_agenturen!#REF!</f>
        <v>#REF!</v>
      </c>
      <c r="L200" s="133" t="e">
        <f>+[1]passwörter_agenturen!#REF!</f>
        <v>#REF!</v>
      </c>
      <c r="M200" s="133" t="e">
        <f>+[1]passwörter_agenturen!#REF!</f>
        <v>#REF!</v>
      </c>
      <c r="N200" s="133" t="e">
        <f>+[1]passwörter_agenturen!#REF!</f>
        <v>#REF!</v>
      </c>
      <c r="O200" s="133" t="e">
        <f>+[1]passwörter_agenturen!#REF!</f>
        <v>#REF!</v>
      </c>
      <c r="P200" s="133" t="e">
        <f>+[1]passwörter_agenturen!#REF!</f>
        <v>#REF!</v>
      </c>
      <c r="Q200" s="133" t="e">
        <f>+[1]passwörter_agenturen!#REF!</f>
        <v>#REF!</v>
      </c>
      <c r="R200" s="133" t="e">
        <f>+[1]passwörter_agenturen!#REF!</f>
        <v>#REF!</v>
      </c>
      <c r="S200" s="133" t="e">
        <f>+[1]passwörter_agenturen!#REF!</f>
        <v>#REF!</v>
      </c>
      <c r="T200" s="133" t="e">
        <f>+[1]passwörter_agenturen!#REF!</f>
        <v>#REF!</v>
      </c>
      <c r="U200" s="133" t="e">
        <f>+[1]passwörter_agenturen!#REF!</f>
        <v>#REF!</v>
      </c>
      <c r="V200" s="133" t="e">
        <f>+[1]passwörter_agenturen!#REF!</f>
        <v>#REF!</v>
      </c>
      <c r="W200" s="133" t="e">
        <f>+[1]passwörter_agenturen!#REF!</f>
        <v>#REF!</v>
      </c>
      <c r="X200" s="133" t="e">
        <f>+[1]passwörter_agenturen!#REF!</f>
        <v>#REF!</v>
      </c>
      <c r="Y200" s="133" t="e">
        <f>+[1]passwörter_agenturen!#REF!</f>
        <v>#REF!</v>
      </c>
      <c r="Z200" s="133" t="e">
        <f>+[1]passwörter_agenturen!#REF!</f>
        <v>#REF!</v>
      </c>
    </row>
    <row r="201" spans="1:26" x14ac:dyDescent="0.25">
      <c r="A201" s="132" t="str">
        <f>+'ex BH PW'!H235</f>
        <v>Zurich Life</v>
      </c>
      <c r="B201" s="133">
        <f>+'ex BH PW'!J235</f>
        <v>0</v>
      </c>
      <c r="C201" s="133" t="str">
        <f>+'ex BH PW'!I235</f>
        <v>73160 (vorläufig)</v>
      </c>
      <c r="D201" s="133">
        <f>+'ex BH PW'!K235</f>
        <v>0</v>
      </c>
      <c r="E201" s="133" t="str">
        <f>+'ex BH PW'!L235</f>
        <v>74485</v>
      </c>
      <c r="F201" s="133">
        <f>+'ex BH PW'!M235</f>
        <v>0</v>
      </c>
      <c r="G201" s="133">
        <f>+'ex BH PW'!N235</f>
        <v>0</v>
      </c>
      <c r="H201" s="133" t="str">
        <f>+'ex BH PW'!P235</f>
        <v>73105 (alt)</v>
      </c>
      <c r="I201" s="133">
        <f>+'ex BH PW'!Q235</f>
        <v>0</v>
      </c>
      <c r="J201" s="133">
        <f>+'ex BH PW'!R235</f>
        <v>0</v>
      </c>
      <c r="K201" s="133">
        <f>+'ex BH PW'!S235</f>
        <v>0</v>
      </c>
      <c r="L201" s="133">
        <f>+'ex BH PW'!T235</f>
        <v>0</v>
      </c>
      <c r="M201" s="133">
        <f>+'ex BH PW'!U235</f>
        <v>0</v>
      </c>
      <c r="N201" s="133">
        <f>+'ex BH PW'!V235</f>
        <v>0</v>
      </c>
      <c r="O201" s="133">
        <f>+'ex BH PW'!W235</f>
        <v>0</v>
      </c>
      <c r="P201" s="133">
        <f>+'ex BH PW'!X235</f>
        <v>0</v>
      </c>
      <c r="Q201" s="133">
        <f>+'ex BH PW'!Y235</f>
        <v>0</v>
      </c>
      <c r="R201" s="133">
        <f>+'ex BH PW'!Z235</f>
        <v>0</v>
      </c>
      <c r="S201" s="133">
        <f>+'ex BH PW'!AA235</f>
        <v>0</v>
      </c>
      <c r="T201" s="133">
        <f>+'ex BH PW'!AB235</f>
        <v>0</v>
      </c>
      <c r="U201" s="133">
        <f>+'ex BH PW'!AC235</f>
        <v>0</v>
      </c>
      <c r="V201" s="133">
        <f>+'ex BH PW'!AD235</f>
        <v>0</v>
      </c>
      <c r="W201" s="133">
        <f>+'ex BH PW'!AE235</f>
        <v>0</v>
      </c>
      <c r="X201" s="133">
        <f>+'ex BH PW'!AF235</f>
        <v>0</v>
      </c>
      <c r="Y201" s="133">
        <f>+'ex BH PW'!AG235</f>
        <v>0</v>
      </c>
      <c r="Z201" s="133">
        <f>+'ex BH PW'!AH235</f>
        <v>0</v>
      </c>
    </row>
    <row r="202" spans="1:26" x14ac:dyDescent="0.25">
      <c r="A202" s="132" t="str">
        <f>+'ex BH PW'!H182</f>
        <v>NV-Versicherung über Invers</v>
      </c>
      <c r="B202" s="133" t="str">
        <f>+'ex BH PW'!J181</f>
        <v>11072</v>
      </c>
      <c r="C202" s="133" t="str">
        <f>+'ex BH PW'!I181</f>
        <v>11072</v>
      </c>
      <c r="D202" s="133">
        <f>+'ex BH PW'!K182</f>
        <v>0</v>
      </c>
      <c r="E202" s="133" t="str">
        <f>+'ex BH PW'!L182</f>
        <v>7993201</v>
      </c>
      <c r="F202" s="133">
        <f>+'ex BH PW'!M182</f>
        <v>0</v>
      </c>
      <c r="G202" s="133">
        <f>+'ex BH PW'!N182</f>
        <v>0</v>
      </c>
      <c r="H202" s="133">
        <f>+'ex BH PW'!P182</f>
        <v>0</v>
      </c>
      <c r="I202" s="133">
        <f>+'ex BH PW'!Q182</f>
        <v>0</v>
      </c>
      <c r="J202" s="133">
        <f>+'ex BH PW'!R182</f>
        <v>0</v>
      </c>
      <c r="K202" s="133">
        <f>+'ex BH PW'!S182</f>
        <v>0</v>
      </c>
      <c r="L202" s="133">
        <f>+'ex BH PW'!T182</f>
        <v>0</v>
      </c>
      <c r="M202" s="133">
        <f>+'ex BH PW'!U182</f>
        <v>0</v>
      </c>
      <c r="N202" s="133">
        <f>+'ex BH PW'!V182</f>
        <v>0</v>
      </c>
      <c r="O202" s="133">
        <f>+'ex BH PW'!W182</f>
        <v>0</v>
      </c>
      <c r="P202" s="133">
        <f>+'ex BH PW'!X182</f>
        <v>0</v>
      </c>
      <c r="Q202" s="133">
        <f>+'ex BH PW'!Y182</f>
        <v>0</v>
      </c>
      <c r="R202" s="133">
        <f>+'ex BH PW'!Z182</f>
        <v>0</v>
      </c>
      <c r="S202" s="133">
        <f>+'ex BH PW'!AA182</f>
        <v>0</v>
      </c>
      <c r="T202" s="133">
        <f>+'ex BH PW'!AB182</f>
        <v>0</v>
      </c>
      <c r="U202" s="133">
        <f>+'ex BH PW'!AC182</f>
        <v>0</v>
      </c>
      <c r="V202" s="133">
        <f>+'ex BH PW'!AD182</f>
        <v>0</v>
      </c>
      <c r="W202" s="133">
        <f>+'ex BH PW'!AE182</f>
        <v>0</v>
      </c>
      <c r="X202" s="133">
        <f>+'ex BH PW'!AF182</f>
        <v>0</v>
      </c>
      <c r="Y202" s="133">
        <f>+'ex BH PW'!AG182</f>
        <v>0</v>
      </c>
      <c r="Z202" s="133">
        <f>+'ex BH PW'!AH182</f>
        <v>0</v>
      </c>
    </row>
    <row r="203" spans="1:26" x14ac:dyDescent="0.25">
      <c r="A203" s="132">
        <f>+'ex BH PW'!H236</f>
        <v>0</v>
      </c>
      <c r="B203" s="133">
        <f>+'ex BH PW'!J236</f>
        <v>0</v>
      </c>
      <c r="C203" s="133">
        <f>+'ex BH PW'!I236</f>
        <v>0</v>
      </c>
      <c r="D203" s="133">
        <f>+'ex BH PW'!K236</f>
        <v>0</v>
      </c>
      <c r="E203" s="133">
        <f>+'ex BH PW'!L236</f>
        <v>0</v>
      </c>
      <c r="F203" s="133">
        <f>+'ex BH PW'!M236</f>
        <v>0</v>
      </c>
      <c r="G203" s="133">
        <f>+'ex BH PW'!N236</f>
        <v>0</v>
      </c>
      <c r="H203" s="133">
        <f>+'ex BH PW'!P236</f>
        <v>0</v>
      </c>
      <c r="I203" s="133">
        <f>+'ex BH PW'!Q236</f>
        <v>0</v>
      </c>
      <c r="J203" s="133">
        <f>+'ex BH PW'!R236</f>
        <v>0</v>
      </c>
      <c r="K203" s="133">
        <f>+'ex BH PW'!S236</f>
        <v>0</v>
      </c>
      <c r="L203" s="133">
        <f>+'ex BH PW'!T236</f>
        <v>0</v>
      </c>
      <c r="M203" s="133">
        <f>+'ex BH PW'!U236</f>
        <v>0</v>
      </c>
      <c r="N203" s="133">
        <f>+'ex BH PW'!V236</f>
        <v>0</v>
      </c>
      <c r="O203" s="133">
        <f>+'ex BH PW'!W236</f>
        <v>0</v>
      </c>
      <c r="P203" s="133">
        <f>+'ex BH PW'!X236</f>
        <v>0</v>
      </c>
      <c r="Q203" s="133">
        <f>+'ex BH PW'!Y236</f>
        <v>0</v>
      </c>
      <c r="R203" s="133">
        <f>+'ex BH PW'!Z236</f>
        <v>0</v>
      </c>
      <c r="S203" s="133">
        <f>+'ex BH PW'!AA236</f>
        <v>0</v>
      </c>
      <c r="T203" s="133">
        <f>+'ex BH PW'!AB236</f>
        <v>0</v>
      </c>
      <c r="U203" s="133">
        <f>+'ex BH PW'!AC236</f>
        <v>0</v>
      </c>
      <c r="V203" s="133">
        <f>+'ex BH PW'!AD236</f>
        <v>0</v>
      </c>
      <c r="W203" s="133">
        <f>+'ex BH PW'!AE236</f>
        <v>0</v>
      </c>
      <c r="X203" s="133">
        <f>+'ex BH PW'!AF236</f>
        <v>0</v>
      </c>
      <c r="Y203" s="133">
        <f>+'ex BH PW'!AG236</f>
        <v>0</v>
      </c>
      <c r="Z203" s="133">
        <f>+'ex BH PW'!AH236</f>
        <v>0</v>
      </c>
    </row>
    <row r="204" spans="1:26" x14ac:dyDescent="0.25">
      <c r="A204" s="132">
        <f>+'ex BH PW'!H237</f>
        <v>0</v>
      </c>
      <c r="B204" s="133">
        <f>+'ex BH PW'!J237</f>
        <v>0</v>
      </c>
      <c r="C204" s="133">
        <f>+'ex BH PW'!I237</f>
        <v>0</v>
      </c>
      <c r="D204" s="133">
        <f>+'ex BH PW'!K237</f>
        <v>0</v>
      </c>
      <c r="E204" s="133">
        <f>+'ex BH PW'!L237</f>
        <v>0</v>
      </c>
      <c r="F204" s="133">
        <f>+'ex BH PW'!M237</f>
        <v>0</v>
      </c>
      <c r="G204" s="133">
        <f>+'ex BH PW'!N237</f>
        <v>0</v>
      </c>
      <c r="H204" s="133">
        <f>+'ex BH PW'!P237</f>
        <v>0</v>
      </c>
      <c r="I204" s="133">
        <f>+'ex BH PW'!Q237</f>
        <v>0</v>
      </c>
      <c r="J204" s="133">
        <f>+'ex BH PW'!R237</f>
        <v>0</v>
      </c>
      <c r="K204" s="133">
        <f>+'ex BH PW'!S237</f>
        <v>0</v>
      </c>
      <c r="L204" s="133">
        <f>+'ex BH PW'!T237</f>
        <v>0</v>
      </c>
      <c r="M204" s="133">
        <f>+'ex BH PW'!U237</f>
        <v>0</v>
      </c>
      <c r="N204" s="133">
        <f>+'ex BH PW'!V237</f>
        <v>0</v>
      </c>
      <c r="O204" s="133">
        <f>+'ex BH PW'!W237</f>
        <v>0</v>
      </c>
      <c r="P204" s="133">
        <f>+'ex BH PW'!X237</f>
        <v>0</v>
      </c>
      <c r="Q204" s="133">
        <f>+'ex BH PW'!Y237</f>
        <v>0</v>
      </c>
      <c r="R204" s="133">
        <f>+'ex BH PW'!Z237</f>
        <v>0</v>
      </c>
      <c r="S204" s="133">
        <f>+'ex BH PW'!AA237</f>
        <v>0</v>
      </c>
      <c r="T204" s="133">
        <f>+'ex BH PW'!AB237</f>
        <v>0</v>
      </c>
      <c r="U204" s="133">
        <f>+'ex BH PW'!AC237</f>
        <v>0</v>
      </c>
      <c r="V204" s="133">
        <f>+'ex BH PW'!AD237</f>
        <v>0</v>
      </c>
      <c r="W204" s="133">
        <f>+'ex BH PW'!AE237</f>
        <v>0</v>
      </c>
      <c r="X204" s="133">
        <f>+'ex BH PW'!AF237</f>
        <v>0</v>
      </c>
      <c r="Y204" s="133">
        <f>+'ex BH PW'!AG237</f>
        <v>0</v>
      </c>
      <c r="Z204" s="133">
        <f>+'ex BH PW'!AH237</f>
        <v>0</v>
      </c>
    </row>
    <row r="205" spans="1:26" x14ac:dyDescent="0.25">
      <c r="A205" s="132">
        <f>+'ex BH PW'!H238</f>
        <v>0</v>
      </c>
      <c r="B205" s="133">
        <f>+'ex BH PW'!J238</f>
        <v>0</v>
      </c>
      <c r="C205" s="133">
        <f>+'ex BH PW'!I238</f>
        <v>0</v>
      </c>
      <c r="D205" s="133">
        <f>+'ex BH PW'!K238</f>
        <v>0</v>
      </c>
      <c r="E205" s="133">
        <f>+'ex BH PW'!L238</f>
        <v>0</v>
      </c>
      <c r="F205" s="133">
        <f>+'ex BH PW'!M238</f>
        <v>0</v>
      </c>
      <c r="G205" s="133">
        <f>+'ex BH PW'!N238</f>
        <v>0</v>
      </c>
      <c r="H205" s="133">
        <f>+'ex BH PW'!P238</f>
        <v>0</v>
      </c>
      <c r="I205" s="133">
        <f>+'ex BH PW'!Q238</f>
        <v>0</v>
      </c>
      <c r="J205" s="133">
        <f>+'ex BH PW'!R238</f>
        <v>0</v>
      </c>
      <c r="K205" s="133">
        <f>+'ex BH PW'!S238</f>
        <v>0</v>
      </c>
      <c r="L205" s="133">
        <f>+'ex BH PW'!T238</f>
        <v>0</v>
      </c>
      <c r="M205" s="133">
        <f>+'ex BH PW'!U238</f>
        <v>0</v>
      </c>
      <c r="N205" s="133">
        <f>+'ex BH PW'!V238</f>
        <v>0</v>
      </c>
      <c r="O205" s="133">
        <f>+'ex BH PW'!W238</f>
        <v>0</v>
      </c>
      <c r="P205" s="133">
        <f>+'ex BH PW'!X238</f>
        <v>0</v>
      </c>
      <c r="Q205" s="133">
        <f>+'ex BH PW'!Y238</f>
        <v>0</v>
      </c>
      <c r="R205" s="133">
        <f>+'ex BH PW'!Z238</f>
        <v>0</v>
      </c>
      <c r="S205" s="133">
        <f>+'ex BH PW'!AA238</f>
        <v>0</v>
      </c>
      <c r="T205" s="133">
        <f>+'ex BH PW'!AB238</f>
        <v>0</v>
      </c>
      <c r="U205" s="133">
        <f>+'ex BH PW'!AC238</f>
        <v>0</v>
      </c>
      <c r="V205" s="133">
        <f>+'ex BH PW'!AD238</f>
        <v>0</v>
      </c>
      <c r="W205" s="133">
        <f>+'ex BH PW'!AE238</f>
        <v>0</v>
      </c>
      <c r="X205" s="133">
        <f>+'ex BH PW'!AF238</f>
        <v>0</v>
      </c>
      <c r="Y205" s="133">
        <f>+'ex BH PW'!AG238</f>
        <v>0</v>
      </c>
      <c r="Z205" s="133">
        <f>+'ex BH PW'!AH238</f>
        <v>0</v>
      </c>
    </row>
  </sheetData>
  <pageMargins left="0.7" right="0.7" top="0.78749999999999998" bottom="0.78749999999999998" header="0.511811023622047" footer="0.511811023622047"/>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Tabelle9"/>
  <dimension ref="A1:C171"/>
  <sheetViews>
    <sheetView topLeftCell="A55" zoomScaleNormal="100" workbookViewId="0">
      <selection activeCell="A60" sqref="A60"/>
    </sheetView>
  </sheetViews>
  <sheetFormatPr baseColWidth="10" defaultColWidth="8.5703125" defaultRowHeight="15" x14ac:dyDescent="0.25"/>
  <cols>
    <col min="1" max="1" width="51.5703125" customWidth="1"/>
    <col min="2" max="2" width="12.42578125" customWidth="1"/>
    <col min="3" max="3" width="83.85546875" customWidth="1"/>
    <col min="4" max="1025" width="10.42578125" customWidth="1"/>
  </cols>
  <sheetData>
    <row r="1" spans="1:3" x14ac:dyDescent="0.25">
      <c r="A1" t="s">
        <v>1602</v>
      </c>
    </row>
    <row r="2" spans="1:3" s="134" customFormat="1" ht="18.75" x14ac:dyDescent="0.3">
      <c r="A2" s="134" t="s">
        <v>1603</v>
      </c>
      <c r="B2" s="134" t="s">
        <v>1604</v>
      </c>
      <c r="C2" s="134" t="s">
        <v>1605</v>
      </c>
    </row>
    <row r="3" spans="1:3" x14ac:dyDescent="0.25">
      <c r="A3" t="s">
        <v>1606</v>
      </c>
    </row>
    <row r="4" spans="1:3" x14ac:dyDescent="0.25">
      <c r="A4" t="s">
        <v>43</v>
      </c>
      <c r="B4" t="s">
        <v>1098</v>
      </c>
      <c r="C4" t="s">
        <v>1607</v>
      </c>
    </row>
    <row r="5" spans="1:3" x14ac:dyDescent="0.25">
      <c r="A5" t="s">
        <v>45</v>
      </c>
      <c r="B5" s="135">
        <v>950212022</v>
      </c>
    </row>
    <row r="6" spans="1:3" x14ac:dyDescent="0.25">
      <c r="A6" t="s">
        <v>1608</v>
      </c>
      <c r="B6" t="s">
        <v>1111</v>
      </c>
      <c r="C6" t="s">
        <v>1609</v>
      </c>
    </row>
    <row r="7" spans="1:3" x14ac:dyDescent="0.25">
      <c r="A7" t="s">
        <v>1610</v>
      </c>
    </row>
    <row r="8" spans="1:3" x14ac:dyDescent="0.25">
      <c r="A8" t="s">
        <v>55</v>
      </c>
      <c r="B8" t="s">
        <v>1611</v>
      </c>
      <c r="C8" t="s">
        <v>1609</v>
      </c>
    </row>
    <row r="9" spans="1:3" x14ac:dyDescent="0.25">
      <c r="A9" t="s">
        <v>1612</v>
      </c>
    </row>
    <row r="10" spans="1:3" ht="45" x14ac:dyDescent="0.25">
      <c r="A10" t="s">
        <v>1613</v>
      </c>
      <c r="B10" t="s">
        <v>1614</v>
      </c>
      <c r="C10" s="136" t="s">
        <v>1615</v>
      </c>
    </row>
    <row r="11" spans="1:3" ht="30" x14ac:dyDescent="0.25">
      <c r="A11" t="s">
        <v>1613</v>
      </c>
      <c r="B11" t="s">
        <v>1098</v>
      </c>
      <c r="C11" s="136" t="s">
        <v>1616</v>
      </c>
    </row>
    <row r="12" spans="1:3" ht="30" x14ac:dyDescent="0.25">
      <c r="A12" t="s">
        <v>1613</v>
      </c>
      <c r="B12" t="s">
        <v>1617</v>
      </c>
      <c r="C12" s="136" t="s">
        <v>1618</v>
      </c>
    </row>
    <row r="13" spans="1:3" ht="75" x14ac:dyDescent="0.25">
      <c r="A13" t="s">
        <v>1613</v>
      </c>
      <c r="B13" t="s">
        <v>1619</v>
      </c>
      <c r="C13" s="136" t="s">
        <v>1620</v>
      </c>
    </row>
    <row r="14" spans="1:3" ht="30" x14ac:dyDescent="0.25">
      <c r="A14" t="s">
        <v>1613</v>
      </c>
      <c r="B14" t="s">
        <v>1621</v>
      </c>
      <c r="C14" s="136" t="s">
        <v>1622</v>
      </c>
    </row>
    <row r="15" spans="1:3" x14ac:dyDescent="0.25">
      <c r="A15" t="s">
        <v>1623</v>
      </c>
    </row>
    <row r="16" spans="1:3" x14ac:dyDescent="0.25">
      <c r="A16" t="s">
        <v>1624</v>
      </c>
    </row>
    <row r="17" spans="1:3" ht="45" x14ac:dyDescent="0.25">
      <c r="A17" t="s">
        <v>1625</v>
      </c>
      <c r="B17" t="s">
        <v>463</v>
      </c>
      <c r="C17" s="136" t="s">
        <v>1626</v>
      </c>
    </row>
    <row r="18" spans="1:3" x14ac:dyDescent="0.25">
      <c r="A18" t="s">
        <v>1625</v>
      </c>
      <c r="B18" t="s">
        <v>1134</v>
      </c>
      <c r="C18" t="s">
        <v>1627</v>
      </c>
    </row>
    <row r="19" spans="1:3" x14ac:dyDescent="0.25">
      <c r="A19" t="s">
        <v>1628</v>
      </c>
    </row>
    <row r="20" spans="1:3" x14ac:dyDescent="0.25">
      <c r="A20" t="s">
        <v>1629</v>
      </c>
    </row>
    <row r="21" spans="1:3" x14ac:dyDescent="0.25">
      <c r="A21" t="s">
        <v>1630</v>
      </c>
      <c r="B21" t="s">
        <v>1139</v>
      </c>
      <c r="C21" t="s">
        <v>1609</v>
      </c>
    </row>
    <row r="22" spans="1:3" x14ac:dyDescent="0.25">
      <c r="A22" t="s">
        <v>1631</v>
      </c>
    </row>
    <row r="23" spans="1:3" x14ac:dyDescent="0.25">
      <c r="A23" t="s">
        <v>105</v>
      </c>
      <c r="B23" t="s">
        <v>1098</v>
      </c>
      <c r="C23" t="s">
        <v>1607</v>
      </c>
    </row>
    <row r="24" spans="1:3" x14ac:dyDescent="0.25">
      <c r="A24" t="s">
        <v>1632</v>
      </c>
    </row>
    <row r="25" spans="1:3" x14ac:dyDescent="0.25">
      <c r="A25" t="s">
        <v>113</v>
      </c>
      <c r="B25" t="s">
        <v>1159</v>
      </c>
      <c r="C25" t="s">
        <v>1609</v>
      </c>
    </row>
    <row r="26" spans="1:3" ht="60" x14ac:dyDescent="0.25">
      <c r="A26" t="s">
        <v>113</v>
      </c>
      <c r="B26" t="s">
        <v>1161</v>
      </c>
      <c r="C26" s="136" t="s">
        <v>1633</v>
      </c>
    </row>
    <row r="27" spans="1:3" ht="30" x14ac:dyDescent="0.25">
      <c r="A27" t="s">
        <v>1634</v>
      </c>
      <c r="B27" t="s">
        <v>1165</v>
      </c>
      <c r="C27" s="136" t="s">
        <v>1635</v>
      </c>
    </row>
    <row r="28" spans="1:3" ht="45" x14ac:dyDescent="0.25">
      <c r="A28" t="s">
        <v>1634</v>
      </c>
      <c r="B28" t="s">
        <v>1636</v>
      </c>
      <c r="C28" s="136" t="s">
        <v>1637</v>
      </c>
    </row>
    <row r="29" spans="1:3" ht="30" x14ac:dyDescent="0.25">
      <c r="A29" t="s">
        <v>1634</v>
      </c>
      <c r="B29" t="s">
        <v>1638</v>
      </c>
      <c r="C29" s="136" t="s">
        <v>1639</v>
      </c>
    </row>
    <row r="30" spans="1:3" ht="30" x14ac:dyDescent="0.25">
      <c r="A30" t="s">
        <v>1634</v>
      </c>
      <c r="B30" t="s">
        <v>1640</v>
      </c>
      <c r="C30" s="136" t="s">
        <v>1639</v>
      </c>
    </row>
    <row r="31" spans="1:3" ht="30" x14ac:dyDescent="0.25">
      <c r="A31" t="s">
        <v>1634</v>
      </c>
      <c r="B31" t="s">
        <v>1641</v>
      </c>
      <c r="C31" s="136" t="s">
        <v>1639</v>
      </c>
    </row>
    <row r="32" spans="1:3" ht="30" x14ac:dyDescent="0.25">
      <c r="A32" t="s">
        <v>1634</v>
      </c>
      <c r="B32" t="s">
        <v>1642</v>
      </c>
      <c r="C32" s="136" t="s">
        <v>1639</v>
      </c>
    </row>
    <row r="33" spans="1:3" ht="30" x14ac:dyDescent="0.25">
      <c r="A33" t="s">
        <v>1634</v>
      </c>
      <c r="B33" t="s">
        <v>1195</v>
      </c>
      <c r="C33" s="136" t="s">
        <v>1643</v>
      </c>
    </row>
    <row r="34" spans="1:3" x14ac:dyDescent="0.25">
      <c r="A34" t="s">
        <v>1644</v>
      </c>
      <c r="B34" t="s">
        <v>1198</v>
      </c>
      <c r="C34" t="s">
        <v>1609</v>
      </c>
    </row>
    <row r="35" spans="1:3" x14ac:dyDescent="0.25">
      <c r="A35" t="s">
        <v>1645</v>
      </c>
    </row>
    <row r="36" spans="1:3" x14ac:dyDescent="0.25">
      <c r="A36" t="s">
        <v>132</v>
      </c>
      <c r="B36" t="s">
        <v>1646</v>
      </c>
      <c r="C36" t="s">
        <v>1647</v>
      </c>
    </row>
    <row r="37" spans="1:3" x14ac:dyDescent="0.25">
      <c r="A37" t="s">
        <v>1648</v>
      </c>
      <c r="B37" t="s">
        <v>1208</v>
      </c>
      <c r="C37" t="s">
        <v>1609</v>
      </c>
    </row>
    <row r="38" spans="1:3" x14ac:dyDescent="0.25">
      <c r="A38" t="s">
        <v>1649</v>
      </c>
    </row>
    <row r="39" spans="1:3" x14ac:dyDescent="0.25">
      <c r="A39" t="s">
        <v>1650</v>
      </c>
      <c r="B39" t="s">
        <v>1217</v>
      </c>
      <c r="C39" t="s">
        <v>1609</v>
      </c>
    </row>
    <row r="40" spans="1:3" x14ac:dyDescent="0.25">
      <c r="A40" t="s">
        <v>1651</v>
      </c>
    </row>
    <row r="41" spans="1:3" x14ac:dyDescent="0.25">
      <c r="A41" t="s">
        <v>1652</v>
      </c>
    </row>
    <row r="42" spans="1:3" x14ac:dyDescent="0.25">
      <c r="A42" t="s">
        <v>1221</v>
      </c>
    </row>
    <row r="43" spans="1:3" x14ac:dyDescent="0.25">
      <c r="A43" t="s">
        <v>1653</v>
      </c>
      <c r="B43" t="s">
        <v>1211</v>
      </c>
      <c r="C43" t="s">
        <v>1609</v>
      </c>
    </row>
    <row r="44" spans="1:3" x14ac:dyDescent="0.25">
      <c r="A44" t="s">
        <v>168</v>
      </c>
      <c r="B44" t="s">
        <v>1233</v>
      </c>
      <c r="C44" t="s">
        <v>1609</v>
      </c>
    </row>
    <row r="45" spans="1:3" x14ac:dyDescent="0.25">
      <c r="A45" t="s">
        <v>1654</v>
      </c>
    </row>
    <row r="46" spans="1:3" x14ac:dyDescent="0.25">
      <c r="A46" t="s">
        <v>1655</v>
      </c>
    </row>
    <row r="47" spans="1:3" x14ac:dyDescent="0.25">
      <c r="A47" t="s">
        <v>1656</v>
      </c>
      <c r="B47" t="s">
        <v>1098</v>
      </c>
      <c r="C47" t="s">
        <v>1607</v>
      </c>
    </row>
    <row r="48" spans="1:3" x14ac:dyDescent="0.25">
      <c r="A48" t="s">
        <v>1657</v>
      </c>
    </row>
    <row r="49" spans="1:3" x14ac:dyDescent="0.25">
      <c r="A49" t="s">
        <v>1658</v>
      </c>
    </row>
    <row r="50" spans="1:3" x14ac:dyDescent="0.25">
      <c r="A50" t="s">
        <v>1659</v>
      </c>
      <c r="B50" t="s">
        <v>1660</v>
      </c>
      <c r="C50" t="s">
        <v>1609</v>
      </c>
    </row>
    <row r="51" spans="1:3" x14ac:dyDescent="0.25">
      <c r="A51" t="s">
        <v>1661</v>
      </c>
    </row>
    <row r="52" spans="1:3" ht="45" x14ac:dyDescent="0.25">
      <c r="A52" t="s">
        <v>1662</v>
      </c>
      <c r="B52" t="s">
        <v>1663</v>
      </c>
      <c r="C52" s="136" t="s">
        <v>1664</v>
      </c>
    </row>
    <row r="53" spans="1:3" ht="45" x14ac:dyDescent="0.25">
      <c r="A53" t="s">
        <v>1662</v>
      </c>
      <c r="B53">
        <v>806252</v>
      </c>
      <c r="C53" s="136" t="s">
        <v>1665</v>
      </c>
    </row>
    <row r="54" spans="1:3" x14ac:dyDescent="0.25">
      <c r="A54" t="s">
        <v>1666</v>
      </c>
    </row>
    <row r="55" spans="1:3" x14ac:dyDescent="0.25">
      <c r="A55" t="s">
        <v>1667</v>
      </c>
    </row>
    <row r="56" spans="1:3" ht="11.25" customHeight="1" x14ac:dyDescent="0.25">
      <c r="A56" t="s">
        <v>1668</v>
      </c>
      <c r="B56" t="s">
        <v>1247</v>
      </c>
      <c r="C56" s="136" t="s">
        <v>1669</v>
      </c>
    </row>
    <row r="57" spans="1:3" x14ac:dyDescent="0.25">
      <c r="A57" t="s">
        <v>1670</v>
      </c>
    </row>
    <row r="58" spans="1:3" x14ac:dyDescent="0.25">
      <c r="A58" t="s">
        <v>1671</v>
      </c>
    </row>
    <row r="59" spans="1:3" x14ac:dyDescent="0.25">
      <c r="A59" t="s">
        <v>1672</v>
      </c>
      <c r="B59" t="s">
        <v>1260</v>
      </c>
      <c r="C59" t="s">
        <v>1609</v>
      </c>
    </row>
    <row r="60" spans="1:3" x14ac:dyDescent="0.25">
      <c r="A60" t="s">
        <v>1672</v>
      </c>
      <c r="B60" t="s">
        <v>1261</v>
      </c>
      <c r="C60" t="s">
        <v>1673</v>
      </c>
    </row>
    <row r="61" spans="1:3" ht="14.25" customHeight="1" x14ac:dyDescent="0.25">
      <c r="A61" t="s">
        <v>1674</v>
      </c>
      <c r="B61" t="s">
        <v>1675</v>
      </c>
      <c r="C61" s="136" t="s">
        <v>1615</v>
      </c>
    </row>
    <row r="62" spans="1:3" x14ac:dyDescent="0.25">
      <c r="A62" t="s">
        <v>1676</v>
      </c>
    </row>
    <row r="63" spans="1:3" x14ac:dyDescent="0.25">
      <c r="A63" t="s">
        <v>1677</v>
      </c>
    </row>
    <row r="64" spans="1:3" x14ac:dyDescent="0.25">
      <c r="A64" t="s">
        <v>1678</v>
      </c>
      <c r="B64" t="s">
        <v>1273</v>
      </c>
      <c r="C64" t="s">
        <v>1609</v>
      </c>
    </row>
    <row r="65" spans="1:3" x14ac:dyDescent="0.25">
      <c r="A65" t="s">
        <v>1679</v>
      </c>
    </row>
    <row r="66" spans="1:3" x14ac:dyDescent="0.25">
      <c r="A66" t="s">
        <v>1680</v>
      </c>
      <c r="B66" t="s">
        <v>1302</v>
      </c>
      <c r="C66" t="s">
        <v>1609</v>
      </c>
    </row>
    <row r="67" spans="1:3" x14ac:dyDescent="0.25">
      <c r="A67" t="s">
        <v>1681</v>
      </c>
    </row>
    <row r="68" spans="1:3" x14ac:dyDescent="0.25">
      <c r="A68" t="s">
        <v>1682</v>
      </c>
      <c r="B68" t="s">
        <v>1329</v>
      </c>
      <c r="C68" t="s">
        <v>1647</v>
      </c>
    </row>
    <row r="69" spans="1:3" x14ac:dyDescent="0.25">
      <c r="A69" t="s">
        <v>1682</v>
      </c>
      <c r="B69" t="s">
        <v>1683</v>
      </c>
      <c r="C69" t="s">
        <v>1609</v>
      </c>
    </row>
    <row r="70" spans="1:3" ht="17.25" customHeight="1" x14ac:dyDescent="0.25">
      <c r="A70" t="s">
        <v>1682</v>
      </c>
      <c r="B70" t="s">
        <v>1684</v>
      </c>
      <c r="C70" s="136" t="s">
        <v>1685</v>
      </c>
    </row>
    <row r="71" spans="1:3" x14ac:dyDescent="0.25">
      <c r="A71" t="s">
        <v>260</v>
      </c>
      <c r="B71" t="s">
        <v>1307</v>
      </c>
      <c r="C71" s="137" t="s">
        <v>1609</v>
      </c>
    </row>
    <row r="72" spans="1:3" x14ac:dyDescent="0.25">
      <c r="A72" t="s">
        <v>1686</v>
      </c>
      <c r="C72" s="137"/>
    </row>
    <row r="73" spans="1:3" x14ac:dyDescent="0.25">
      <c r="A73" t="s">
        <v>1687</v>
      </c>
      <c r="B73" t="s">
        <v>1309</v>
      </c>
      <c r="C73" s="137" t="s">
        <v>1609</v>
      </c>
    </row>
    <row r="74" spans="1:3" x14ac:dyDescent="0.25">
      <c r="A74" t="s">
        <v>1688</v>
      </c>
      <c r="C74" s="137"/>
    </row>
    <row r="75" spans="1:3" ht="15" customHeight="1" x14ac:dyDescent="0.25">
      <c r="A75" t="s">
        <v>1689</v>
      </c>
      <c r="B75" t="s">
        <v>1327</v>
      </c>
      <c r="C75" s="138" t="s">
        <v>1690</v>
      </c>
    </row>
    <row r="76" spans="1:3" x14ac:dyDescent="0.25">
      <c r="A76" t="s">
        <v>280</v>
      </c>
      <c r="B76" t="s">
        <v>1333</v>
      </c>
      <c r="C76" s="137" t="s">
        <v>1647</v>
      </c>
    </row>
    <row r="77" spans="1:3" ht="18" customHeight="1" x14ac:dyDescent="0.25">
      <c r="A77" t="s">
        <v>1689</v>
      </c>
      <c r="B77" t="s">
        <v>1684</v>
      </c>
      <c r="C77" s="137" t="s">
        <v>1691</v>
      </c>
    </row>
    <row r="78" spans="1:3" x14ac:dyDescent="0.25">
      <c r="A78" t="s">
        <v>1692</v>
      </c>
      <c r="B78" t="s">
        <v>1335</v>
      </c>
      <c r="C78" t="s">
        <v>1609</v>
      </c>
    </row>
    <row r="79" spans="1:3" x14ac:dyDescent="0.25">
      <c r="A79" t="s">
        <v>1693</v>
      </c>
    </row>
    <row r="80" spans="1:3" x14ac:dyDescent="0.25">
      <c r="A80" t="s">
        <v>1694</v>
      </c>
    </row>
    <row r="81" spans="1:3" x14ac:dyDescent="0.25">
      <c r="A81" t="s">
        <v>1695</v>
      </c>
    </row>
    <row r="82" spans="1:3" x14ac:dyDescent="0.25">
      <c r="A82" t="s">
        <v>1696</v>
      </c>
      <c r="B82" t="s">
        <v>1098</v>
      </c>
      <c r="C82" t="s">
        <v>1697</v>
      </c>
    </row>
    <row r="83" spans="1:3" x14ac:dyDescent="0.25">
      <c r="A83" t="s">
        <v>1698</v>
      </c>
    </row>
    <row r="84" spans="1:3" x14ac:dyDescent="0.25">
      <c r="A84" t="s">
        <v>1699</v>
      </c>
      <c r="B84" t="s">
        <v>1113</v>
      </c>
      <c r="C84" t="s">
        <v>1609</v>
      </c>
    </row>
    <row r="85" spans="1:3" x14ac:dyDescent="0.25">
      <c r="A85" t="s">
        <v>1700</v>
      </c>
    </row>
    <row r="86" spans="1:3" x14ac:dyDescent="0.25">
      <c r="A86" t="s">
        <v>1701</v>
      </c>
      <c r="B86" t="s">
        <v>1098</v>
      </c>
      <c r="C86" t="s">
        <v>1607</v>
      </c>
    </row>
    <row r="87" spans="1:3" ht="19.5" customHeight="1" x14ac:dyDescent="0.25">
      <c r="A87" t="s">
        <v>1067</v>
      </c>
      <c r="B87" t="s">
        <v>1702</v>
      </c>
      <c r="C87" s="136" t="s">
        <v>1703</v>
      </c>
    </row>
    <row r="88" spans="1:3" ht="17.25" customHeight="1" x14ac:dyDescent="0.25">
      <c r="A88" t="s">
        <v>1067</v>
      </c>
      <c r="B88" t="s">
        <v>1362</v>
      </c>
      <c r="C88" s="136" t="s">
        <v>1704</v>
      </c>
    </row>
    <row r="89" spans="1:3" x14ac:dyDescent="0.25">
      <c r="A89" t="s">
        <v>1705</v>
      </c>
    </row>
    <row r="90" spans="1:3" x14ac:dyDescent="0.25">
      <c r="A90" t="s">
        <v>1706</v>
      </c>
      <c r="B90" t="s">
        <v>1369</v>
      </c>
      <c r="C90" t="s">
        <v>1609</v>
      </c>
    </row>
    <row r="91" spans="1:3" ht="30" x14ac:dyDescent="0.25">
      <c r="A91" t="s">
        <v>1707</v>
      </c>
      <c r="B91" t="s">
        <v>1376</v>
      </c>
      <c r="C91" s="136" t="s">
        <v>1643</v>
      </c>
    </row>
    <row r="92" spans="1:3" x14ac:dyDescent="0.25">
      <c r="A92" t="s">
        <v>1707</v>
      </c>
      <c r="B92" t="s">
        <v>1134</v>
      </c>
      <c r="C92" t="s">
        <v>1627</v>
      </c>
    </row>
    <row r="93" spans="1:3" x14ac:dyDescent="0.25">
      <c r="A93" t="s">
        <v>1708</v>
      </c>
      <c r="B93" t="s">
        <v>1709</v>
      </c>
      <c r="C93" t="s">
        <v>1609</v>
      </c>
    </row>
    <row r="94" spans="1:3" x14ac:dyDescent="0.25">
      <c r="A94" t="s">
        <v>1710</v>
      </c>
    </row>
    <row r="95" spans="1:3" x14ac:dyDescent="0.25">
      <c r="A95" t="s">
        <v>384</v>
      </c>
    </row>
    <row r="96" spans="1:3" ht="45" x14ac:dyDescent="0.25">
      <c r="A96" t="s">
        <v>1711</v>
      </c>
      <c r="B96" t="s">
        <v>1712</v>
      </c>
      <c r="C96" s="136" t="s">
        <v>1713</v>
      </c>
    </row>
    <row r="97" spans="1:3" ht="30" x14ac:dyDescent="0.25">
      <c r="A97" t="s">
        <v>1711</v>
      </c>
      <c r="B97" t="s">
        <v>1714</v>
      </c>
      <c r="C97" s="136" t="s">
        <v>1715</v>
      </c>
    </row>
    <row r="98" spans="1:3" ht="30" x14ac:dyDescent="0.25">
      <c r="A98" t="s">
        <v>1711</v>
      </c>
      <c r="B98" t="s">
        <v>1393</v>
      </c>
      <c r="C98" s="136" t="s">
        <v>1715</v>
      </c>
    </row>
    <row r="99" spans="1:3" ht="30" x14ac:dyDescent="0.25">
      <c r="A99" t="s">
        <v>1711</v>
      </c>
      <c r="B99" t="s">
        <v>1716</v>
      </c>
      <c r="C99" s="136" t="s">
        <v>1715</v>
      </c>
    </row>
    <row r="100" spans="1:3" ht="30" x14ac:dyDescent="0.25">
      <c r="A100" t="s">
        <v>1711</v>
      </c>
      <c r="B100" t="s">
        <v>1717</v>
      </c>
      <c r="C100" s="136" t="s">
        <v>1715</v>
      </c>
    </row>
    <row r="101" spans="1:3" x14ac:dyDescent="0.25">
      <c r="A101" t="s">
        <v>1718</v>
      </c>
    </row>
    <row r="102" spans="1:3" x14ac:dyDescent="0.25">
      <c r="A102" t="s">
        <v>387</v>
      </c>
    </row>
    <row r="103" spans="1:3" x14ac:dyDescent="0.25">
      <c r="A103" t="s">
        <v>1719</v>
      </c>
      <c r="B103" t="s">
        <v>1720</v>
      </c>
      <c r="C103" t="s">
        <v>1609</v>
      </c>
    </row>
    <row r="104" spans="1:3" x14ac:dyDescent="0.25">
      <c r="A104" t="s">
        <v>1721</v>
      </c>
    </row>
    <row r="105" spans="1:3" x14ac:dyDescent="0.25">
      <c r="A105" t="s">
        <v>1722</v>
      </c>
      <c r="B105" t="s">
        <v>1370</v>
      </c>
      <c r="C105" t="s">
        <v>1609</v>
      </c>
    </row>
    <row r="106" spans="1:3" x14ac:dyDescent="0.25">
      <c r="A106" t="s">
        <v>1723</v>
      </c>
    </row>
    <row r="107" spans="1:3" x14ac:dyDescent="0.25">
      <c r="A107" t="s">
        <v>1724</v>
      </c>
    </row>
    <row r="108" spans="1:3" x14ac:dyDescent="0.25">
      <c r="A108" t="s">
        <v>1725</v>
      </c>
      <c r="B108" t="s">
        <v>1402</v>
      </c>
      <c r="C108" t="s">
        <v>1609</v>
      </c>
    </row>
    <row r="109" spans="1:3" x14ac:dyDescent="0.25">
      <c r="A109" t="s">
        <v>1726</v>
      </c>
    </row>
    <row r="110" spans="1:3" x14ac:dyDescent="0.25">
      <c r="A110" t="s">
        <v>1727</v>
      </c>
    </row>
    <row r="111" spans="1:3" x14ac:dyDescent="0.25">
      <c r="A111" t="s">
        <v>1728</v>
      </c>
    </row>
    <row r="112" spans="1:3" ht="30" x14ac:dyDescent="0.25">
      <c r="A112" t="s">
        <v>1729</v>
      </c>
      <c r="B112" t="s">
        <v>419</v>
      </c>
      <c r="C112" s="136" t="s">
        <v>1618</v>
      </c>
    </row>
    <row r="113" spans="1:3" ht="45" x14ac:dyDescent="0.25">
      <c r="A113" t="s">
        <v>1729</v>
      </c>
      <c r="B113" t="s">
        <v>423</v>
      </c>
      <c r="C113" s="136" t="s">
        <v>1637</v>
      </c>
    </row>
    <row r="114" spans="1:3" ht="30" x14ac:dyDescent="0.25">
      <c r="A114" t="s">
        <v>1730</v>
      </c>
      <c r="B114" t="s">
        <v>462</v>
      </c>
      <c r="C114" s="136" t="s">
        <v>1731</v>
      </c>
    </row>
    <row r="115" spans="1:3" x14ac:dyDescent="0.25">
      <c r="A115" t="s">
        <v>1732</v>
      </c>
      <c r="B115" t="s">
        <v>1733</v>
      </c>
      <c r="C115" t="s">
        <v>1734</v>
      </c>
    </row>
    <row r="116" spans="1:3" x14ac:dyDescent="0.25">
      <c r="A116" t="s">
        <v>1732</v>
      </c>
      <c r="B116" t="s">
        <v>1735</v>
      </c>
      <c r="C116" t="s">
        <v>1609</v>
      </c>
    </row>
    <row r="117" spans="1:3" x14ac:dyDescent="0.25">
      <c r="A117" t="s">
        <v>1736</v>
      </c>
      <c r="B117" t="s">
        <v>500</v>
      </c>
      <c r="C117" t="s">
        <v>1609</v>
      </c>
    </row>
    <row r="118" spans="1:3" x14ac:dyDescent="0.25">
      <c r="A118" t="s">
        <v>1737</v>
      </c>
    </row>
    <row r="119" spans="1:3" x14ac:dyDescent="0.25">
      <c r="A119" t="s">
        <v>1738</v>
      </c>
    </row>
    <row r="120" spans="1:3" x14ac:dyDescent="0.25">
      <c r="A120" t="s">
        <v>1739</v>
      </c>
    </row>
    <row r="121" spans="1:3" x14ac:dyDescent="0.25">
      <c r="A121" t="s">
        <v>1740</v>
      </c>
    </row>
    <row r="122" spans="1:3" x14ac:dyDescent="0.25">
      <c r="A122" t="s">
        <v>1741</v>
      </c>
    </row>
    <row r="123" spans="1:3" x14ac:dyDescent="0.25">
      <c r="A123" t="s">
        <v>1742</v>
      </c>
      <c r="B123" t="s">
        <v>523</v>
      </c>
      <c r="C123" t="s">
        <v>1609</v>
      </c>
    </row>
    <row r="124" spans="1:3" ht="60" x14ac:dyDescent="0.25">
      <c r="A124" t="s">
        <v>1743</v>
      </c>
      <c r="B124" t="s">
        <v>547</v>
      </c>
      <c r="C124" s="136" t="s">
        <v>1703</v>
      </c>
    </row>
    <row r="125" spans="1:3" ht="30" x14ac:dyDescent="0.25">
      <c r="A125" t="s">
        <v>1743</v>
      </c>
      <c r="B125" t="s">
        <v>542</v>
      </c>
      <c r="C125" s="136" t="s">
        <v>1744</v>
      </c>
    </row>
    <row r="126" spans="1:3" x14ac:dyDescent="0.25">
      <c r="A126" t="s">
        <v>1745</v>
      </c>
    </row>
    <row r="127" spans="1:3" x14ac:dyDescent="0.25">
      <c r="A127" t="s">
        <v>1746</v>
      </c>
    </row>
    <row r="128" spans="1:3" ht="30" x14ac:dyDescent="0.25">
      <c r="A128" t="s">
        <v>1747</v>
      </c>
      <c r="B128" t="s">
        <v>1748</v>
      </c>
      <c r="C128" s="136" t="s">
        <v>1749</v>
      </c>
    </row>
    <row r="129" spans="1:3" x14ac:dyDescent="0.25">
      <c r="A129" t="s">
        <v>1750</v>
      </c>
      <c r="B129" t="s">
        <v>1751</v>
      </c>
      <c r="C129" t="s">
        <v>1752</v>
      </c>
    </row>
    <row r="130" spans="1:3" x14ac:dyDescent="0.25">
      <c r="A130" t="s">
        <v>1753</v>
      </c>
    </row>
    <row r="131" spans="1:3" x14ac:dyDescent="0.25">
      <c r="A131" t="s">
        <v>1754</v>
      </c>
    </row>
    <row r="132" spans="1:3" x14ac:dyDescent="0.25">
      <c r="A132" t="s">
        <v>1755</v>
      </c>
    </row>
    <row r="133" spans="1:3" x14ac:dyDescent="0.25">
      <c r="A133" t="s">
        <v>1756</v>
      </c>
    </row>
    <row r="134" spans="1:3" x14ac:dyDescent="0.25">
      <c r="A134" t="s">
        <v>1757</v>
      </c>
      <c r="B134" t="s">
        <v>631</v>
      </c>
      <c r="C134" t="s">
        <v>1609</v>
      </c>
    </row>
    <row r="135" spans="1:3" x14ac:dyDescent="0.25">
      <c r="A135" t="s">
        <v>1758</v>
      </c>
      <c r="B135" t="s">
        <v>1759</v>
      </c>
      <c r="C135" t="s">
        <v>1609</v>
      </c>
    </row>
    <row r="136" spans="1:3" x14ac:dyDescent="0.25">
      <c r="A136" t="s">
        <v>1760</v>
      </c>
    </row>
    <row r="137" spans="1:3" x14ac:dyDescent="0.25">
      <c r="A137" t="s">
        <v>1761</v>
      </c>
    </row>
    <row r="138" spans="1:3" x14ac:dyDescent="0.25">
      <c r="A138" t="s">
        <v>1762</v>
      </c>
    </row>
    <row r="139" spans="1:3" x14ac:dyDescent="0.25">
      <c r="A139" t="s">
        <v>1763</v>
      </c>
    </row>
    <row r="140" spans="1:3" x14ac:dyDescent="0.25">
      <c r="A140" t="s">
        <v>1764</v>
      </c>
    </row>
    <row r="141" spans="1:3" x14ac:dyDescent="0.25">
      <c r="A141" t="s">
        <v>1765</v>
      </c>
      <c r="B141" t="s">
        <v>664</v>
      </c>
      <c r="C141" t="s">
        <v>1647</v>
      </c>
    </row>
    <row r="142" spans="1:3" x14ac:dyDescent="0.25">
      <c r="A142" t="s">
        <v>1765</v>
      </c>
      <c r="B142" t="s">
        <v>1244</v>
      </c>
      <c r="C142" t="s">
        <v>1647</v>
      </c>
    </row>
    <row r="143" spans="1:3" x14ac:dyDescent="0.25">
      <c r="A143" t="s">
        <v>1766</v>
      </c>
      <c r="B143" t="s">
        <v>681</v>
      </c>
      <c r="C143" t="s">
        <v>1609</v>
      </c>
    </row>
    <row r="144" spans="1:3" x14ac:dyDescent="0.25">
      <c r="A144" t="s">
        <v>1767</v>
      </c>
      <c r="B144" t="s">
        <v>685</v>
      </c>
      <c r="C144" t="s">
        <v>1609</v>
      </c>
    </row>
    <row r="145" spans="1:3" x14ac:dyDescent="0.25">
      <c r="A145" t="s">
        <v>1768</v>
      </c>
    </row>
    <row r="146" spans="1:3" x14ac:dyDescent="0.25">
      <c r="A146" t="s">
        <v>1769</v>
      </c>
    </row>
    <row r="147" spans="1:3" x14ac:dyDescent="0.25">
      <c r="A147" t="s">
        <v>1770</v>
      </c>
      <c r="B147" t="s">
        <v>708</v>
      </c>
      <c r="C147" t="s">
        <v>1609</v>
      </c>
    </row>
    <row r="148" spans="1:3" x14ac:dyDescent="0.25">
      <c r="A148" t="s">
        <v>1771</v>
      </c>
    </row>
    <row r="149" spans="1:3" x14ac:dyDescent="0.25">
      <c r="A149" t="s">
        <v>1772</v>
      </c>
      <c r="B149" t="s">
        <v>712</v>
      </c>
      <c r="C149" t="s">
        <v>1609</v>
      </c>
    </row>
    <row r="150" spans="1:3" x14ac:dyDescent="0.25">
      <c r="A150" t="s">
        <v>1773</v>
      </c>
    </row>
    <row r="151" spans="1:3" x14ac:dyDescent="0.25">
      <c r="A151" t="s">
        <v>1774</v>
      </c>
    </row>
    <row r="152" spans="1:3" x14ac:dyDescent="0.25">
      <c r="A152" t="s">
        <v>1775</v>
      </c>
      <c r="B152" t="s">
        <v>1098</v>
      </c>
      <c r="C152" t="s">
        <v>1607</v>
      </c>
    </row>
    <row r="153" spans="1:3" x14ac:dyDescent="0.25">
      <c r="A153" t="s">
        <v>1776</v>
      </c>
      <c r="B153" t="s">
        <v>731</v>
      </c>
      <c r="C153" t="s">
        <v>1609</v>
      </c>
    </row>
    <row r="154" spans="1:3" x14ac:dyDescent="0.25">
      <c r="A154" t="s">
        <v>1777</v>
      </c>
    </row>
    <row r="155" spans="1:3" x14ac:dyDescent="0.25">
      <c r="A155" t="s">
        <v>1778</v>
      </c>
      <c r="B155" t="s">
        <v>716</v>
      </c>
      <c r="C155" t="s">
        <v>1609</v>
      </c>
    </row>
    <row r="156" spans="1:3" x14ac:dyDescent="0.25">
      <c r="A156" t="s">
        <v>1779</v>
      </c>
    </row>
    <row r="157" spans="1:3" x14ac:dyDescent="0.25">
      <c r="A157" t="s">
        <v>1780</v>
      </c>
      <c r="B157" t="s">
        <v>762</v>
      </c>
      <c r="C157" t="s">
        <v>1609</v>
      </c>
    </row>
    <row r="158" spans="1:3" x14ac:dyDescent="0.25">
      <c r="A158" t="s">
        <v>1781</v>
      </c>
      <c r="B158" t="s">
        <v>1782</v>
      </c>
      <c r="C158" t="s">
        <v>1783</v>
      </c>
    </row>
    <row r="159" spans="1:3" x14ac:dyDescent="0.25">
      <c r="A159" t="s">
        <v>1781</v>
      </c>
      <c r="B159" t="s">
        <v>1709</v>
      </c>
      <c r="C159" t="s">
        <v>1609</v>
      </c>
    </row>
    <row r="160" spans="1:3" x14ac:dyDescent="0.25">
      <c r="A160" t="s">
        <v>1084</v>
      </c>
    </row>
    <row r="161" spans="1:3" x14ac:dyDescent="0.25">
      <c r="A161" t="s">
        <v>1784</v>
      </c>
      <c r="B161" t="s">
        <v>1785</v>
      </c>
      <c r="C161" t="s">
        <v>1609</v>
      </c>
    </row>
    <row r="162" spans="1:3" x14ac:dyDescent="0.25">
      <c r="A162" t="s">
        <v>1786</v>
      </c>
    </row>
    <row r="163" spans="1:3" x14ac:dyDescent="0.25">
      <c r="A163" t="s">
        <v>1787</v>
      </c>
    </row>
    <row r="164" spans="1:3" x14ac:dyDescent="0.25">
      <c r="A164" t="s">
        <v>1788</v>
      </c>
      <c r="B164" t="s">
        <v>1098</v>
      </c>
      <c r="C164" t="s">
        <v>1607</v>
      </c>
    </row>
    <row r="165" spans="1:3" x14ac:dyDescent="0.25">
      <c r="A165" t="s">
        <v>1789</v>
      </c>
      <c r="B165" t="s">
        <v>1790</v>
      </c>
      <c r="C165" t="s">
        <v>1791</v>
      </c>
    </row>
    <row r="166" spans="1:3" ht="21" customHeight="1" x14ac:dyDescent="0.25">
      <c r="A166" t="s">
        <v>1792</v>
      </c>
      <c r="B166" t="s">
        <v>1508</v>
      </c>
      <c r="C166" s="136" t="s">
        <v>1793</v>
      </c>
    </row>
    <row r="167" spans="1:3" ht="30" x14ac:dyDescent="0.25">
      <c r="A167" t="s">
        <v>1794</v>
      </c>
      <c r="B167" t="s">
        <v>848</v>
      </c>
      <c r="C167" s="136" t="s">
        <v>1795</v>
      </c>
    </row>
    <row r="168" spans="1:3" ht="30" x14ac:dyDescent="0.25">
      <c r="A168" t="s">
        <v>1794</v>
      </c>
      <c r="B168" t="s">
        <v>844</v>
      </c>
      <c r="C168" s="136" t="s">
        <v>1796</v>
      </c>
    </row>
    <row r="169" spans="1:3" ht="60" x14ac:dyDescent="0.25">
      <c r="A169" t="s">
        <v>1794</v>
      </c>
      <c r="B169" t="s">
        <v>854</v>
      </c>
      <c r="C169" s="136" t="s">
        <v>1703</v>
      </c>
    </row>
    <row r="170" spans="1:3" ht="45" x14ac:dyDescent="0.25">
      <c r="A170" t="s">
        <v>916</v>
      </c>
      <c r="B170" t="s">
        <v>872</v>
      </c>
      <c r="C170" s="136" t="s">
        <v>1637</v>
      </c>
    </row>
    <row r="171" spans="1:3" ht="45" x14ac:dyDescent="0.25">
      <c r="A171" t="s">
        <v>916</v>
      </c>
      <c r="B171" t="s">
        <v>896</v>
      </c>
      <c r="C171" s="136" t="s">
        <v>1797</v>
      </c>
    </row>
  </sheetData>
  <pageMargins left="0.7" right="0.7" top="0.78749999999999998" bottom="0.78749999999999998" header="0.511811023622047" footer="0.511811023622047"/>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Tabelle10"/>
  <dimension ref="A1:C39"/>
  <sheetViews>
    <sheetView zoomScaleNormal="100" workbookViewId="0">
      <selection activeCell="C24" sqref="C24"/>
    </sheetView>
  </sheetViews>
  <sheetFormatPr baseColWidth="10" defaultColWidth="8.5703125" defaultRowHeight="15" x14ac:dyDescent="0.25"/>
  <cols>
    <col min="1" max="1" width="18" customWidth="1"/>
    <col min="2" max="2" width="30.5703125" customWidth="1"/>
    <col min="3" max="3" width="44.42578125" customWidth="1"/>
    <col min="4" max="1025" width="11" customWidth="1"/>
  </cols>
  <sheetData>
    <row r="1" spans="1:3" ht="15.75" x14ac:dyDescent="0.25">
      <c r="A1" s="139" t="s">
        <v>1798</v>
      </c>
      <c r="B1" s="139" t="s">
        <v>1799</v>
      </c>
      <c r="C1" s="139" t="s">
        <v>1800</v>
      </c>
    </row>
    <row r="2" spans="1:3" ht="15.75" x14ac:dyDescent="0.25">
      <c r="A2" s="140" t="s">
        <v>1801</v>
      </c>
      <c r="B2" s="140" t="s">
        <v>1802</v>
      </c>
      <c r="C2" s="140" t="s">
        <v>1803</v>
      </c>
    </row>
    <row r="3" spans="1:3" ht="15.75" x14ac:dyDescent="0.25">
      <c r="A3" s="140" t="s">
        <v>1804</v>
      </c>
      <c r="B3" s="140" t="s">
        <v>1805</v>
      </c>
      <c r="C3" s="140" t="s">
        <v>1105</v>
      </c>
    </row>
    <row r="4" spans="1:3" ht="31.5" x14ac:dyDescent="0.25">
      <c r="A4" s="140" t="s">
        <v>1806</v>
      </c>
      <c r="B4" s="140" t="s">
        <v>1807</v>
      </c>
      <c r="C4" s="140" t="s">
        <v>1808</v>
      </c>
    </row>
    <row r="5" spans="1:3" ht="15.75" x14ac:dyDescent="0.25">
      <c r="A5" s="140" t="s">
        <v>1809</v>
      </c>
      <c r="B5" s="140" t="s">
        <v>1810</v>
      </c>
      <c r="C5" s="140" t="s">
        <v>1160</v>
      </c>
    </row>
    <row r="6" spans="1:3" ht="15.75" x14ac:dyDescent="0.25">
      <c r="A6" s="140" t="s">
        <v>1811</v>
      </c>
      <c r="B6" s="140" t="s">
        <v>1812</v>
      </c>
      <c r="C6" s="140" t="s">
        <v>1813</v>
      </c>
    </row>
    <row r="7" spans="1:3" ht="15.75" x14ac:dyDescent="0.25">
      <c r="A7" s="140" t="s">
        <v>1814</v>
      </c>
      <c r="B7" s="140" t="s">
        <v>1815</v>
      </c>
      <c r="C7" s="140" t="s">
        <v>1199</v>
      </c>
    </row>
    <row r="8" spans="1:3" ht="15.75" x14ac:dyDescent="0.25">
      <c r="A8" s="140" t="s">
        <v>1816</v>
      </c>
      <c r="B8" s="140" t="s">
        <v>1817</v>
      </c>
      <c r="C8" s="140" t="s">
        <v>1202</v>
      </c>
    </row>
    <row r="9" spans="1:3" ht="15.75" x14ac:dyDescent="0.25">
      <c r="A9" s="140" t="s">
        <v>1818</v>
      </c>
      <c r="B9" s="140" t="s">
        <v>1648</v>
      </c>
      <c r="C9" s="140" t="s">
        <v>1819</v>
      </c>
    </row>
    <row r="10" spans="1:3" ht="31.5" x14ac:dyDescent="0.25">
      <c r="A10" s="140" t="s">
        <v>1820</v>
      </c>
      <c r="B10" s="140" t="s">
        <v>1821</v>
      </c>
      <c r="C10" s="140" t="s">
        <v>1822</v>
      </c>
    </row>
    <row r="11" spans="1:3" ht="47.25" x14ac:dyDescent="0.25">
      <c r="A11" s="140" t="s">
        <v>1823</v>
      </c>
      <c r="B11" s="140" t="s">
        <v>1824</v>
      </c>
      <c r="C11" s="140" t="s">
        <v>1825</v>
      </c>
    </row>
    <row r="12" spans="1:3" ht="15.75" x14ac:dyDescent="0.25">
      <c r="A12" s="140" t="s">
        <v>1826</v>
      </c>
      <c r="B12" s="140" t="s">
        <v>1827</v>
      </c>
      <c r="C12" s="140" t="s">
        <v>1261</v>
      </c>
    </row>
    <row r="13" spans="1:3" ht="31.5" x14ac:dyDescent="0.25">
      <c r="A13" s="140" t="s">
        <v>1828</v>
      </c>
      <c r="B13" s="140" t="s">
        <v>1829</v>
      </c>
      <c r="C13" s="140" t="s">
        <v>1830</v>
      </c>
    </row>
    <row r="14" spans="1:3" ht="15.75" x14ac:dyDescent="0.25">
      <c r="A14" s="140" t="s">
        <v>1831</v>
      </c>
      <c r="B14" s="140" t="s">
        <v>1832</v>
      </c>
      <c r="C14" s="140" t="s">
        <v>896</v>
      </c>
    </row>
    <row r="15" spans="1:3" ht="15.75" x14ac:dyDescent="0.25">
      <c r="A15" s="140" t="s">
        <v>1833</v>
      </c>
      <c r="B15" s="140" t="s">
        <v>926</v>
      </c>
      <c r="C15" s="140" t="s">
        <v>1834</v>
      </c>
    </row>
    <row r="16" spans="1:3" ht="15.75" x14ac:dyDescent="0.25">
      <c r="A16" s="140" t="s">
        <v>1835</v>
      </c>
      <c r="B16" s="140" t="s">
        <v>1836</v>
      </c>
      <c r="C16" s="140" t="s">
        <v>1837</v>
      </c>
    </row>
    <row r="17" spans="1:3" ht="31.5" x14ac:dyDescent="0.25">
      <c r="A17" s="140" t="s">
        <v>1838</v>
      </c>
      <c r="B17" s="140" t="s">
        <v>1839</v>
      </c>
      <c r="C17" s="140" t="s">
        <v>1840</v>
      </c>
    </row>
    <row r="18" spans="1:3" ht="15.75" x14ac:dyDescent="0.25">
      <c r="A18" s="140" t="s">
        <v>1841</v>
      </c>
      <c r="B18" s="140" t="s">
        <v>1842</v>
      </c>
      <c r="C18" s="140" t="s">
        <v>635</v>
      </c>
    </row>
    <row r="19" spans="1:3" ht="15.75" x14ac:dyDescent="0.25">
      <c r="A19" s="140" t="s">
        <v>1843</v>
      </c>
      <c r="B19" s="140" t="s">
        <v>1844</v>
      </c>
      <c r="C19" s="140" t="s">
        <v>1361</v>
      </c>
    </row>
    <row r="20" spans="1:3" ht="31.5" x14ac:dyDescent="0.25">
      <c r="A20" s="140" t="s">
        <v>1845</v>
      </c>
      <c r="B20" s="140" t="s">
        <v>1846</v>
      </c>
      <c r="C20" s="140" t="s">
        <v>1363</v>
      </c>
    </row>
    <row r="21" spans="1:3" ht="15.75" x14ac:dyDescent="0.25">
      <c r="A21" s="140" t="s">
        <v>1847</v>
      </c>
      <c r="B21" s="140" t="s">
        <v>1848</v>
      </c>
      <c r="C21" s="140" t="s">
        <v>1367</v>
      </c>
    </row>
    <row r="22" spans="1:3" ht="15.75" x14ac:dyDescent="0.25">
      <c r="A22" s="140" t="s">
        <v>1849</v>
      </c>
      <c r="B22" s="140" t="s">
        <v>1850</v>
      </c>
      <c r="C22" s="140" t="s">
        <v>1851</v>
      </c>
    </row>
    <row r="23" spans="1:3" ht="15.75" x14ac:dyDescent="0.25">
      <c r="A23" s="140" t="s">
        <v>1072</v>
      </c>
      <c r="B23" s="140" t="s">
        <v>1852</v>
      </c>
      <c r="C23" s="140" t="s">
        <v>1371</v>
      </c>
    </row>
    <row r="24" spans="1:3" ht="15.75" x14ac:dyDescent="0.25">
      <c r="A24" s="140" t="s">
        <v>1853</v>
      </c>
      <c r="B24" s="140" t="s">
        <v>1854</v>
      </c>
      <c r="C24" s="140" t="s">
        <v>635</v>
      </c>
    </row>
    <row r="25" spans="1:3" ht="15.75" x14ac:dyDescent="0.25">
      <c r="A25" s="140" t="s">
        <v>1855</v>
      </c>
      <c r="B25" s="140" t="s">
        <v>1856</v>
      </c>
      <c r="C25" s="140" t="s">
        <v>425</v>
      </c>
    </row>
    <row r="26" spans="1:3" ht="15.75" x14ac:dyDescent="0.25">
      <c r="A26" s="140" t="s">
        <v>1857</v>
      </c>
      <c r="B26" s="140" t="s">
        <v>1732</v>
      </c>
      <c r="C26" s="140" t="s">
        <v>468</v>
      </c>
    </row>
    <row r="27" spans="1:3" ht="15.75" x14ac:dyDescent="0.25">
      <c r="A27" s="140" t="s">
        <v>1858</v>
      </c>
      <c r="B27" s="140" t="s">
        <v>1859</v>
      </c>
      <c r="C27" s="140" t="s">
        <v>1860</v>
      </c>
    </row>
    <row r="28" spans="1:3" ht="47.25" x14ac:dyDescent="0.25">
      <c r="A28" s="140" t="s">
        <v>1861</v>
      </c>
      <c r="B28" s="140" t="s">
        <v>1862</v>
      </c>
      <c r="C28" s="140" t="s">
        <v>635</v>
      </c>
    </row>
    <row r="29" spans="1:3" ht="15.75" x14ac:dyDescent="0.25">
      <c r="A29" s="140" t="s">
        <v>1863</v>
      </c>
      <c r="B29" s="140" t="s">
        <v>1864</v>
      </c>
      <c r="C29" s="140" t="s">
        <v>635</v>
      </c>
    </row>
    <row r="30" spans="1:3" ht="15.75" x14ac:dyDescent="0.25">
      <c r="A30" s="140" t="s">
        <v>1865</v>
      </c>
      <c r="B30" s="140" t="s">
        <v>1866</v>
      </c>
      <c r="C30" s="140" t="s">
        <v>645</v>
      </c>
    </row>
    <row r="31" spans="1:3" ht="31.5" x14ac:dyDescent="0.25">
      <c r="A31" s="140" t="s">
        <v>986</v>
      </c>
      <c r="B31" s="140" t="s">
        <v>1867</v>
      </c>
      <c r="C31" s="140" t="s">
        <v>1868</v>
      </c>
    </row>
    <row r="32" spans="1:3" ht="31.5" x14ac:dyDescent="0.25">
      <c r="A32" s="140" t="s">
        <v>1869</v>
      </c>
      <c r="B32" s="140" t="s">
        <v>1870</v>
      </c>
      <c r="C32" s="140" t="s">
        <v>733</v>
      </c>
    </row>
    <row r="33" spans="1:3" ht="31.5" x14ac:dyDescent="0.25">
      <c r="A33" s="140" t="s">
        <v>795</v>
      </c>
      <c r="B33" s="140" t="s">
        <v>1871</v>
      </c>
      <c r="C33" s="140" t="s">
        <v>1872</v>
      </c>
    </row>
    <row r="34" spans="1:3" ht="31.5" x14ac:dyDescent="0.25">
      <c r="A34" s="140" t="s">
        <v>1873</v>
      </c>
      <c r="B34" s="140" t="s">
        <v>1874</v>
      </c>
      <c r="C34" s="140" t="s">
        <v>1875</v>
      </c>
    </row>
    <row r="35" spans="1:3" ht="15.75" x14ac:dyDescent="0.25">
      <c r="A35" s="140" t="s">
        <v>1876</v>
      </c>
      <c r="B35" s="140" t="s">
        <v>1877</v>
      </c>
      <c r="C35" s="140" t="s">
        <v>1875</v>
      </c>
    </row>
    <row r="36" spans="1:3" ht="31.5" x14ac:dyDescent="0.25">
      <c r="A36" s="140" t="s">
        <v>1878</v>
      </c>
      <c r="B36" s="140" t="s">
        <v>1794</v>
      </c>
      <c r="C36" s="140" t="s">
        <v>1879</v>
      </c>
    </row>
    <row r="37" spans="1:3" ht="15.75" x14ac:dyDescent="0.25">
      <c r="A37" s="140" t="s">
        <v>1880</v>
      </c>
      <c r="B37" s="140" t="s">
        <v>1881</v>
      </c>
      <c r="C37" s="140" t="s">
        <v>1882</v>
      </c>
    </row>
    <row r="38" spans="1:3" ht="31.5" x14ac:dyDescent="0.25">
      <c r="A38" s="140" t="s">
        <v>1883</v>
      </c>
      <c r="B38" s="140" t="s">
        <v>1884</v>
      </c>
      <c r="C38" s="140" t="s">
        <v>1885</v>
      </c>
    </row>
    <row r="39" spans="1:3" ht="31.5" x14ac:dyDescent="0.25">
      <c r="A39" s="140" t="s">
        <v>1886</v>
      </c>
      <c r="B39" s="140" t="s">
        <v>1887</v>
      </c>
      <c r="C39" s="140" t="s">
        <v>1888</v>
      </c>
    </row>
  </sheetData>
  <pageMargins left="0.78749999999999998" right="0.78749999999999998" top="1.05277777777778" bottom="1.05277777777778" header="0.78749999999999998" footer="0.78749999999999998"/>
  <pageSetup paperSize="9" orientation="portrait" horizontalDpi="300" verticalDpi="300" r:id="rId1"/>
  <headerFooter>
    <oddHeader>&amp;C&amp;"Times New Roman,Standard"&amp;12&amp;A</oddHeader>
    <oddFooter>&amp;C&amp;"Times New Roman,Standard"&amp;12Seite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Tabelle11"/>
  <dimension ref="A1:G128"/>
  <sheetViews>
    <sheetView zoomScaleNormal="100" workbookViewId="0">
      <pane xSplit="1" ySplit="3" topLeftCell="B90" activePane="bottomRight" state="frozen"/>
      <selection pane="topRight" activeCell="B1" sqref="B1"/>
      <selection pane="bottomLeft" activeCell="A90" sqref="A90"/>
      <selection pane="bottomRight" activeCell="D128" sqref="D128"/>
    </sheetView>
  </sheetViews>
  <sheetFormatPr baseColWidth="10" defaultColWidth="10.7109375" defaultRowHeight="15" x14ac:dyDescent="0.25"/>
  <cols>
    <col min="1" max="1" width="25.28515625" customWidth="1"/>
    <col min="2" max="2" width="21" customWidth="1"/>
    <col min="3" max="3" width="16.28515625" style="141" customWidth="1"/>
    <col min="4" max="4" width="19.5703125" style="142" customWidth="1"/>
    <col min="5" max="5" width="25.7109375" style="55" customWidth="1"/>
    <col min="6" max="6" width="26.85546875" style="142" customWidth="1"/>
    <col min="7" max="7" width="42.42578125" style="55" customWidth="1"/>
  </cols>
  <sheetData>
    <row r="1" spans="1:7" x14ac:dyDescent="0.25">
      <c r="A1" t="s">
        <v>1889</v>
      </c>
    </row>
    <row r="3" spans="1:7" x14ac:dyDescent="0.25">
      <c r="A3" s="143" t="s">
        <v>4</v>
      </c>
      <c r="B3" s="143" t="s">
        <v>1890</v>
      </c>
      <c r="C3" s="144" t="s">
        <v>1891</v>
      </c>
      <c r="D3" s="145" t="s">
        <v>1892</v>
      </c>
      <c r="E3" s="146" t="s">
        <v>1031</v>
      </c>
      <c r="F3" s="145" t="s">
        <v>2</v>
      </c>
      <c r="G3" s="146" t="s">
        <v>1893</v>
      </c>
    </row>
    <row r="4" spans="1:7" x14ac:dyDescent="0.25">
      <c r="A4" s="147"/>
      <c r="B4" s="148"/>
      <c r="C4" s="149"/>
      <c r="D4" s="150"/>
      <c r="E4" s="151"/>
      <c r="F4" s="150"/>
      <c r="G4" s="151"/>
    </row>
    <row r="5" spans="1:7" x14ac:dyDescent="0.25">
      <c r="A5" s="152" t="s">
        <v>1894</v>
      </c>
      <c r="B5" s="153"/>
      <c r="C5" s="154"/>
      <c r="E5" s="155">
        <v>36809</v>
      </c>
      <c r="F5" s="142" t="s">
        <v>1895</v>
      </c>
      <c r="G5" s="156" t="s">
        <v>1896</v>
      </c>
    </row>
    <row r="6" spans="1:7" x14ac:dyDescent="0.25">
      <c r="A6" s="157"/>
      <c r="B6" s="153"/>
      <c r="C6" s="154"/>
      <c r="E6" s="155"/>
      <c r="G6" s="156"/>
    </row>
    <row r="7" spans="1:7" x14ac:dyDescent="0.25">
      <c r="A7" s="158"/>
      <c r="B7" s="159"/>
      <c r="C7" s="160"/>
      <c r="E7" s="161"/>
      <c r="G7" s="161"/>
    </row>
    <row r="8" spans="1:7" x14ac:dyDescent="0.25">
      <c r="A8" s="157"/>
      <c r="B8" s="148"/>
      <c r="C8" s="154"/>
      <c r="D8" s="162"/>
      <c r="E8" s="155"/>
      <c r="F8" s="162"/>
      <c r="G8" s="155"/>
    </row>
    <row r="9" spans="1:7" x14ac:dyDescent="0.25">
      <c r="A9" s="152" t="s">
        <v>83</v>
      </c>
      <c r="B9" s="153"/>
      <c r="C9" s="154"/>
      <c r="D9" s="163"/>
      <c r="E9" s="155" t="s">
        <v>1897</v>
      </c>
      <c r="F9" s="163">
        <v>101045</v>
      </c>
      <c r="G9" s="156" t="s">
        <v>1898</v>
      </c>
    </row>
    <row r="10" spans="1:7" x14ac:dyDescent="0.25">
      <c r="A10" s="157"/>
      <c r="B10" s="159"/>
      <c r="C10" s="154"/>
      <c r="D10" s="164"/>
      <c r="E10" s="155"/>
      <c r="F10" s="164"/>
      <c r="G10" s="155"/>
    </row>
    <row r="11" spans="1:7" x14ac:dyDescent="0.25">
      <c r="A11" s="148"/>
      <c r="B11" s="148"/>
      <c r="C11" s="149"/>
      <c r="D11" s="162"/>
      <c r="E11" s="151"/>
      <c r="F11" s="162"/>
      <c r="G11" s="151"/>
    </row>
    <row r="12" spans="1:7" x14ac:dyDescent="0.25">
      <c r="A12" s="165" t="s">
        <v>1899</v>
      </c>
      <c r="B12" s="153" t="s">
        <v>1900</v>
      </c>
      <c r="C12" s="154"/>
      <c r="D12" s="163" t="s">
        <v>1901</v>
      </c>
      <c r="E12" s="155" t="s">
        <v>1902</v>
      </c>
      <c r="F12" s="163">
        <v>160568</v>
      </c>
      <c r="G12" s="156" t="s">
        <v>1903</v>
      </c>
    </row>
    <row r="13" spans="1:7" x14ac:dyDescent="0.25">
      <c r="A13" s="153"/>
      <c r="B13" s="153" t="s">
        <v>1904</v>
      </c>
      <c r="C13" s="154"/>
      <c r="D13" s="163" t="s">
        <v>1905</v>
      </c>
      <c r="E13" s="155"/>
      <c r="F13" s="163"/>
      <c r="G13" s="155"/>
    </row>
    <row r="14" spans="1:7" x14ac:dyDescent="0.25">
      <c r="A14" s="153"/>
      <c r="B14" s="153"/>
      <c r="C14" s="154"/>
      <c r="D14" s="163"/>
      <c r="E14" s="155" t="s">
        <v>1906</v>
      </c>
      <c r="F14" s="163">
        <v>191108</v>
      </c>
      <c r="G14" s="155"/>
    </row>
    <row r="15" spans="1:7" x14ac:dyDescent="0.25">
      <c r="A15" s="159"/>
      <c r="B15" s="159"/>
      <c r="C15" s="160"/>
      <c r="D15" s="164"/>
      <c r="E15" s="161"/>
      <c r="F15" s="164"/>
      <c r="G15" s="161"/>
    </row>
    <row r="16" spans="1:7" x14ac:dyDescent="0.25">
      <c r="B16" s="148"/>
      <c r="C16" s="166"/>
      <c r="D16" s="167"/>
      <c r="E16" s="168"/>
      <c r="F16" s="167"/>
      <c r="G16" s="168"/>
    </row>
    <row r="17" spans="1:7" x14ac:dyDescent="0.25">
      <c r="A17" s="169" t="s">
        <v>1052</v>
      </c>
      <c r="B17" s="153" t="s">
        <v>1907</v>
      </c>
      <c r="C17" s="170" t="s">
        <v>1908</v>
      </c>
      <c r="D17" s="171" t="s">
        <v>1909</v>
      </c>
      <c r="E17" s="172"/>
      <c r="F17" s="171"/>
      <c r="G17" s="173" t="s">
        <v>1910</v>
      </c>
    </row>
    <row r="18" spans="1:7" x14ac:dyDescent="0.25">
      <c r="B18" s="159" t="s">
        <v>1911</v>
      </c>
      <c r="C18" s="174" t="s">
        <v>1912</v>
      </c>
      <c r="D18" s="175"/>
      <c r="E18" s="176"/>
      <c r="F18" s="175"/>
      <c r="G18" s="176"/>
    </row>
    <row r="19" spans="1:7" x14ac:dyDescent="0.25">
      <c r="A19" s="148"/>
      <c r="B19" s="148"/>
      <c r="C19" s="149"/>
      <c r="D19" s="162"/>
      <c r="E19" s="151"/>
      <c r="F19" s="162"/>
      <c r="G19" s="151"/>
    </row>
    <row r="20" spans="1:7" x14ac:dyDescent="0.25">
      <c r="A20" s="165" t="s">
        <v>1913</v>
      </c>
      <c r="B20" s="153" t="s">
        <v>1914</v>
      </c>
      <c r="C20" s="154"/>
      <c r="D20" s="163" t="s">
        <v>1915</v>
      </c>
      <c r="E20" s="155" t="s">
        <v>1916</v>
      </c>
      <c r="F20" s="163" t="s">
        <v>1917</v>
      </c>
      <c r="G20" s="156" t="s">
        <v>1918</v>
      </c>
    </row>
    <row r="21" spans="1:7" x14ac:dyDescent="0.25">
      <c r="A21" s="153"/>
      <c r="B21" s="153" t="s">
        <v>1919</v>
      </c>
      <c r="C21" s="154"/>
      <c r="D21" s="163" t="s">
        <v>1920</v>
      </c>
      <c r="E21" s="155"/>
      <c r="F21" s="163" t="s">
        <v>1921</v>
      </c>
      <c r="G21" s="155"/>
    </row>
    <row r="22" spans="1:7" x14ac:dyDescent="0.25">
      <c r="A22" s="159"/>
      <c r="B22" s="159"/>
      <c r="C22" s="160"/>
      <c r="D22" s="164"/>
      <c r="E22" s="161"/>
      <c r="F22" s="164"/>
      <c r="G22" s="161"/>
    </row>
    <row r="23" spans="1:7" x14ac:dyDescent="0.25">
      <c r="A23" s="153"/>
      <c r="B23" s="153"/>
      <c r="C23" s="154"/>
      <c r="D23" s="163"/>
      <c r="E23" s="155"/>
      <c r="F23" s="163"/>
      <c r="G23" s="155"/>
    </row>
    <row r="24" spans="1:7" x14ac:dyDescent="0.25">
      <c r="A24" s="165" t="s">
        <v>1815</v>
      </c>
      <c r="B24" s="153"/>
      <c r="C24" s="154"/>
      <c r="D24" s="163" t="s">
        <v>1922</v>
      </c>
      <c r="E24" s="155">
        <v>77005410</v>
      </c>
      <c r="F24" s="163" t="s">
        <v>1923</v>
      </c>
      <c r="G24" s="177" t="s">
        <v>1924</v>
      </c>
    </row>
    <row r="25" spans="1:7" x14ac:dyDescent="0.25">
      <c r="B25" s="153"/>
      <c r="C25" s="154"/>
      <c r="D25" s="163"/>
      <c r="E25" s="155"/>
      <c r="F25" s="163"/>
      <c r="G25" s="155"/>
    </row>
    <row r="26" spans="1:7" x14ac:dyDescent="0.25">
      <c r="A26" s="153"/>
      <c r="B26" s="153"/>
      <c r="C26" s="154"/>
      <c r="D26" s="163"/>
      <c r="E26" s="155"/>
      <c r="F26" s="163"/>
      <c r="G26" s="155"/>
    </row>
    <row r="27" spans="1:7" x14ac:dyDescent="0.25">
      <c r="A27" s="153"/>
      <c r="B27" s="153"/>
      <c r="C27" s="154"/>
      <c r="D27" s="163"/>
      <c r="E27" s="155"/>
      <c r="F27" s="163"/>
      <c r="G27" s="155"/>
    </row>
    <row r="28" spans="1:7" x14ac:dyDescent="0.25">
      <c r="A28" s="153"/>
      <c r="B28" s="153"/>
      <c r="C28" s="154"/>
      <c r="D28" s="163"/>
      <c r="E28" s="155"/>
      <c r="F28" s="163"/>
      <c r="G28" s="155"/>
    </row>
    <row r="29" spans="1:7" x14ac:dyDescent="0.25">
      <c r="A29" s="148"/>
      <c r="B29" s="148"/>
      <c r="C29" s="149"/>
      <c r="D29" s="162"/>
      <c r="E29" s="151"/>
      <c r="F29" s="162"/>
      <c r="G29" s="151"/>
    </row>
    <row r="30" spans="1:7" x14ac:dyDescent="0.25">
      <c r="A30" s="165" t="s">
        <v>1925</v>
      </c>
      <c r="B30" s="153" t="s">
        <v>1926</v>
      </c>
      <c r="C30" s="163" t="s">
        <v>1927</v>
      </c>
      <c r="D30" s="163" t="s">
        <v>1928</v>
      </c>
      <c r="E30" s="155" t="s">
        <v>1929</v>
      </c>
      <c r="F30" s="163" t="s">
        <v>1930</v>
      </c>
      <c r="G30" s="156" t="s">
        <v>1931</v>
      </c>
    </row>
    <row r="31" spans="1:7" x14ac:dyDescent="0.25">
      <c r="A31" s="153"/>
      <c r="B31" s="153" t="s">
        <v>1932</v>
      </c>
      <c r="C31" s="154"/>
      <c r="D31" s="163" t="s">
        <v>1933</v>
      </c>
      <c r="E31" s="155" t="s">
        <v>1934</v>
      </c>
      <c r="F31" s="163" t="s">
        <v>1930</v>
      </c>
      <c r="G31" s="155"/>
    </row>
    <row r="32" spans="1:7" x14ac:dyDescent="0.25">
      <c r="A32" s="159"/>
      <c r="B32" s="159"/>
      <c r="C32" s="160"/>
      <c r="D32" s="164"/>
      <c r="E32" s="161"/>
      <c r="F32" s="164"/>
      <c r="G32" s="161"/>
    </row>
    <row r="33" spans="1:7" x14ac:dyDescent="0.25">
      <c r="A33" s="148"/>
      <c r="B33" s="178"/>
      <c r="C33" s="166"/>
      <c r="D33" s="167"/>
      <c r="E33" s="168"/>
      <c r="F33" s="167"/>
      <c r="G33" s="168"/>
    </row>
    <row r="34" spans="1:7" x14ac:dyDescent="0.25">
      <c r="A34" s="165" t="s">
        <v>1062</v>
      </c>
      <c r="B34" s="179" t="s">
        <v>1935</v>
      </c>
      <c r="C34" s="171" t="s">
        <v>1936</v>
      </c>
      <c r="D34" s="171">
        <v>78468</v>
      </c>
      <c r="E34" s="172">
        <v>78468</v>
      </c>
      <c r="F34" s="171" t="s">
        <v>1917</v>
      </c>
      <c r="G34" s="173" t="s">
        <v>1937</v>
      </c>
    </row>
    <row r="35" spans="1:7" x14ac:dyDescent="0.25">
      <c r="A35" s="153"/>
      <c r="B35" s="179" t="s">
        <v>1938</v>
      </c>
      <c r="C35" s="171" t="s">
        <v>1939</v>
      </c>
      <c r="D35" s="171"/>
      <c r="E35" s="180" t="s">
        <v>1940</v>
      </c>
      <c r="F35" s="171"/>
      <c r="G35" s="172"/>
    </row>
    <row r="36" spans="1:7" x14ac:dyDescent="0.25">
      <c r="A36" s="159"/>
      <c r="B36" s="181"/>
      <c r="C36" s="174"/>
      <c r="D36" s="175"/>
      <c r="E36" s="176"/>
      <c r="F36" s="175"/>
      <c r="G36" s="176"/>
    </row>
    <row r="37" spans="1:7" x14ac:dyDescent="0.25">
      <c r="A37" s="153"/>
      <c r="B37" s="179"/>
      <c r="C37" s="170"/>
      <c r="D37" s="171"/>
      <c r="E37" s="172"/>
      <c r="F37" s="171"/>
      <c r="G37" s="172"/>
    </row>
    <row r="38" spans="1:7" x14ac:dyDescent="0.25">
      <c r="A38" s="165" t="s">
        <v>183</v>
      </c>
      <c r="B38" s="179"/>
      <c r="C38" s="170"/>
      <c r="D38" s="171" t="s">
        <v>1941</v>
      </c>
      <c r="E38" s="172">
        <v>55197000</v>
      </c>
      <c r="F38" s="171" t="s">
        <v>1942</v>
      </c>
      <c r="G38" s="173" t="s">
        <v>1943</v>
      </c>
    </row>
    <row r="39" spans="1:7" x14ac:dyDescent="0.25">
      <c r="A39" s="153"/>
      <c r="B39" s="179"/>
      <c r="C39" s="170"/>
      <c r="D39" s="171"/>
      <c r="E39" s="172"/>
      <c r="F39" s="171"/>
      <c r="G39" s="172"/>
    </row>
    <row r="40" spans="1:7" x14ac:dyDescent="0.25">
      <c r="A40" s="148"/>
      <c r="B40" s="178"/>
      <c r="C40" s="149"/>
      <c r="D40" s="167"/>
      <c r="E40" s="151"/>
      <c r="F40" s="167"/>
      <c r="G40" s="151" t="s">
        <v>1944</v>
      </c>
    </row>
    <row r="41" spans="1:7" x14ac:dyDescent="0.25">
      <c r="A41" s="165" t="s">
        <v>1826</v>
      </c>
      <c r="B41" s="179" t="s">
        <v>1945</v>
      </c>
      <c r="C41" s="154" t="s">
        <v>1946</v>
      </c>
      <c r="D41" s="171">
        <v>21003</v>
      </c>
      <c r="E41" s="155">
        <v>21003</v>
      </c>
      <c r="F41" s="171" t="s">
        <v>1947</v>
      </c>
      <c r="G41" s="156" t="s">
        <v>1948</v>
      </c>
    </row>
    <row r="42" spans="1:7" x14ac:dyDescent="0.25">
      <c r="A42" s="165"/>
      <c r="B42" s="179" t="s">
        <v>1949</v>
      </c>
      <c r="C42" s="154" t="s">
        <v>1950</v>
      </c>
      <c r="D42" s="171"/>
      <c r="E42" s="155"/>
      <c r="F42" s="182" t="s">
        <v>1951</v>
      </c>
      <c r="G42" s="183" t="s">
        <v>1952</v>
      </c>
    </row>
    <row r="43" spans="1:7" x14ac:dyDescent="0.25">
      <c r="A43" s="159"/>
      <c r="B43" s="181"/>
      <c r="C43" s="160"/>
      <c r="D43" s="175"/>
      <c r="E43" s="161"/>
      <c r="F43" s="175" t="s">
        <v>1953</v>
      </c>
      <c r="G43" s="161" t="s">
        <v>1954</v>
      </c>
    </row>
    <row r="44" spans="1:7" x14ac:dyDescent="0.25">
      <c r="A44" s="153"/>
      <c r="B44" s="179"/>
      <c r="C44" s="154"/>
      <c r="D44" s="171"/>
      <c r="E44" s="155"/>
      <c r="F44" s="171"/>
      <c r="G44" s="155"/>
    </row>
    <row r="45" spans="1:7" x14ac:dyDescent="0.25">
      <c r="A45" s="153"/>
      <c r="B45" s="179"/>
      <c r="C45" s="154"/>
      <c r="D45" s="171"/>
      <c r="E45" s="155">
        <v>9111984</v>
      </c>
      <c r="F45" s="171" t="s">
        <v>1955</v>
      </c>
      <c r="G45" s="156" t="s">
        <v>1956</v>
      </c>
    </row>
    <row r="46" spans="1:7" x14ac:dyDescent="0.25">
      <c r="A46" s="165" t="s">
        <v>1957</v>
      </c>
      <c r="B46" s="179" t="s">
        <v>1958</v>
      </c>
      <c r="C46" s="154" t="s">
        <v>1959</v>
      </c>
      <c r="D46" s="171" t="s">
        <v>1960</v>
      </c>
      <c r="E46" s="155" t="s">
        <v>1961</v>
      </c>
      <c r="F46" s="171"/>
      <c r="G46" s="155"/>
    </row>
    <row r="47" spans="1:7" x14ac:dyDescent="0.25">
      <c r="A47" s="159"/>
      <c r="B47" s="159" t="s">
        <v>1938</v>
      </c>
      <c r="C47" s="160" t="s">
        <v>1962</v>
      </c>
      <c r="D47" s="164"/>
      <c r="E47" s="161" t="s">
        <v>1963</v>
      </c>
      <c r="F47" s="164"/>
      <c r="G47" s="161"/>
    </row>
    <row r="48" spans="1:7" x14ac:dyDescent="0.25">
      <c r="A48" s="153"/>
      <c r="B48" s="179"/>
      <c r="C48" s="154"/>
      <c r="D48" s="171" t="s">
        <v>1964</v>
      </c>
      <c r="E48" s="155"/>
      <c r="F48" s="171"/>
      <c r="G48" s="155"/>
    </row>
    <row r="49" spans="1:7" x14ac:dyDescent="0.25">
      <c r="A49" s="165" t="s">
        <v>1965</v>
      </c>
      <c r="B49" s="179"/>
      <c r="C49" s="154" t="s">
        <v>1966</v>
      </c>
      <c r="D49" s="171" t="s">
        <v>1967</v>
      </c>
      <c r="E49" s="155" t="s">
        <v>1968</v>
      </c>
      <c r="F49" s="171" t="s">
        <v>1947</v>
      </c>
      <c r="G49" s="156" t="s">
        <v>969</v>
      </c>
    </row>
    <row r="50" spans="1:7" x14ac:dyDescent="0.25">
      <c r="A50" s="153"/>
      <c r="B50" s="179"/>
      <c r="C50" s="154"/>
      <c r="D50" s="171" t="s">
        <v>1969</v>
      </c>
      <c r="E50" s="155"/>
      <c r="F50" s="171"/>
      <c r="G50" s="155"/>
    </row>
    <row r="51" spans="1:7" x14ac:dyDescent="0.25">
      <c r="A51" s="148"/>
      <c r="B51" s="148"/>
      <c r="C51" s="149"/>
      <c r="D51" s="162"/>
      <c r="E51" s="151" t="s">
        <v>1970</v>
      </c>
      <c r="F51" s="162" t="s">
        <v>1971</v>
      </c>
      <c r="G51" s="151"/>
    </row>
    <row r="52" spans="1:7" x14ac:dyDescent="0.25">
      <c r="A52" s="165" t="s">
        <v>1972</v>
      </c>
      <c r="B52" s="153" t="s">
        <v>1973</v>
      </c>
      <c r="C52" s="154" t="s">
        <v>1974</v>
      </c>
      <c r="D52" s="163" t="s">
        <v>739</v>
      </c>
      <c r="E52" s="155" t="s">
        <v>1975</v>
      </c>
      <c r="F52" s="163" t="s">
        <v>739</v>
      </c>
      <c r="G52" s="156" t="s">
        <v>1976</v>
      </c>
    </row>
    <row r="53" spans="1:7" x14ac:dyDescent="0.25">
      <c r="A53" s="153"/>
      <c r="B53" s="153" t="s">
        <v>1977</v>
      </c>
      <c r="C53" s="154"/>
      <c r="D53" s="163"/>
      <c r="E53" s="155"/>
      <c r="F53" s="163" t="s">
        <v>1978</v>
      </c>
      <c r="G53" s="156" t="s">
        <v>1979</v>
      </c>
    </row>
    <row r="54" spans="1:7" x14ac:dyDescent="0.25">
      <c r="A54" s="159"/>
      <c r="B54" s="159"/>
      <c r="C54" s="160"/>
      <c r="D54" s="164"/>
      <c r="E54" s="161" t="s">
        <v>1980</v>
      </c>
      <c r="F54" s="164" t="s">
        <v>739</v>
      </c>
      <c r="G54" s="161"/>
    </row>
    <row r="55" spans="1:7" x14ac:dyDescent="0.25">
      <c r="A55" s="153"/>
      <c r="B55" s="153"/>
      <c r="C55" s="154"/>
      <c r="D55" s="163" t="s">
        <v>1981</v>
      </c>
      <c r="E55" s="172"/>
      <c r="F55" s="171"/>
      <c r="G55" s="155"/>
    </row>
    <row r="56" spans="1:7" x14ac:dyDescent="0.25">
      <c r="A56" s="165" t="s">
        <v>931</v>
      </c>
      <c r="B56" s="153" t="s">
        <v>1982</v>
      </c>
      <c r="C56" s="154" t="s">
        <v>1983</v>
      </c>
      <c r="D56" s="163" t="s">
        <v>1288</v>
      </c>
      <c r="E56" s="172" t="s">
        <v>1984</v>
      </c>
      <c r="F56" s="171" t="s">
        <v>1985</v>
      </c>
      <c r="G56" s="156" t="s">
        <v>1986</v>
      </c>
    </row>
    <row r="57" spans="1:7" x14ac:dyDescent="0.25">
      <c r="A57" s="153"/>
      <c r="B57" s="153" t="s">
        <v>1932</v>
      </c>
      <c r="C57" s="154"/>
      <c r="D57" s="163" t="s">
        <v>1987</v>
      </c>
      <c r="E57" s="172" t="s">
        <v>1988</v>
      </c>
      <c r="F57" s="171" t="s">
        <v>1930</v>
      </c>
      <c r="G57" s="156" t="s">
        <v>1989</v>
      </c>
    </row>
    <row r="58" spans="1:7" x14ac:dyDescent="0.25">
      <c r="A58" s="148"/>
      <c r="B58" s="148"/>
      <c r="C58" s="149"/>
      <c r="D58" s="162"/>
      <c r="E58" s="168"/>
      <c r="F58" s="167"/>
      <c r="G58" s="184"/>
    </row>
    <row r="59" spans="1:7" x14ac:dyDescent="0.25">
      <c r="A59" s="165" t="s">
        <v>1067</v>
      </c>
      <c r="B59" s="153"/>
      <c r="C59" s="154"/>
      <c r="D59" s="163" t="s">
        <v>1990</v>
      </c>
      <c r="E59" s="172" t="s">
        <v>1991</v>
      </c>
      <c r="F59" s="171" t="s">
        <v>1992</v>
      </c>
      <c r="G59" s="156" t="s">
        <v>1993</v>
      </c>
    </row>
    <row r="60" spans="1:7" x14ac:dyDescent="0.25">
      <c r="A60" s="159"/>
      <c r="B60" s="159"/>
      <c r="C60" s="160"/>
      <c r="D60" s="164"/>
      <c r="E60" s="176"/>
      <c r="F60" s="175"/>
      <c r="G60" s="185"/>
    </row>
    <row r="61" spans="1:7" x14ac:dyDescent="0.25">
      <c r="A61" s="153"/>
      <c r="B61" s="153"/>
      <c r="C61" s="154" t="s">
        <v>1994</v>
      </c>
      <c r="D61" s="163"/>
      <c r="E61" s="172"/>
      <c r="F61" s="171"/>
      <c r="G61" s="156"/>
    </row>
    <row r="62" spans="1:7" x14ac:dyDescent="0.25">
      <c r="A62" s="165" t="s">
        <v>934</v>
      </c>
      <c r="B62" s="153" t="s">
        <v>1995</v>
      </c>
      <c r="C62" s="154" t="s">
        <v>1996</v>
      </c>
      <c r="D62" s="163" t="s">
        <v>1997</v>
      </c>
      <c r="E62" s="172"/>
      <c r="F62" s="171"/>
      <c r="G62" s="156"/>
    </row>
    <row r="63" spans="1:7" x14ac:dyDescent="0.25">
      <c r="A63" s="153"/>
      <c r="B63" s="153" t="s">
        <v>1998</v>
      </c>
      <c r="C63" s="154" t="s">
        <v>1999</v>
      </c>
      <c r="D63" s="163"/>
      <c r="E63" s="172"/>
      <c r="F63" s="171"/>
      <c r="G63" s="156"/>
    </row>
    <row r="64" spans="1:7" x14ac:dyDescent="0.25">
      <c r="A64" s="159"/>
      <c r="B64" s="159"/>
      <c r="C64" s="160"/>
      <c r="D64" s="164"/>
      <c r="E64" s="161"/>
      <c r="F64" s="164"/>
      <c r="G64" s="185"/>
    </row>
    <row r="65" spans="1:7" x14ac:dyDescent="0.25">
      <c r="A65" s="153"/>
      <c r="B65" s="153"/>
      <c r="C65" s="154"/>
      <c r="D65" s="163"/>
      <c r="E65" s="172"/>
      <c r="F65" s="171"/>
      <c r="G65" s="156"/>
    </row>
    <row r="66" spans="1:7" x14ac:dyDescent="0.25">
      <c r="A66" s="165" t="s">
        <v>979</v>
      </c>
      <c r="B66" s="153" t="s">
        <v>2000</v>
      </c>
      <c r="C66" s="154" t="s">
        <v>2001</v>
      </c>
      <c r="D66" s="163" t="s">
        <v>2002</v>
      </c>
      <c r="E66" s="172" t="s">
        <v>2003</v>
      </c>
      <c r="F66" s="171" t="s">
        <v>2004</v>
      </c>
      <c r="G66" s="156" t="s">
        <v>2005</v>
      </c>
    </row>
    <row r="67" spans="1:7" x14ac:dyDescent="0.25">
      <c r="A67" s="159"/>
      <c r="B67" s="159" t="s">
        <v>2006</v>
      </c>
      <c r="C67" s="160" t="s">
        <v>2007</v>
      </c>
      <c r="D67" s="164"/>
      <c r="E67" s="161" t="s">
        <v>2008</v>
      </c>
      <c r="F67" s="164" t="s">
        <v>2009</v>
      </c>
      <c r="G67" s="185"/>
    </row>
    <row r="68" spans="1:7" x14ac:dyDescent="0.25">
      <c r="A68" s="153"/>
      <c r="B68" s="153"/>
      <c r="C68" s="154"/>
      <c r="D68" s="163"/>
      <c r="E68" s="172"/>
      <c r="F68" s="171" t="s">
        <v>1060</v>
      </c>
      <c r="G68" s="156"/>
    </row>
    <row r="69" spans="1:7" x14ac:dyDescent="0.25">
      <c r="A69" s="165" t="s">
        <v>2010</v>
      </c>
      <c r="B69" s="153"/>
      <c r="C69" s="154"/>
      <c r="D69" s="163"/>
      <c r="E69" s="172">
        <v>62698</v>
      </c>
      <c r="F69" s="171"/>
      <c r="G69" s="156" t="s">
        <v>2011</v>
      </c>
    </row>
    <row r="70" spans="1:7" x14ac:dyDescent="0.25">
      <c r="A70" s="159"/>
      <c r="B70" s="159"/>
      <c r="C70" s="160"/>
      <c r="D70" s="164"/>
      <c r="E70" s="161"/>
      <c r="F70" s="164"/>
      <c r="G70" s="185"/>
    </row>
    <row r="71" spans="1:7" x14ac:dyDescent="0.25">
      <c r="A71" s="153"/>
      <c r="B71" s="153"/>
      <c r="C71" s="154"/>
      <c r="D71" s="163"/>
      <c r="E71" s="172"/>
      <c r="F71" s="171"/>
      <c r="G71" s="156"/>
    </row>
    <row r="72" spans="1:7" x14ac:dyDescent="0.25">
      <c r="A72" s="165" t="s">
        <v>413</v>
      </c>
      <c r="B72" s="153" t="s">
        <v>1907</v>
      </c>
      <c r="C72" s="154" t="s">
        <v>2012</v>
      </c>
      <c r="D72" s="163" t="s">
        <v>2013</v>
      </c>
      <c r="E72" s="172" t="s">
        <v>2014</v>
      </c>
      <c r="F72" s="171" t="s">
        <v>1930</v>
      </c>
      <c r="G72" s="156" t="s">
        <v>2015</v>
      </c>
    </row>
    <row r="73" spans="1:7" x14ac:dyDescent="0.25">
      <c r="A73" s="165"/>
      <c r="B73" s="153" t="s">
        <v>2016</v>
      </c>
      <c r="C73" s="154"/>
      <c r="D73" s="163" t="s">
        <v>2017</v>
      </c>
      <c r="E73" s="172"/>
      <c r="F73" s="171"/>
      <c r="G73" s="156"/>
    </row>
    <row r="74" spans="1:7" x14ac:dyDescent="0.25">
      <c r="A74" s="186"/>
      <c r="B74" s="159"/>
      <c r="C74" s="160"/>
      <c r="D74" s="164"/>
      <c r="E74" s="161"/>
      <c r="F74" s="164"/>
      <c r="G74" s="185"/>
    </row>
    <row r="75" spans="1:7" x14ac:dyDescent="0.25">
      <c r="A75" s="165"/>
      <c r="B75" s="153"/>
      <c r="C75" s="154"/>
      <c r="D75" s="163"/>
      <c r="E75" s="172"/>
      <c r="F75" s="171"/>
      <c r="G75" s="156"/>
    </row>
    <row r="76" spans="1:7" x14ac:dyDescent="0.25">
      <c r="A76" s="165" t="s">
        <v>982</v>
      </c>
      <c r="B76" s="153"/>
      <c r="C76" s="154"/>
      <c r="D76" s="163" t="s">
        <v>2018</v>
      </c>
      <c r="E76" s="172" t="s">
        <v>2019</v>
      </c>
      <c r="F76" s="171" t="s">
        <v>2020</v>
      </c>
      <c r="G76" s="156" t="s">
        <v>2021</v>
      </c>
    </row>
    <row r="77" spans="1:7" x14ac:dyDescent="0.25">
      <c r="A77" s="159"/>
      <c r="B77" s="159"/>
      <c r="C77" s="160"/>
      <c r="D77" s="164"/>
      <c r="E77" s="161" t="s">
        <v>2022</v>
      </c>
      <c r="F77" s="164"/>
      <c r="G77" s="185"/>
    </row>
    <row r="78" spans="1:7" x14ac:dyDescent="0.25">
      <c r="A78" s="153"/>
      <c r="B78" s="153"/>
      <c r="C78" s="154"/>
      <c r="D78" s="163"/>
      <c r="E78" s="172"/>
      <c r="F78" s="171"/>
      <c r="G78" s="156"/>
    </row>
    <row r="79" spans="1:7" x14ac:dyDescent="0.25">
      <c r="A79" s="153"/>
      <c r="B79" s="153"/>
      <c r="C79" s="154"/>
      <c r="D79" s="163"/>
      <c r="E79" s="172"/>
      <c r="F79" s="171" t="s">
        <v>2023</v>
      </c>
      <c r="G79" s="156"/>
    </row>
    <row r="80" spans="1:7" x14ac:dyDescent="0.25">
      <c r="A80" s="165" t="s">
        <v>452</v>
      </c>
      <c r="B80" s="153" t="s">
        <v>2024</v>
      </c>
      <c r="C80" s="154" t="s">
        <v>2025</v>
      </c>
      <c r="D80" s="163">
        <v>8704</v>
      </c>
      <c r="E80" s="172">
        <v>8704</v>
      </c>
      <c r="F80" s="171" t="s">
        <v>2026</v>
      </c>
      <c r="G80" s="155"/>
    </row>
    <row r="81" spans="1:7" x14ac:dyDescent="0.25">
      <c r="A81" s="159"/>
      <c r="B81" s="159" t="s">
        <v>2027</v>
      </c>
      <c r="C81" s="160"/>
      <c r="D81" s="164" t="s">
        <v>2028</v>
      </c>
      <c r="E81" s="187"/>
      <c r="F81" s="188" t="s">
        <v>1074</v>
      </c>
      <c r="G81" s="161"/>
    </row>
    <row r="82" spans="1:7" x14ac:dyDescent="0.25">
      <c r="A82" s="153"/>
      <c r="B82" s="153"/>
      <c r="C82" s="170"/>
      <c r="D82" s="171"/>
      <c r="E82" s="173"/>
      <c r="F82" s="189"/>
      <c r="G82" s="155"/>
    </row>
    <row r="83" spans="1:7" x14ac:dyDescent="0.25">
      <c r="A83" s="165" t="s">
        <v>1075</v>
      </c>
      <c r="B83" s="153"/>
      <c r="C83" s="170" t="s">
        <v>2029</v>
      </c>
      <c r="D83" s="171" t="s">
        <v>2030</v>
      </c>
      <c r="E83" s="190" t="s">
        <v>2031</v>
      </c>
      <c r="F83" s="191">
        <v>160568</v>
      </c>
      <c r="G83" s="156" t="s">
        <v>2032</v>
      </c>
    </row>
    <row r="84" spans="1:7" x14ac:dyDescent="0.25">
      <c r="A84" s="159"/>
      <c r="B84" s="159"/>
      <c r="C84" s="160" t="s">
        <v>2033</v>
      </c>
      <c r="D84" s="164" t="s">
        <v>2034</v>
      </c>
      <c r="E84" s="185"/>
      <c r="F84" s="192"/>
      <c r="G84" s="161"/>
    </row>
    <row r="85" spans="1:7" x14ac:dyDescent="0.25">
      <c r="A85" s="153"/>
      <c r="B85" s="153"/>
      <c r="C85" s="170"/>
      <c r="D85" s="171"/>
      <c r="E85" s="173"/>
      <c r="F85" s="189"/>
      <c r="G85" s="155"/>
    </row>
    <row r="86" spans="1:7" x14ac:dyDescent="0.25">
      <c r="A86" s="165" t="s">
        <v>1076</v>
      </c>
      <c r="B86" s="153"/>
      <c r="C86" s="170" t="s">
        <v>2035</v>
      </c>
      <c r="D86" s="171" t="s">
        <v>2036</v>
      </c>
      <c r="E86" s="190">
        <v>32309</v>
      </c>
      <c r="F86" s="193" t="s">
        <v>1930</v>
      </c>
      <c r="G86" s="156" t="s">
        <v>2037</v>
      </c>
    </row>
    <row r="87" spans="1:7" x14ac:dyDescent="0.25">
      <c r="A87" s="159"/>
      <c r="B87" s="159"/>
      <c r="C87" s="160" t="s">
        <v>2038</v>
      </c>
      <c r="D87" s="164"/>
      <c r="E87" s="185"/>
      <c r="F87" s="192"/>
      <c r="G87" s="161"/>
    </row>
    <row r="88" spans="1:7" x14ac:dyDescent="0.25">
      <c r="A88" s="153"/>
      <c r="B88" s="153"/>
      <c r="C88" s="154"/>
      <c r="D88" s="163"/>
      <c r="E88" s="173"/>
      <c r="F88" s="194"/>
      <c r="G88" s="155"/>
    </row>
    <row r="89" spans="1:7" x14ac:dyDescent="0.25">
      <c r="A89" s="165" t="s">
        <v>2039</v>
      </c>
      <c r="B89" s="153"/>
      <c r="C89" s="154"/>
      <c r="D89" s="195" t="s">
        <v>2040</v>
      </c>
      <c r="E89" s="173" t="s">
        <v>1074</v>
      </c>
      <c r="F89" s="196" t="s">
        <v>1930</v>
      </c>
      <c r="G89" s="156" t="s">
        <v>2041</v>
      </c>
    </row>
    <row r="90" spans="1:7" x14ac:dyDescent="0.25">
      <c r="A90" s="153"/>
      <c r="B90" s="153"/>
      <c r="C90" s="154"/>
      <c r="D90" s="163"/>
      <c r="E90" s="173"/>
      <c r="F90" s="196" t="s">
        <v>2042</v>
      </c>
      <c r="G90" s="155"/>
    </row>
    <row r="91" spans="1:7" x14ac:dyDescent="0.25">
      <c r="A91" s="148"/>
      <c r="B91" s="148"/>
      <c r="C91" s="149"/>
      <c r="D91" s="162"/>
      <c r="E91" s="168"/>
      <c r="F91" s="162"/>
      <c r="G91" s="151"/>
    </row>
    <row r="92" spans="1:7" x14ac:dyDescent="0.25">
      <c r="A92" s="165" t="s">
        <v>622</v>
      </c>
      <c r="B92" s="197" t="s">
        <v>2043</v>
      </c>
      <c r="C92" s="198" t="s">
        <v>2044</v>
      </c>
      <c r="D92" s="163" t="s">
        <v>2045</v>
      </c>
      <c r="E92" s="172" t="s">
        <v>2046</v>
      </c>
      <c r="F92" s="163" t="s">
        <v>2047</v>
      </c>
      <c r="G92" s="156" t="s">
        <v>2048</v>
      </c>
    </row>
    <row r="93" spans="1:7" x14ac:dyDescent="0.25">
      <c r="A93" s="186" t="s">
        <v>2049</v>
      </c>
      <c r="B93" s="199" t="s">
        <v>2050</v>
      </c>
      <c r="C93" s="160"/>
      <c r="D93" s="164"/>
      <c r="E93" s="176"/>
      <c r="F93" s="164"/>
      <c r="G93" s="161"/>
    </row>
    <row r="94" spans="1:7" x14ac:dyDescent="0.25">
      <c r="A94" s="148"/>
      <c r="B94" s="148"/>
      <c r="C94" s="166"/>
      <c r="D94" s="167"/>
      <c r="E94" s="168"/>
      <c r="F94" s="167"/>
      <c r="G94" s="151"/>
    </row>
    <row r="95" spans="1:7" x14ac:dyDescent="0.25">
      <c r="A95" s="165" t="s">
        <v>2051</v>
      </c>
      <c r="B95" s="153" t="s">
        <v>2052</v>
      </c>
      <c r="C95" s="170" t="s">
        <v>2053</v>
      </c>
      <c r="D95" s="171" t="s">
        <v>2054</v>
      </c>
      <c r="E95" s="172" t="s">
        <v>2055</v>
      </c>
      <c r="F95" s="171" t="s">
        <v>1930</v>
      </c>
      <c r="G95" s="156" t="s">
        <v>2056</v>
      </c>
    </row>
    <row r="96" spans="1:7" x14ac:dyDescent="0.25">
      <c r="A96" s="153"/>
      <c r="B96" s="153" t="s">
        <v>2057</v>
      </c>
      <c r="C96" s="170" t="s">
        <v>2058</v>
      </c>
      <c r="D96" s="171"/>
      <c r="E96" s="172"/>
      <c r="F96" s="171"/>
      <c r="G96" s="155"/>
    </row>
    <row r="97" spans="1:7" x14ac:dyDescent="0.25">
      <c r="A97" s="165" t="s">
        <v>2059</v>
      </c>
      <c r="B97" s="153"/>
      <c r="C97" s="170"/>
      <c r="D97" s="171" t="s">
        <v>2060</v>
      </c>
      <c r="E97" s="172" t="s">
        <v>2061</v>
      </c>
      <c r="F97" s="171" t="s">
        <v>1930</v>
      </c>
      <c r="G97" s="177" t="s">
        <v>2062</v>
      </c>
    </row>
    <row r="98" spans="1:7" x14ac:dyDescent="0.25">
      <c r="A98" s="159"/>
      <c r="B98" s="159"/>
      <c r="C98" s="174"/>
      <c r="D98" s="175"/>
      <c r="E98" s="176"/>
      <c r="F98" s="175"/>
      <c r="G98" s="161"/>
    </row>
    <row r="99" spans="1:7" x14ac:dyDescent="0.25">
      <c r="A99" s="153"/>
      <c r="B99" s="153"/>
      <c r="C99" s="166"/>
      <c r="D99" s="167"/>
      <c r="E99" s="151"/>
      <c r="F99" s="162"/>
      <c r="G99" s="151"/>
    </row>
    <row r="100" spans="1:7" x14ac:dyDescent="0.25">
      <c r="A100" s="165" t="s">
        <v>1079</v>
      </c>
      <c r="B100" s="153" t="s">
        <v>2063</v>
      </c>
      <c r="C100" s="170" t="s">
        <v>2064</v>
      </c>
      <c r="D100" s="171"/>
      <c r="E100" s="155"/>
      <c r="F100" s="163"/>
      <c r="G100" s="155"/>
    </row>
    <row r="101" spans="1:7" x14ac:dyDescent="0.25">
      <c r="A101" s="165" t="s">
        <v>2065</v>
      </c>
      <c r="B101" s="153" t="s">
        <v>2066</v>
      </c>
      <c r="C101" s="170" t="s">
        <v>2067</v>
      </c>
      <c r="D101" s="171" t="s">
        <v>2068</v>
      </c>
      <c r="E101" s="155" t="s">
        <v>2069</v>
      </c>
      <c r="F101" s="163" t="s">
        <v>2070</v>
      </c>
      <c r="G101" s="156" t="s">
        <v>2071</v>
      </c>
    </row>
    <row r="102" spans="1:7" x14ac:dyDescent="0.25">
      <c r="A102" s="153"/>
      <c r="B102" s="153"/>
      <c r="C102" s="170" t="s">
        <v>2072</v>
      </c>
      <c r="D102" s="171"/>
      <c r="E102" s="155"/>
      <c r="F102" s="163"/>
      <c r="G102" s="155"/>
    </row>
    <row r="103" spans="1:7" x14ac:dyDescent="0.25">
      <c r="A103" s="159"/>
      <c r="B103" s="159"/>
      <c r="C103" s="174" t="s">
        <v>2073</v>
      </c>
      <c r="D103" s="175"/>
      <c r="E103" s="161"/>
      <c r="F103" s="164"/>
      <c r="G103" s="161"/>
    </row>
    <row r="104" spans="1:7" x14ac:dyDescent="0.25">
      <c r="A104" s="148"/>
      <c r="B104" s="148"/>
      <c r="D104" s="162"/>
      <c r="E104" s="151"/>
      <c r="F104" s="162"/>
      <c r="G104" s="151"/>
    </row>
    <row r="105" spans="1:7" x14ac:dyDescent="0.25">
      <c r="A105" s="165" t="s">
        <v>2074</v>
      </c>
      <c r="B105" s="153" t="s">
        <v>2075</v>
      </c>
      <c r="C105" s="141" t="s">
        <v>2076</v>
      </c>
      <c r="D105" s="163" t="s">
        <v>2077</v>
      </c>
      <c r="E105" s="155" t="s">
        <v>2078</v>
      </c>
      <c r="F105" s="163" t="s">
        <v>2079</v>
      </c>
      <c r="G105" s="156" t="s">
        <v>2080</v>
      </c>
    </row>
    <row r="106" spans="1:7" x14ac:dyDescent="0.25">
      <c r="A106" s="159"/>
      <c r="B106" s="159" t="s">
        <v>2081</v>
      </c>
      <c r="C106" s="200" t="s">
        <v>2082</v>
      </c>
      <c r="D106" s="164"/>
      <c r="E106" s="161"/>
      <c r="F106" s="164"/>
      <c r="G106" s="161"/>
    </row>
    <row r="107" spans="1:7" x14ac:dyDescent="0.25">
      <c r="A107" s="148"/>
      <c r="B107" s="148" t="s">
        <v>2083</v>
      </c>
      <c r="C107" s="149"/>
      <c r="D107" s="162"/>
      <c r="E107" s="151"/>
      <c r="F107" s="162"/>
      <c r="G107" s="151"/>
    </row>
    <row r="108" spans="1:7" x14ac:dyDescent="0.25">
      <c r="A108" s="165" t="s">
        <v>761</v>
      </c>
      <c r="B108" s="153" t="s">
        <v>2084</v>
      </c>
      <c r="C108" s="154" t="s">
        <v>2085</v>
      </c>
      <c r="D108" s="163"/>
      <c r="E108" s="156" t="s">
        <v>1074</v>
      </c>
      <c r="F108" s="163" t="s">
        <v>1930</v>
      </c>
      <c r="G108" s="156" t="s">
        <v>2086</v>
      </c>
    </row>
    <row r="109" spans="1:7" x14ac:dyDescent="0.25">
      <c r="A109" s="159"/>
      <c r="B109" s="159" t="s">
        <v>2087</v>
      </c>
      <c r="C109" s="160" t="s">
        <v>2088</v>
      </c>
      <c r="D109" s="164"/>
      <c r="E109" s="161"/>
      <c r="F109" s="164"/>
      <c r="G109" s="161"/>
    </row>
    <row r="110" spans="1:7" x14ac:dyDescent="0.25">
      <c r="A110" s="148"/>
      <c r="B110" s="148"/>
      <c r="C110" s="149"/>
      <c r="D110" s="162"/>
      <c r="E110" s="151"/>
      <c r="F110" s="162"/>
      <c r="G110" s="151"/>
    </row>
    <row r="111" spans="1:7" x14ac:dyDescent="0.25">
      <c r="A111" s="165" t="s">
        <v>1781</v>
      </c>
      <c r="B111" s="153"/>
      <c r="C111" s="154"/>
      <c r="D111" s="163"/>
      <c r="E111" s="155">
        <v>102909000</v>
      </c>
      <c r="F111" s="163" t="s">
        <v>2089</v>
      </c>
      <c r="G111" s="156" t="s">
        <v>2090</v>
      </c>
    </row>
    <row r="112" spans="1:7" x14ac:dyDescent="0.25">
      <c r="A112" s="159"/>
      <c r="B112" s="159"/>
      <c r="C112" s="160"/>
      <c r="D112" s="164"/>
      <c r="E112" s="161" t="s">
        <v>2091</v>
      </c>
      <c r="F112" s="164" t="s">
        <v>2092</v>
      </c>
      <c r="G112" s="161"/>
    </row>
    <row r="113" spans="1:7" x14ac:dyDescent="0.25">
      <c r="A113" s="153"/>
      <c r="B113" s="153"/>
      <c r="C113" s="154"/>
      <c r="D113" s="163"/>
      <c r="E113" s="155"/>
      <c r="F113" s="163"/>
      <c r="G113" s="155"/>
    </row>
    <row r="114" spans="1:7" x14ac:dyDescent="0.25">
      <c r="A114" s="165" t="s">
        <v>2093</v>
      </c>
      <c r="B114" s="153"/>
      <c r="C114" s="154"/>
      <c r="D114" s="163" t="s">
        <v>2094</v>
      </c>
      <c r="E114" s="155" t="s">
        <v>2095</v>
      </c>
      <c r="F114" s="163" t="s">
        <v>2096</v>
      </c>
      <c r="G114" s="201" t="s">
        <v>2097</v>
      </c>
    </row>
    <row r="115" spans="1:7" x14ac:dyDescent="0.25">
      <c r="A115" s="153"/>
      <c r="B115" s="153"/>
      <c r="C115" s="154"/>
      <c r="D115" s="163" t="s">
        <v>2098</v>
      </c>
      <c r="E115" s="155"/>
      <c r="F115" s="163"/>
      <c r="G115" s="155"/>
    </row>
    <row r="116" spans="1:7" x14ac:dyDescent="0.25">
      <c r="A116" s="148"/>
      <c r="B116" s="148"/>
      <c r="C116" s="149"/>
      <c r="D116" s="162"/>
      <c r="E116" s="151"/>
      <c r="F116" s="162"/>
      <c r="G116" s="151"/>
    </row>
    <row r="117" spans="1:7" x14ac:dyDescent="0.25">
      <c r="A117" s="165" t="s">
        <v>2099</v>
      </c>
      <c r="B117" s="153"/>
      <c r="C117" s="154"/>
      <c r="D117" s="163"/>
      <c r="E117" s="155">
        <v>9162477</v>
      </c>
      <c r="F117" s="163" t="s">
        <v>2100</v>
      </c>
      <c r="G117" s="156" t="s">
        <v>2101</v>
      </c>
    </row>
    <row r="118" spans="1:7" x14ac:dyDescent="0.25">
      <c r="A118" s="153"/>
      <c r="B118" s="159"/>
      <c r="C118" s="160"/>
      <c r="D118" s="164"/>
      <c r="E118" s="161"/>
      <c r="F118" s="164"/>
      <c r="G118" s="161"/>
    </row>
    <row r="119" spans="1:7" x14ac:dyDescent="0.25">
      <c r="A119" s="148"/>
      <c r="B119" s="148"/>
      <c r="C119" s="149"/>
      <c r="D119" s="162"/>
      <c r="E119" s="151"/>
      <c r="F119" s="162"/>
      <c r="G119" s="151"/>
    </row>
    <row r="120" spans="1:7" x14ac:dyDescent="0.25">
      <c r="A120" s="186" t="s">
        <v>757</v>
      </c>
      <c r="B120" s="159"/>
      <c r="C120" s="160"/>
      <c r="D120" s="164" t="s">
        <v>758</v>
      </c>
      <c r="E120" s="161" t="s">
        <v>758</v>
      </c>
      <c r="F120" s="164" t="s">
        <v>2102</v>
      </c>
      <c r="G120" s="185" t="s">
        <v>2103</v>
      </c>
    </row>
    <row r="122" spans="1:7" x14ac:dyDescent="0.25">
      <c r="A122" t="s">
        <v>2104</v>
      </c>
      <c r="F122" s="202" t="s">
        <v>2105</v>
      </c>
    </row>
    <row r="124" spans="1:7" x14ac:dyDescent="0.25">
      <c r="A124" t="s">
        <v>1815</v>
      </c>
      <c r="D124" s="142" t="s">
        <v>1922</v>
      </c>
      <c r="E124" s="102">
        <v>77005410</v>
      </c>
      <c r="F124" s="142" t="s">
        <v>1930</v>
      </c>
      <c r="G124" s="55" t="s">
        <v>2106</v>
      </c>
    </row>
    <row r="126" spans="1:7" x14ac:dyDescent="0.25">
      <c r="A126" t="s">
        <v>1069</v>
      </c>
    </row>
    <row r="128" spans="1:7" x14ac:dyDescent="0.25">
      <c r="A128" t="s">
        <v>2107</v>
      </c>
      <c r="D128" s="142" t="s">
        <v>1132</v>
      </c>
    </row>
  </sheetData>
  <pageMargins left="0.15972222222222199" right="0.19027777777777799" top="0.209722222222222" bottom="0.17013888888888901" header="0.511811023622047" footer="0.511811023622047"/>
  <pageSetup paperSize="9" orientation="landscape"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Arbeitsblätter</vt:lpstr>
      </vt:variant>
      <vt:variant>
        <vt:i4>10</vt:i4>
      </vt:variant>
      <vt:variant>
        <vt:lpstr>Benannte Bereiche</vt:lpstr>
      </vt:variant>
      <vt:variant>
        <vt:i4>1</vt:i4>
      </vt:variant>
    </vt:vector>
  </HeadingPairs>
  <TitlesOfParts>
    <vt:vector size="11" baseType="lpstr">
      <vt:lpstr>RennsteigFinanz</vt:lpstr>
      <vt:lpstr>Favoriten</vt:lpstr>
      <vt:lpstr>Tools</vt:lpstr>
      <vt:lpstr>ex BH PW</vt:lpstr>
      <vt:lpstr>BÜ´s</vt:lpstr>
      <vt:lpstr>Post</vt:lpstr>
      <vt:lpstr>Einzel</vt:lpstr>
      <vt:lpstr>VEMA-Nr´n</vt:lpstr>
      <vt:lpstr>Invers interne Nr´n</vt:lpstr>
      <vt:lpstr>Frank Malzahn</vt:lpstr>
      <vt:lpstr>Einzel!Z_4076B397_909E_4026_BE11_525A508BFFEA_.wvu.Cols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buero2</dc:creator>
  <dc:description/>
  <cp:lastModifiedBy>Tommy Reif</cp:lastModifiedBy>
  <cp:revision>9</cp:revision>
  <cp:lastPrinted>2026-06-29T12:53:34Z</cp:lastPrinted>
  <dcterms:created xsi:type="dcterms:W3CDTF">2015-04-08T16:51:23Z</dcterms:created>
  <dcterms:modified xsi:type="dcterms:W3CDTF">2026-07-08T08:35:39Z</dcterms:modified>
  <dc:language>de-DE</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