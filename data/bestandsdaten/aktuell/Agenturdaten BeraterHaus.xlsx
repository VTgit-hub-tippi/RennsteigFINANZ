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worksheets/wsSortMap1.xml" ContentType="application/vnd.ms-excel.wsSortMap+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24226"/>
  <mc:AlternateContent xmlns:mc="http://schemas.openxmlformats.org/markup-compatibility/2006">
    <mc:Choice Requires="x15">
      <x15ac:absPath xmlns:x15ac="http://schemas.microsoft.com/office/spreadsheetml/2010/11/ac" url="Z:\Beraterhaus Intern\Arbeitsorganisation\"/>
    </mc:Choice>
  </mc:AlternateContent>
  <xr:revisionPtr revIDLastSave="0" documentId="13_ncr:1_{00ACF97D-62D5-4BB4-BD7C-57DB6C104E3D}" xr6:coauthVersionLast="47" xr6:coauthVersionMax="47" xr10:uidLastSave="{00000000-0000-0000-0000-000000000000}"/>
  <bookViews>
    <workbookView xWindow="28680" yWindow="-120" windowWidth="29040" windowHeight="15840" tabRatio="500" firstSheet="1" activeTab="3" xr2:uid="{00000000-000D-0000-FFFF-FFFF00000000}"/>
  </bookViews>
  <sheets>
    <sheet name="Favoriten" sheetId="1" r:id="rId1"/>
    <sheet name="Tools" sheetId="2" r:id="rId2"/>
    <sheet name="GDV" sheetId="3" r:id="rId3"/>
    <sheet name="Passwörter_Agenturen" sheetId="4" r:id="rId4"/>
    <sheet name="BÜ´s" sheetId="5" r:id="rId5"/>
    <sheet name="Post" sheetId="6" r:id="rId6"/>
    <sheet name="Einzel" sheetId="7" r:id="rId7"/>
    <sheet name="VEMA-Nr´n" sheetId="8" r:id="rId8"/>
    <sheet name="Invers interne Nr´n" sheetId="9" r:id="rId9"/>
    <sheet name="Frank Malzahn" sheetId="10" r:id="rId10"/>
    <sheet name="Tabelle1" sheetId="11" r:id="rId11"/>
  </sheets>
  <definedNames>
    <definedName name="Z_3306A449_89C6_46B4_ABF7_658F003FF274_.wvu.Cols" localSheetId="6" hidden="1">Einzel!$D:$Y</definedName>
    <definedName name="Z_4076B397_909E_4026_BE11_525A508BFFEA_.wvu.Cols" localSheetId="6">Einzel!$D:$Y</definedName>
    <definedName name="Z_BCD1B658_489F_4064_A696_D5FA21A794F2_.wvu.Cols" localSheetId="6" hidden="1">Einzel!$D:$Y</definedName>
    <definedName name="Z_EF60762C_634B_4E37_9575_37987277FB5D_.wvu.Cols" localSheetId="6" hidden="1">Einzel!$D:$Y</definedName>
  </definedNames>
  <calcPr calcId="181029"/>
  <customWorkbookViews>
    <customWorkbookView name="André Petri - Persönliche Ansicht" guid="{EF60762C-634B-4E37-9575-37987277FB5D}" mergeInterval="0" personalView="1" maximized="1" xWindow="1" yWindow="1" windowWidth="1916" windowHeight="804" tabRatio="500" activeSheetId="4"/>
    <customWorkbookView name="petri - Persönliche Ansicht" guid="{BCD1B658-489F-4064-A696-D5FA21A794F2}" mergeInterval="0" personalView="1" maximized="1" xWindow="1" yWindow="1" windowWidth="1916" windowHeight="850" tabRatio="500" activeSheetId="4"/>
    <customWorkbookView name="tippmann - Persönliche Ansicht" guid="{B17FADA9-6408-445B-BA12-02AB62834AE3}" mergeInterval="0" personalView="1" maximized="1" xWindow="1" yWindow="1" windowWidth="1916" windowHeight="941" tabRatio="665" activeSheetId="3"/>
    <customWorkbookView name="Volker Tippmann - Persönliche Ansicht" guid="{3306A449-89C6-46B4-ABF7-658F003FF274}" mergeInterval="0" personalView="1" xWindow="211" yWindow="117" windowWidth="1440" windowHeight="759" tabRatio="500" activeSheetId="4"/>
  </customWorkbookViews>
</workbook>
</file>

<file path=xl/calcChain.xml><?xml version="1.0" encoding="utf-8"?>
<calcChain xmlns="http://schemas.openxmlformats.org/spreadsheetml/2006/main">
  <c r="Z205" i="7" l="1"/>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Z4" i="7"/>
  <c r="Y4" i="7"/>
  <c r="X4" i="7"/>
  <c r="W4" i="7"/>
  <c r="V4" i="7"/>
  <c r="U4" i="7"/>
  <c r="T4" i="7"/>
  <c r="S4" i="7"/>
  <c r="R4" i="7"/>
  <c r="Q4" i="7"/>
  <c r="P4" i="7"/>
  <c r="O4" i="7"/>
  <c r="N4" i="7"/>
  <c r="M4" i="7"/>
  <c r="L4" i="7"/>
  <c r="K4" i="7"/>
  <c r="J4" i="7"/>
  <c r="I4" i="7"/>
  <c r="H4" i="7"/>
  <c r="G4" i="7"/>
  <c r="F4" i="7"/>
  <c r="E4" i="7"/>
  <c r="D4" i="7"/>
  <c r="C4" i="7"/>
  <c r="B4" i="7"/>
  <c r="A4" i="7"/>
  <c r="Z3" i="7"/>
  <c r="Y3" i="7"/>
  <c r="X3" i="7"/>
  <c r="W3" i="7"/>
  <c r="V3" i="7"/>
  <c r="U3" i="7"/>
  <c r="T3" i="7"/>
  <c r="S3" i="7"/>
  <c r="R3" i="7"/>
  <c r="Q3" i="7"/>
  <c r="P3" i="7"/>
  <c r="O3" i="7"/>
  <c r="N3" i="7"/>
  <c r="M3" i="7"/>
  <c r="L3" i="7"/>
  <c r="K3" i="7"/>
  <c r="J3" i="7"/>
  <c r="I3" i="7"/>
  <c r="H3" i="7"/>
  <c r="G3" i="7"/>
  <c r="F3" i="7"/>
  <c r="E3" i="7"/>
  <c r="D3" i="7"/>
  <c r="C3" i="7"/>
  <c r="B3" i="7"/>
  <c r="A3" i="7"/>
  <c r="Z2" i="7"/>
  <c r="Y2" i="7"/>
  <c r="X2" i="7"/>
  <c r="W2" i="7"/>
  <c r="V2" i="7"/>
  <c r="U2" i="7"/>
  <c r="T2" i="7"/>
  <c r="S2" i="7"/>
  <c r="R2" i="7"/>
  <c r="Q2" i="7"/>
  <c r="P2" i="7"/>
  <c r="O2" i="7"/>
  <c r="N2" i="7"/>
  <c r="M2" i="7"/>
  <c r="L2" i="7"/>
  <c r="K2" i="7"/>
  <c r="J2" i="7"/>
  <c r="I2" i="7"/>
  <c r="H2" i="7"/>
  <c r="G2" i="7"/>
  <c r="F2" i="7"/>
  <c r="E2" i="7"/>
  <c r="D2" i="7"/>
  <c r="C2" i="7"/>
  <c r="B2" i="7"/>
  <c r="A2" i="7"/>
  <c r="Z1" i="7"/>
  <c r="Y1" i="7"/>
  <c r="X1" i="7"/>
  <c r="W1" i="7"/>
  <c r="V1" i="7"/>
  <c r="U1" i="7"/>
  <c r="T1" i="7"/>
  <c r="S1" i="7"/>
  <c r="R1" i="7"/>
  <c r="Q1" i="7"/>
  <c r="P1" i="7"/>
  <c r="O1" i="7"/>
  <c r="N1" i="7"/>
  <c r="M1" i="7"/>
  <c r="L1" i="7"/>
  <c r="K1" i="7"/>
  <c r="J1" i="7"/>
  <c r="I1" i="7"/>
  <c r="H1" i="7"/>
  <c r="G1" i="7"/>
  <c r="F1" i="7"/>
  <c r="E1" i="7"/>
  <c r="D1" i="7"/>
  <c r="C1" i="7"/>
  <c r="B1" i="7"/>
  <c r="A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5" authorId="0" shapeId="0" xr:uid="{A59DB3C2-A145-4949-874E-7D591F783684}">
      <text>
        <r>
          <rPr>
            <b/>
            <sz val="9"/>
            <color rgb="FF000000"/>
            <rFont val="Tahoma"/>
            <family val="2"/>
          </rPr>
          <t xml:space="preserve">buero2:
alt = rom51hs
</t>
        </r>
        <r>
          <rPr>
            <sz val="9"/>
            <color rgb="FF000000"/>
            <rFont val="Tahoma"/>
            <family val="2"/>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Volker Tippmann</author>
  </authors>
  <commentList>
    <comment ref="F47" authorId="0" shapeId="0" xr:uid="{518CD0AF-C36A-40F0-A946-5714156E5DC0}">
      <text>
        <r>
          <rPr>
            <b/>
            <sz val="9"/>
            <color indexed="81"/>
            <rFont val="Segoe UI"/>
            <family val="2"/>
          </rPr>
          <t>Volker Tippmann:</t>
        </r>
        <r>
          <rPr>
            <sz val="9"/>
            <color indexed="81"/>
            <rFont val="Segoe UI"/>
            <family val="2"/>
          </rPr>
          <t xml:space="preserve">
Überschreibt alle Gesellschaften mit Münchner Kranken!!!!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André Petri</author>
    <author>tippmann</author>
    <author>Tippmann</author>
    <author>Volker Tippmann</author>
  </authors>
  <commentList>
    <comment ref="A1" authorId="0" shapeId="0" xr:uid="{00000000-0006-0000-0300-000001000000}">
      <text>
        <r>
          <rPr>
            <b/>
            <sz val="9"/>
            <color rgb="FF000000"/>
            <rFont val="Tahoma"/>
            <family val="2"/>
            <charset val="1"/>
          </rPr>
          <t xml:space="preserve">Volker Tippmann:
</t>
        </r>
        <r>
          <rPr>
            <sz val="9"/>
            <color rgb="FF000000"/>
            <rFont val="Tahoma"/>
            <family val="2"/>
            <charset val="1"/>
          </rPr>
          <t>Ordnungsnummer zur Sortierung der Paßwortliste</t>
        </r>
      </text>
    </comment>
    <comment ref="F1" authorId="1" shapeId="0" xr:uid="{00000000-0006-0000-0300-000002000000}">
      <text>
        <r>
          <rPr>
            <b/>
            <sz val="9"/>
            <color indexed="81"/>
            <rFont val="Tahoma"/>
            <family val="2"/>
          </rPr>
          <t>André Petri:</t>
        </r>
        <r>
          <rPr>
            <sz val="9"/>
            <color indexed="81"/>
            <rFont val="Tahoma"/>
            <family val="2"/>
          </rPr>
          <t xml:space="preserve">
Schreibweisen von Versicherungsnummern
</t>
        </r>
      </text>
    </comment>
    <comment ref="G1" authorId="0" shapeId="0" xr:uid="{00000000-0006-0000-0300-000003000000}">
      <text>
        <r>
          <rPr>
            <b/>
            <sz val="9"/>
            <color rgb="FF000000"/>
            <rFont val="Tahoma"/>
            <family val="2"/>
            <charset val="1"/>
          </rPr>
          <t xml:space="preserve">Volker Tippmann:
</t>
        </r>
        <r>
          <rPr>
            <sz val="9"/>
            <color rgb="FF000000"/>
            <rFont val="Tahoma"/>
            <family val="2"/>
            <charset val="1"/>
          </rPr>
          <t>Ordnungsnummer zur Sortierung der Agenturnummernliste</t>
        </r>
      </text>
    </comment>
    <comment ref="J10" authorId="2" shapeId="0" xr:uid="{00000000-0006-0000-0300-000004000000}">
      <text>
        <r>
          <rPr>
            <b/>
            <sz val="9"/>
            <color indexed="81"/>
            <rFont val="Tahoma"/>
            <family val="2"/>
          </rPr>
          <t>tippmann:</t>
        </r>
        <r>
          <rPr>
            <sz val="9"/>
            <color indexed="81"/>
            <rFont val="Tahoma"/>
            <family val="2"/>
          </rPr>
          <t xml:space="preserve">
Generali
</t>
        </r>
      </text>
    </comment>
    <comment ref="I13" authorId="0" shapeId="0" xr:uid="{00000000-0006-0000-0300-000005000000}">
      <text>
        <r>
          <rPr>
            <b/>
            <sz val="9"/>
            <color rgb="FF000000"/>
            <rFont val="Tahoma"/>
            <family val="2"/>
            <charset val="1"/>
          </rPr>
          <t xml:space="preserve">buero2:
</t>
        </r>
        <r>
          <rPr>
            <sz val="9"/>
            <color rgb="FF000000"/>
            <rFont val="Tahoma"/>
            <family val="2"/>
            <charset val="1"/>
          </rPr>
          <t xml:space="preserve">702022262
</t>
        </r>
      </text>
    </comment>
    <comment ref="J13" authorId="0" shapeId="0" xr:uid="{00000000-0006-0000-0300-000006000000}">
      <text>
        <r>
          <rPr>
            <b/>
            <sz val="9"/>
            <color rgb="FF000000"/>
            <rFont val="Tahoma"/>
            <family val="2"/>
            <charset val="1"/>
          </rPr>
          <t xml:space="preserve">buero2:
</t>
        </r>
        <r>
          <rPr>
            <sz val="9"/>
            <color rgb="FF000000"/>
            <rFont val="Tahoma"/>
            <family val="2"/>
            <charset val="1"/>
          </rPr>
          <t>ex 70/202/2262</t>
        </r>
      </text>
    </comment>
    <comment ref="J34" authorId="0" shapeId="0" xr:uid="{00000000-0006-0000-0300-000007000000}">
      <text>
        <r>
          <rPr>
            <b/>
            <sz val="9"/>
            <color rgb="FF000000"/>
            <rFont val="Tahoma"/>
            <family val="2"/>
            <charset val="1"/>
          </rPr>
          <t xml:space="preserve">Volker Tippmann:
</t>
        </r>
        <r>
          <rPr>
            <sz val="9"/>
            <color rgb="FF000000"/>
            <rFont val="Tahoma"/>
            <family val="2"/>
            <charset val="1"/>
          </rPr>
          <t xml:space="preserve">keine Vermittlernummer
</t>
        </r>
      </text>
    </comment>
    <comment ref="J35" authorId="0" shapeId="0" xr:uid="{00000000-0006-0000-0300-000008000000}">
      <text>
        <r>
          <rPr>
            <b/>
            <sz val="9"/>
            <color rgb="FF000000"/>
            <rFont val="Tahoma"/>
            <family val="2"/>
            <charset val="1"/>
          </rPr>
          <t xml:space="preserve">Volker Tippmann:
</t>
        </r>
        <r>
          <rPr>
            <sz val="9"/>
            <color rgb="FF000000"/>
            <rFont val="Tahoma"/>
            <family val="2"/>
            <charset val="1"/>
          </rPr>
          <t>keine Vermittlernummer!</t>
        </r>
      </text>
    </comment>
    <comment ref="J47" authorId="0" shapeId="0" xr:uid="{00000000-0006-0000-0300-000009000000}">
      <text>
        <r>
          <rPr>
            <b/>
            <sz val="9"/>
            <color rgb="FF000000"/>
            <rFont val="Tahoma"/>
            <family val="2"/>
            <charset val="1"/>
          </rPr>
          <t xml:space="preserve">buero2:
</t>
        </r>
        <r>
          <rPr>
            <sz val="9"/>
            <color rgb="FF000000"/>
            <rFont val="Tahoma"/>
            <family val="2"/>
            <charset val="1"/>
          </rPr>
          <t xml:space="preserve">über INTER
</t>
        </r>
      </text>
    </comment>
    <comment ref="B55" authorId="0" shapeId="0" xr:uid="{00000000-0006-0000-0300-00000A000000}">
      <text>
        <r>
          <rPr>
            <b/>
            <sz val="9"/>
            <color rgb="FF000000"/>
            <rFont val="Tahoma"/>
            <family val="2"/>
          </rPr>
          <t xml:space="preserve">buero2:
alt = rom51hs
</t>
        </r>
        <r>
          <rPr>
            <sz val="9"/>
            <color rgb="FF000000"/>
            <rFont val="Tahoma"/>
            <family val="2"/>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B56" authorId="0" shapeId="0" xr:uid="{00000000-0006-0000-0300-00000B000000}">
      <text>
        <r>
          <rPr>
            <b/>
            <sz val="9"/>
            <color rgb="FF000000"/>
            <rFont val="Tahoma"/>
            <family val="2"/>
          </rPr>
          <t xml:space="preserve">buero2:
alt = rom51hs
</t>
        </r>
        <r>
          <rPr>
            <sz val="9"/>
            <color rgb="FF000000"/>
            <rFont val="Tahoma"/>
            <family val="2"/>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H59" authorId="0" shapeId="0" xr:uid="{00000000-0006-0000-0300-00000C000000}">
      <text>
        <r>
          <rPr>
            <b/>
            <sz val="9"/>
            <color rgb="FF000000"/>
            <rFont val="Tahoma"/>
            <family val="2"/>
            <charset val="1"/>
          </rPr>
          <t xml:space="preserve">buero:
</t>
        </r>
        <r>
          <rPr>
            <sz val="9"/>
            <color rgb="FF000000"/>
            <rFont val="Tahoma"/>
            <family val="2"/>
            <charset val="1"/>
          </rPr>
          <t>ARKZV</t>
        </r>
      </text>
    </comment>
    <comment ref="B69" authorId="0" shapeId="0" xr:uid="{00000000-0006-0000-0300-00000D000000}">
      <text>
        <r>
          <rPr>
            <b/>
            <sz val="9"/>
            <color rgb="FF000000"/>
            <rFont val="Tahoma"/>
            <family val="2"/>
            <charset val="1"/>
          </rPr>
          <t xml:space="preserve">tippmann:
</t>
        </r>
        <r>
          <rPr>
            <sz val="9"/>
            <color rgb="FF000000"/>
            <rFont val="Tahoma"/>
            <family val="2"/>
            <charset val="1"/>
          </rPr>
          <t xml:space="preserve">alt 9110988
</t>
        </r>
      </text>
    </comment>
    <comment ref="C69" authorId="0" shapeId="0" xr:uid="{00000000-0006-0000-0300-00000E000000}">
      <text>
        <r>
          <rPr>
            <b/>
            <sz val="9"/>
            <color rgb="FF000000"/>
            <rFont val="Tahoma"/>
            <family val="2"/>
            <charset val="1"/>
          </rPr>
          <t xml:space="preserve">tippmann:
</t>
        </r>
        <r>
          <rPr>
            <sz val="9"/>
            <color rgb="FF000000"/>
            <rFont val="Tahoma"/>
            <family val="2"/>
            <charset val="1"/>
          </rPr>
          <t xml:space="preserve">alt YR#NW25L
</t>
        </r>
      </text>
    </comment>
    <comment ref="I69" authorId="0" shapeId="0" xr:uid="{00000000-0006-0000-0300-00000F000000}">
      <text>
        <r>
          <rPr>
            <b/>
            <sz val="9"/>
            <color rgb="FF000000"/>
            <rFont val="Tahoma"/>
            <family val="2"/>
            <charset val="1"/>
          </rPr>
          <t xml:space="preserve">tippmann:
</t>
        </r>
        <r>
          <rPr>
            <sz val="9"/>
            <color rgb="FF000000"/>
            <rFont val="Tahoma"/>
            <family val="2"/>
            <charset val="1"/>
          </rPr>
          <t xml:space="preserve">alt 911/0988
</t>
        </r>
      </text>
    </comment>
    <comment ref="J69" authorId="0" shapeId="0" xr:uid="{00000000-0006-0000-0300-000010000000}">
      <text>
        <r>
          <rPr>
            <b/>
            <sz val="9"/>
            <color rgb="FF000000"/>
            <rFont val="Tahoma"/>
            <family val="2"/>
            <charset val="1"/>
          </rPr>
          <t xml:space="preserve">tippmann:
</t>
        </r>
        <r>
          <rPr>
            <sz val="9"/>
            <color rgb="FF000000"/>
            <rFont val="Tahoma"/>
            <family val="2"/>
            <charset val="1"/>
          </rPr>
          <t xml:space="preserve">alt 911/0988
</t>
        </r>
      </text>
    </comment>
    <comment ref="I72" authorId="0" shapeId="0" xr:uid="{00000000-0006-0000-0300-000014000000}">
      <text>
        <r>
          <rPr>
            <b/>
            <sz val="9"/>
            <color rgb="FF000000"/>
            <rFont val="Tahoma"/>
            <family val="2"/>
            <charset val="1"/>
          </rPr>
          <t xml:space="preserve">buero2:
</t>
        </r>
        <r>
          <rPr>
            <sz val="9"/>
            <color rgb="FF000000"/>
            <rFont val="Tahoma"/>
            <family val="2"/>
            <charset val="1"/>
          </rPr>
          <t xml:space="preserve">unsere (!) Generali-Nr. bei der VEMA
</t>
        </r>
      </text>
    </comment>
    <comment ref="I76" authorId="2" shapeId="0" xr:uid="{00000000-0006-0000-0300-000011000000}">
      <text>
        <r>
          <rPr>
            <b/>
            <sz val="9"/>
            <color indexed="81"/>
            <rFont val="Tahoma"/>
            <family val="2"/>
          </rPr>
          <t>tippmann:</t>
        </r>
        <r>
          <rPr>
            <sz val="9"/>
            <color indexed="81"/>
            <rFont val="Tahoma"/>
            <family val="2"/>
          </rPr>
          <t xml:space="preserve">
Vermittlernummer 940862 ist eine Direktanbindung an unser Unternehmen.
Diese kann nicht unter die Vema geschlüsselt werden
</t>
        </r>
      </text>
    </comment>
    <comment ref="B87" authorId="0" shapeId="0" xr:uid="{00000000-0006-0000-0300-000012000000}">
      <text>
        <r>
          <rPr>
            <b/>
            <sz val="9"/>
            <color rgb="FF000000"/>
            <rFont val="Tahoma"/>
            <family val="2"/>
            <charset val="1"/>
          </rPr>
          <t xml:space="preserve">Volker Tippmann:
</t>
        </r>
        <r>
          <rPr>
            <sz val="9"/>
            <color rgb="FF000000"/>
            <rFont val="Tahoma"/>
            <family val="2"/>
            <charset val="1"/>
          </rPr>
          <t xml:space="preserve">Nadine
</t>
        </r>
      </text>
    </comment>
    <comment ref="B88" authorId="0" shapeId="0" xr:uid="{00000000-0006-0000-0300-000013000000}">
      <text>
        <r>
          <rPr>
            <b/>
            <sz val="9"/>
            <color rgb="FF000000"/>
            <rFont val="Tahoma"/>
            <family val="2"/>
            <charset val="1"/>
          </rPr>
          <t xml:space="preserve">Volker Tippmann:
</t>
        </r>
        <r>
          <rPr>
            <sz val="9"/>
            <color rgb="FF000000"/>
            <rFont val="Tahoma"/>
            <family val="2"/>
            <charset val="1"/>
          </rPr>
          <t xml:space="preserve">Werner
</t>
        </r>
      </text>
    </comment>
    <comment ref="I111" authorId="3" shapeId="0" xr:uid="{00000000-0006-0000-0300-000015000000}">
      <text>
        <r>
          <rPr>
            <b/>
            <sz val="9"/>
            <color indexed="81"/>
            <rFont val="Tahoma"/>
            <family val="2"/>
          </rPr>
          <t>Tippmann:</t>
        </r>
        <r>
          <rPr>
            <sz val="9"/>
            <color indexed="81"/>
            <rFont val="Tahoma"/>
            <family val="2"/>
          </rPr>
          <t xml:space="preserve">
alle Nummern unter dieser Nummer zusammengeführt
</t>
        </r>
      </text>
    </comment>
    <comment ref="T111" authorId="0" shapeId="0" xr:uid="{00000000-0006-0000-0300-000016000000}">
      <text>
        <r>
          <rPr>
            <b/>
            <sz val="9"/>
            <color rgb="FF000000"/>
            <rFont val="Tahoma"/>
            <family val="2"/>
            <charset val="1"/>
          </rPr>
          <t xml:space="preserve">buero:
</t>
        </r>
        <r>
          <rPr>
            <sz val="9"/>
            <color rgb="FF000000"/>
            <rFont val="Tahoma"/>
            <family val="2"/>
            <charset val="1"/>
          </rPr>
          <t xml:space="preserve">Invers
</t>
        </r>
      </text>
    </comment>
    <comment ref="L128" authorId="0" shapeId="0" xr:uid="{00000000-0006-0000-0300-000017000000}">
      <text>
        <r>
          <rPr>
            <b/>
            <sz val="9"/>
            <color rgb="FF000000"/>
            <rFont val="Tahoma"/>
            <family val="2"/>
          </rPr>
          <t xml:space="preserve">Tiippmann:
</t>
        </r>
        <r>
          <rPr>
            <sz val="9"/>
            <color rgb="FF000000"/>
            <rFont val="Tahoma"/>
            <family val="2"/>
          </rPr>
          <t xml:space="preserve">lt. Auskunft Inter keine Invers-Nummer
</t>
        </r>
      </text>
    </comment>
    <comment ref="J140" authorId="0" shapeId="0" xr:uid="{00000000-0006-0000-0300-000018000000}">
      <text>
        <r>
          <rPr>
            <b/>
            <sz val="9"/>
            <color rgb="FF000000"/>
            <rFont val="Tahoma"/>
            <family val="2"/>
          </rPr>
          <t xml:space="preserve">Tippmann:
</t>
        </r>
        <r>
          <rPr>
            <sz val="9"/>
            <color rgb="FF000000"/>
            <rFont val="Tahoma"/>
            <family val="2"/>
          </rPr>
          <t xml:space="preserve">ex 77750001
</t>
        </r>
      </text>
    </comment>
    <comment ref="B142" authorId="0" shapeId="0" xr:uid="{00000000-0006-0000-0300-000019000000}">
      <text>
        <r>
          <rPr>
            <b/>
            <sz val="9"/>
            <color rgb="FF000000"/>
            <rFont val="Tahoma"/>
            <family val="2"/>
            <charset val="1"/>
          </rPr>
          <t xml:space="preserve">Tippmann:
</t>
        </r>
        <r>
          <rPr>
            <sz val="9"/>
            <color rgb="FF000000"/>
            <rFont val="Tahoma"/>
            <family val="2"/>
            <charset val="1"/>
          </rPr>
          <t xml:space="preserve">Zugang gelöscht
</t>
        </r>
      </text>
    </comment>
    <comment ref="J151" authorId="0" shapeId="0" xr:uid="{00000000-0006-0000-0300-00001A000000}">
      <text>
        <r>
          <rPr>
            <b/>
            <sz val="9"/>
            <color rgb="FF000000"/>
            <rFont val="Tahoma"/>
            <family val="2"/>
            <charset val="1"/>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B165" authorId="4" shapeId="0" xr:uid="{3DB26AEE-7F8F-436A-B5E2-BF768A13137B}">
      <text>
        <r>
          <rPr>
            <b/>
            <sz val="9"/>
            <color indexed="81"/>
            <rFont val="Segoe UI"/>
            <family val="2"/>
          </rPr>
          <t>Volker Tippmann:</t>
        </r>
        <r>
          <rPr>
            <sz val="9"/>
            <color indexed="81"/>
            <rFont val="Segoe UI"/>
            <family val="2"/>
          </rPr>
          <t xml:space="preserve">
ex 79251Berater / wer57fra
</t>
        </r>
      </text>
    </comment>
    <comment ref="B166" authorId="4" shapeId="0" xr:uid="{00000000-0006-0000-0300-00001B000000}">
      <text>
        <r>
          <rPr>
            <b/>
            <sz val="9"/>
            <color indexed="81"/>
            <rFont val="Segoe UI"/>
            <family val="2"/>
          </rPr>
          <t>Volker Tippmann:</t>
        </r>
        <r>
          <rPr>
            <sz val="9"/>
            <color indexed="81"/>
            <rFont val="Segoe UI"/>
            <family val="2"/>
          </rPr>
          <t xml:space="preserve">
ex 79251Berater / wer57fra
</t>
        </r>
      </text>
    </comment>
    <comment ref="J176" authorId="0" shapeId="0" xr:uid="{00000000-0006-0000-0300-00001C000000}">
      <text>
        <r>
          <rPr>
            <b/>
            <sz val="9"/>
            <color rgb="FF000000"/>
            <rFont val="Tahoma"/>
            <family val="2"/>
            <charset val="1"/>
          </rPr>
          <t xml:space="preserve">Volker Tippmann:
</t>
        </r>
        <r>
          <rPr>
            <sz val="9"/>
            <color rgb="FF000000"/>
            <rFont val="Tahoma"/>
            <family val="2"/>
            <charset val="1"/>
          </rPr>
          <t xml:space="preserve">über Nürnberger, VHV, Stuttgarter, Mannheimer, VEMA
</t>
        </r>
      </text>
    </comment>
    <comment ref="I188" authorId="0" shapeId="0" xr:uid="{00000000-0006-0000-0300-00001D000000}">
      <text>
        <r>
          <rPr>
            <b/>
            <sz val="9"/>
            <color rgb="FF000000"/>
            <rFont val="Tahoma"/>
            <family val="2"/>
            <charset val="1"/>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
</t>
        </r>
      </text>
    </comment>
    <comment ref="B189" authorId="0" shapeId="0" xr:uid="{00000000-0006-0000-0300-00001E000000}">
      <text>
        <r>
          <rPr>
            <b/>
            <sz val="9"/>
            <color rgb="FF000000"/>
            <rFont val="Tahoma"/>
            <family val="2"/>
          </rPr>
          <t xml:space="preserve">buero2:
alt = rom51hs
</t>
        </r>
        <r>
          <rPr>
            <sz val="9"/>
            <color rgb="FF000000"/>
            <rFont val="Tahoma"/>
            <family val="2"/>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I189" authorId="0" shapeId="0" xr:uid="{00000000-0006-0000-0300-00001F000000}">
      <text>
        <r>
          <rPr>
            <b/>
            <sz val="9"/>
            <color rgb="FF000000"/>
            <rFont val="Tahoma"/>
            <family val="2"/>
            <charset val="1"/>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J189" authorId="0" shapeId="0" xr:uid="{00000000-0006-0000-0300-000020000000}">
      <text>
        <r>
          <rPr>
            <b/>
            <sz val="9"/>
            <color rgb="FF000000"/>
            <rFont val="Tahoma"/>
            <family val="2"/>
            <charset val="1"/>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I201" authorId="4" shapeId="0" xr:uid="{0D98858F-959D-46A9-8E8F-E9EF511DAC75}">
      <text>
        <r>
          <rPr>
            <b/>
            <sz val="9"/>
            <color indexed="81"/>
            <rFont val="Segoe UI"/>
            <family val="2"/>
          </rPr>
          <t>Volker Tippmann:</t>
        </r>
        <r>
          <rPr>
            <sz val="9"/>
            <color indexed="81"/>
            <rFont val="Segoe UI"/>
            <family val="2"/>
          </rPr>
          <t xml:space="preserve">
765256
</t>
        </r>
      </text>
    </comment>
    <comment ref="J210" authorId="4" shapeId="0" xr:uid="{00000000-0006-0000-0300-000021000000}">
      <text>
        <r>
          <rPr>
            <b/>
            <sz val="9"/>
            <color indexed="81"/>
            <rFont val="Segoe UI"/>
            <family val="2"/>
          </rPr>
          <t>Volker Tippmann:</t>
        </r>
        <r>
          <rPr>
            <sz val="9"/>
            <color indexed="81"/>
            <rFont val="Segoe UI"/>
            <family val="2"/>
          </rPr>
          <t xml:space="preserve">
ex 150/46286
</t>
        </r>
      </text>
    </comment>
    <comment ref="I217" authorId="0" shapeId="0" xr:uid="{00000000-0006-0000-0300-000022000000}">
      <text>
        <r>
          <rPr>
            <b/>
            <sz val="9"/>
            <color rgb="FF000000"/>
            <rFont val="Tahoma"/>
            <family val="2"/>
          </rPr>
          <t xml:space="preserve">tippmann:
</t>
        </r>
        <r>
          <rPr>
            <sz val="9"/>
            <color rgb="FF000000"/>
            <rFont val="Tahoma"/>
            <family val="2"/>
          </rPr>
          <t xml:space="preserve">ex 057383-000
</t>
        </r>
      </text>
    </comment>
    <comment ref="B220" authorId="4" shapeId="0" xr:uid="{00000000-0006-0000-0300-000023000000}">
      <text>
        <r>
          <rPr>
            <b/>
            <sz val="9"/>
            <color indexed="81"/>
            <rFont val="Segoe UI"/>
            <family val="2"/>
          </rPr>
          <t>Volker Tippmann:</t>
        </r>
        <r>
          <rPr>
            <sz val="9"/>
            <color indexed="81"/>
            <rFont val="Segoe UI"/>
            <family val="2"/>
          </rPr>
          <t xml:space="preserve">
184
</t>
        </r>
      </text>
    </comment>
    <comment ref="C220" authorId="4" shapeId="0" xr:uid="{00000000-0006-0000-0300-000024000000}">
      <text>
        <r>
          <rPr>
            <b/>
            <sz val="9"/>
            <color indexed="81"/>
            <rFont val="Segoe UI"/>
            <family val="2"/>
          </rPr>
          <t>Volker Tippmann:</t>
        </r>
        <r>
          <rPr>
            <sz val="9"/>
            <color indexed="81"/>
            <rFont val="Segoe UI"/>
            <family val="2"/>
          </rPr>
          <t xml:space="preserve">
204
</t>
        </r>
      </text>
    </comment>
    <comment ref="B221" authorId="0" shapeId="0" xr:uid="{00000000-0006-0000-0300-000025000000}">
      <text>
        <r>
          <rPr>
            <b/>
            <sz val="9"/>
            <color rgb="FF000000"/>
            <rFont val="Tahoma"/>
            <family val="2"/>
          </rPr>
          <t xml:space="preserve">Tippmann:
</t>
        </r>
        <r>
          <rPr>
            <sz val="9"/>
            <color rgb="FF000000"/>
            <rFont val="Tahoma"/>
            <family val="2"/>
          </rPr>
          <t>ex
 wi-1524-287</t>
        </r>
      </text>
    </comment>
    <comment ref="C221" authorId="0" shapeId="0" xr:uid="{00000000-0006-0000-0300-000026000000}">
      <text>
        <r>
          <rPr>
            <b/>
            <sz val="9"/>
            <color rgb="FF000000"/>
            <rFont val="Tahoma"/>
            <family val="2"/>
          </rPr>
          <t xml:space="preserve">Tippmann:
</t>
        </r>
        <r>
          <rPr>
            <sz val="9"/>
            <color rgb="FF000000"/>
            <rFont val="Tahoma"/>
            <family val="2"/>
          </rPr>
          <t>ex 201749</t>
        </r>
      </text>
    </comment>
    <comment ref="B229" authorId="0" shapeId="0" xr:uid="{00000000-0006-0000-0300-000027000000}">
      <text>
        <r>
          <rPr>
            <b/>
            <sz val="9"/>
            <color rgb="FF000000"/>
            <rFont val="Tahoma"/>
            <family val="2"/>
          </rPr>
          <t xml:space="preserve">Tippmann:
</t>
        </r>
        <r>
          <rPr>
            <sz val="9"/>
            <color rgb="FF000000"/>
            <rFont val="Tahoma"/>
            <family val="2"/>
          </rPr>
          <t xml:space="preserve">ex Q9481554
</t>
        </r>
      </text>
    </comment>
    <comment ref="L229" authorId="0" shapeId="0" xr:uid="{00000000-0006-0000-0300-000028000000}">
      <text>
        <r>
          <rPr>
            <b/>
            <sz val="9"/>
            <color rgb="FF000000"/>
            <rFont val="Tahoma"/>
            <family val="2"/>
          </rPr>
          <t xml:space="preserve">Tippmann:
</t>
        </r>
        <r>
          <rPr>
            <sz val="9"/>
            <color rgb="FF000000"/>
            <rFont val="Tahoma"/>
            <family val="2"/>
          </rPr>
          <t xml:space="preserve">ex Q9481554
</t>
        </r>
      </text>
    </comment>
    <comment ref="D233" authorId="0" shapeId="0" xr:uid="{00000000-0006-0000-0300-000029000000}">
      <text>
        <r>
          <rPr>
            <b/>
            <sz val="9"/>
            <color rgb="FF000000"/>
            <rFont val="Tahoma"/>
            <family val="2"/>
          </rPr>
          <t xml:space="preserve">Tippmann:
</t>
        </r>
        <r>
          <rPr>
            <sz val="9"/>
            <color rgb="FF000000"/>
            <rFont val="Tahoma"/>
            <family val="2"/>
          </rPr>
          <t xml:space="preserve">https://www.zurich-irland.de/bgsi/log_on/login.jsp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O30" authorId="0" shapeId="0" xr:uid="{00000000-0006-0000-0400-000001000000}">
      <text>
        <r>
          <rPr>
            <b/>
            <sz val="9"/>
            <color rgb="FF000000"/>
            <rFont val="Tahoma"/>
            <family val="2"/>
            <charset val="1"/>
          </rPr>
          <t xml:space="preserve">Volker Tippmann:
</t>
        </r>
        <r>
          <rPr>
            <sz val="9"/>
            <color rgb="FF000000"/>
            <rFont val="Tahoma"/>
            <family val="2"/>
            <charset val="1"/>
          </rPr>
          <t xml:space="preserve">über Nürnberger (oder VHV, Stuttgarter, Mannheimer)
</t>
        </r>
      </text>
    </comment>
    <comment ref="M31" authorId="0" shapeId="0" xr:uid="{00000000-0006-0000-0400-000002000000}">
      <text>
        <r>
          <rPr>
            <b/>
            <sz val="9"/>
            <color rgb="FF000000"/>
            <rFont val="Tahoma"/>
            <family val="2"/>
            <charset val="1"/>
          </rPr>
          <t xml:space="preserve">Volker Tippmann:
</t>
        </r>
        <r>
          <rPr>
            <sz val="9"/>
            <color rgb="FF000000"/>
            <rFont val="Tahoma"/>
            <family val="2"/>
            <charset val="1"/>
          </rPr>
          <t xml:space="preserve">über Nürnberger (oder VHV, Stuttgarter, Mannheimer)
</t>
        </r>
      </text>
    </comment>
    <comment ref="P31" authorId="0" shapeId="0" xr:uid="{00000000-0006-0000-0400-000003000000}">
      <text>
        <r>
          <rPr>
            <b/>
            <sz val="9"/>
            <color rgb="FF000000"/>
            <rFont val="Tahoma"/>
            <family val="2"/>
            <charset val="1"/>
          </rPr>
          <t xml:space="preserve">Volker Tippmann:
</t>
        </r>
        <r>
          <rPr>
            <sz val="9"/>
            <color rgb="FF000000"/>
            <rFont val="Tahoma"/>
            <family val="2"/>
            <charset val="1"/>
          </rPr>
          <t xml:space="preserve">über Nürnberger (oder VHV, Stuttgarter, Mannheimer)
</t>
        </r>
      </text>
    </comment>
  </commentList>
</comments>
</file>

<file path=xl/sharedStrings.xml><?xml version="1.0" encoding="utf-8"?>
<sst xmlns="http://schemas.openxmlformats.org/spreadsheetml/2006/main" count="3587" uniqueCount="2183">
  <si>
    <t>Firma</t>
  </si>
  <si>
    <t>Name</t>
  </si>
  <si>
    <t>Registrierungspaßwort</t>
  </si>
  <si>
    <t>Benutzername</t>
  </si>
  <si>
    <t>Paßwort</t>
  </si>
  <si>
    <t>Sonstiges</t>
  </si>
  <si>
    <t>Web-Zugang</t>
  </si>
  <si>
    <t>Ansprechpartner</t>
  </si>
  <si>
    <t>Zurich</t>
  </si>
  <si>
    <t>Beratungsnavigator</t>
  </si>
  <si>
    <t>Navigator3.0</t>
  </si>
  <si>
    <t>werner.petri@meinberaterhaus.de</t>
  </si>
  <si>
    <t>Wer57fra$</t>
  </si>
  <si>
    <t>www.mach-plus-mit-protection.de</t>
  </si>
  <si>
    <t xml:space="preserve">Zurich, Herr Patrick Wiertz, 0228 / 268 25 23 / patrick.wiertz@zurich.com </t>
  </si>
  <si>
    <t>KIS</t>
  </si>
  <si>
    <t>2FifpLSg</t>
  </si>
  <si>
    <t>Zertifikat</t>
  </si>
  <si>
    <t>https://kunden.bkm.de/cas/login?</t>
  </si>
  <si>
    <t>Herr Schäfer</t>
  </si>
  <si>
    <t>VHV</t>
  </si>
  <si>
    <t>MAXX-Net</t>
  </si>
  <si>
    <t>VHV-Tarife</t>
  </si>
  <si>
    <t>Concordia</t>
  </si>
  <si>
    <t>COPRA</t>
  </si>
  <si>
    <t>Easy Login (Web)</t>
  </si>
  <si>
    <t>Easy-Versicherungsportale-Login</t>
  </si>
  <si>
    <t>EL11827</t>
  </si>
  <si>
    <t>wer57fra</t>
  </si>
  <si>
    <t>Token</t>
  </si>
  <si>
    <t>www.easy-login.de</t>
  </si>
  <si>
    <t>Easy Login</t>
  </si>
  <si>
    <t>Easy-Client</t>
  </si>
  <si>
    <t>ELBE (Online) SdV</t>
  </si>
  <si>
    <t>ELBE</t>
  </si>
  <si>
    <t>kugecufa891</t>
  </si>
  <si>
    <t>https://www.plan25.de/login.elbe</t>
  </si>
  <si>
    <t>Franke &amp; Bornberg</t>
  </si>
  <si>
    <t>petri</t>
  </si>
  <si>
    <t>vowe2014</t>
  </si>
  <si>
    <t>Interrisk</t>
  </si>
  <si>
    <t>Kassensuche GmbH</t>
  </si>
  <si>
    <t>gesetzlichkrankenkassen.de</t>
  </si>
  <si>
    <t>WernerPetri</t>
  </si>
  <si>
    <t>www.makleraktiv.de</t>
  </si>
  <si>
    <t>R+V</t>
  </si>
  <si>
    <t>R+V Connect</t>
  </si>
  <si>
    <t>DATEV</t>
  </si>
  <si>
    <t>Versicherungsmarkt</t>
  </si>
  <si>
    <t>VM-Connect</t>
  </si>
  <si>
    <t>BCA</t>
  </si>
  <si>
    <t>BusinessPlus</t>
  </si>
  <si>
    <t>Procheck24</t>
  </si>
  <si>
    <t>Rhion</t>
  </si>
  <si>
    <t>Invers</t>
  </si>
  <si>
    <t>IMA</t>
  </si>
  <si>
    <t>Inveda</t>
  </si>
  <si>
    <t>IMA-Sync</t>
  </si>
  <si>
    <t>ASC</t>
  </si>
  <si>
    <t>ASC-Easy</t>
  </si>
  <si>
    <t>NAFI</t>
  </si>
  <si>
    <t>NAFI-Web</t>
  </si>
  <si>
    <t>SEB</t>
  </si>
  <si>
    <t>SEB-App</t>
  </si>
  <si>
    <t>BeraterHaus</t>
  </si>
  <si>
    <t>F31309H11</t>
  </si>
  <si>
    <t>verwaltung@beraterhaus</t>
  </si>
  <si>
    <t>BeraterHaus INTERN</t>
  </si>
  <si>
    <t>VEMA</t>
  </si>
  <si>
    <t>Paßwortverwaltung Makler-Extranets</t>
  </si>
  <si>
    <t>Fritz!Box</t>
  </si>
  <si>
    <t>Benutzer</t>
  </si>
  <si>
    <t>Volker</t>
  </si>
  <si>
    <t>persönlich erfragen</t>
  </si>
  <si>
    <t>Alex</t>
  </si>
  <si>
    <t>Server</t>
  </si>
  <si>
    <t>Zentrale</t>
  </si>
  <si>
    <t>Persönlich erfragen</t>
  </si>
  <si>
    <t>PC-Netzwerk</t>
  </si>
  <si>
    <t>Innendienst 1</t>
  </si>
  <si>
    <t>buero1</t>
  </si>
  <si>
    <t>buero2009</t>
  </si>
  <si>
    <t>Innendienst 2</t>
  </si>
  <si>
    <t>buero2</t>
  </si>
  <si>
    <t>Innendienst 3</t>
  </si>
  <si>
    <t>buero3</t>
  </si>
  <si>
    <t>Werner Petri</t>
  </si>
  <si>
    <t>Petri</t>
  </si>
  <si>
    <t>Volker Tippmann</t>
  </si>
  <si>
    <t>Tippmann</t>
  </si>
  <si>
    <t>Frank Hesselbart</t>
  </si>
  <si>
    <t>Hesselbarth</t>
  </si>
  <si>
    <t>Zenel Kelmendi</t>
  </si>
  <si>
    <t>Kelmendi</t>
  </si>
  <si>
    <t>Tommy Reif</t>
  </si>
  <si>
    <t>Reif</t>
  </si>
  <si>
    <t>Rosenbusch</t>
  </si>
  <si>
    <t>Gesellschaft</t>
  </si>
  <si>
    <t>Zugang</t>
  </si>
  <si>
    <t>Schlüssel</t>
  </si>
  <si>
    <t>Datenabholung</t>
  </si>
  <si>
    <t>Intervall</t>
  </si>
  <si>
    <t>POST</t>
  </si>
  <si>
    <t>GDV</t>
  </si>
  <si>
    <t xml:space="preserve"> </t>
  </si>
  <si>
    <t>Portal (Infomail)</t>
  </si>
  <si>
    <t>Allianz</t>
  </si>
  <si>
    <t>https://go-makler.allianz.de/gdv_app/Intranet/gdv</t>
  </si>
  <si>
    <t>Portal</t>
  </si>
  <si>
    <t>mtl</t>
  </si>
  <si>
    <t>Alte Leipziger / Hallesche /   Rechtschutz Union</t>
  </si>
  <si>
    <t>https://www.vermittlerportal.de/Appserver/vmp/GdvDownload/Download/Download</t>
  </si>
  <si>
    <t>ASC (AXA, HKD, Basler, …)</t>
  </si>
  <si>
    <t>Info per Mail</t>
  </si>
  <si>
    <t>hlbj.</t>
  </si>
  <si>
    <t>Auxilia_107175</t>
  </si>
  <si>
    <t>https://portal.ks-auxilia.de/ng/#/vermittler/startseite</t>
  </si>
  <si>
    <t>981263</t>
  </si>
  <si>
    <t>Auxilia_108980</t>
  </si>
  <si>
    <t>mtl.</t>
  </si>
  <si>
    <t>Auxilia_112366</t>
  </si>
  <si>
    <t>631723</t>
  </si>
  <si>
    <t>Advocard</t>
  </si>
  <si>
    <t>über Generali</t>
  </si>
  <si>
    <t>AXA</t>
  </si>
  <si>
    <t>https://entry.axa.de/portalpostfach/</t>
  </si>
  <si>
    <t>Baden-Badener</t>
  </si>
  <si>
    <t>https://www.bb-maklerwelt.de/Extranet/pages/peb/peb.faces</t>
  </si>
  <si>
    <t>Barmenia</t>
  </si>
  <si>
    <t>Canada Life</t>
  </si>
  <si>
    <t>keine GDV-Daten</t>
  </si>
  <si>
    <t>Continentale / Europa</t>
  </si>
  <si>
    <t>Degenia</t>
  </si>
  <si>
    <t>https://vermittlerservice.athene.de/vermittlerservice/download.do</t>
  </si>
  <si>
    <t>Deurag</t>
  </si>
  <si>
    <t>https://www.deurag.de/deurag/vertriebspartner/gdv-datensatze/daten.html</t>
  </si>
  <si>
    <t>die Bayerische (ex BBV)</t>
  </si>
  <si>
    <t>https://www.bbv.de/cmweb/GdvDownloadServlet</t>
  </si>
  <si>
    <t>Die Hinterbliebenenkasse</t>
  </si>
  <si>
    <t>Ergo (DKV/DAS/Victoria)</t>
  </si>
  <si>
    <t>https://www.datenbereitstellung.de/gdvUI/Makler/Download.aspx</t>
  </si>
  <si>
    <t>Generali</t>
  </si>
  <si>
    <t>https://prismavfsprod.generali.de/vfs/</t>
  </si>
  <si>
    <t>G122700A/wer57fra</t>
  </si>
  <si>
    <t>Gothaer</t>
  </si>
  <si>
    <t>GVO</t>
  </si>
  <si>
    <t>www.g-v-o.de</t>
  </si>
  <si>
    <t>Hanse-Merkur</t>
  </si>
  <si>
    <t>QQPKFAQN</t>
  </si>
  <si>
    <t>Briefpost</t>
  </si>
  <si>
    <t>HDI-Sach</t>
  </si>
  <si>
    <t>Helvetia</t>
  </si>
  <si>
    <t>HKD</t>
  </si>
  <si>
    <t>per Mail (Herr Kalus)</t>
  </si>
  <si>
    <t>Ideal</t>
  </si>
  <si>
    <t>Mail</t>
  </si>
  <si>
    <t>Inter</t>
  </si>
  <si>
    <t>nur Excel-Listen</t>
  </si>
  <si>
    <t>Interlloyd</t>
  </si>
  <si>
    <t>Itzehoer</t>
  </si>
  <si>
    <t>info@meinberaterhaus.de</t>
  </si>
  <si>
    <t>per Mail</t>
  </si>
  <si>
    <t>Janitos</t>
  </si>
  <si>
    <t>https://portal-a.janitos.de/palace/controller_frame.html?undefined</t>
  </si>
  <si>
    <r>
      <rPr>
        <sz val="12"/>
        <rFont val="Arial"/>
        <family val="2"/>
        <charset val="1"/>
      </rPr>
      <t>Portal</t>
    </r>
    <r>
      <rPr>
        <sz val="12"/>
        <color rgb="FFFF0000"/>
        <rFont val="Arial"/>
        <family val="2"/>
        <charset val="1"/>
      </rPr>
      <t xml:space="preserve"> (keine Briefpost)</t>
    </r>
  </si>
  <si>
    <t>Konzept &amp; Marketing</t>
  </si>
  <si>
    <t>LV1871 / Delta Direkt</t>
  </si>
  <si>
    <t>Mannheimer</t>
  </si>
  <si>
    <t>Medienversicherung</t>
  </si>
  <si>
    <t>79251</t>
  </si>
  <si>
    <t>Monuta</t>
  </si>
  <si>
    <t>Nürnberger</t>
  </si>
  <si>
    <t>NV-Versicherungen</t>
  </si>
  <si>
    <t>R+V / Kravag / Condor</t>
  </si>
  <si>
    <t>Rheinland/Rhion</t>
  </si>
  <si>
    <t>https://makler.rhion.de/cocoon/epos/portal?cocoon-portal-action=4&amp;cocoon-portal-event=34</t>
  </si>
  <si>
    <t>Schleswiger</t>
  </si>
  <si>
    <t>Signal Iduna</t>
  </si>
  <si>
    <t>AHH67NO</t>
  </si>
  <si>
    <t>Stuttgarter</t>
  </si>
  <si>
    <t>SwissLife</t>
  </si>
  <si>
    <t>Universa</t>
  </si>
  <si>
    <t>Volkswohlbund</t>
  </si>
  <si>
    <t>Württembergische</t>
  </si>
  <si>
    <t>18E6XV</t>
  </si>
  <si>
    <t>Würzburger</t>
  </si>
  <si>
    <t>WWK</t>
  </si>
  <si>
    <t>Zurich Life</t>
  </si>
  <si>
    <t>Zurich/Patria</t>
  </si>
  <si>
    <t>lfd.Nr. A</t>
  </si>
  <si>
    <t>Benutzername/Maklernummer</t>
  </si>
  <si>
    <t>Passwort</t>
  </si>
  <si>
    <t>lfd.Nr.B</t>
  </si>
  <si>
    <t>Gesellschaft / Partner</t>
  </si>
  <si>
    <t>Jung DMS</t>
  </si>
  <si>
    <t>maxpool</t>
  </si>
  <si>
    <t>AMEX</t>
  </si>
  <si>
    <t>Röder</t>
  </si>
  <si>
    <t>Furch</t>
  </si>
  <si>
    <t>Hartkopf</t>
  </si>
  <si>
    <t>Hildebrandt</t>
  </si>
  <si>
    <t>Hollatz</t>
  </si>
  <si>
    <t>Hopf</t>
  </si>
  <si>
    <t>Kramer</t>
  </si>
  <si>
    <t>Schellhorn</t>
  </si>
  <si>
    <t>Lins</t>
  </si>
  <si>
    <t>Littig</t>
  </si>
  <si>
    <t>Lobe</t>
  </si>
  <si>
    <t>Scharlach</t>
  </si>
  <si>
    <t>Weißkopf</t>
  </si>
  <si>
    <t>Schumacher</t>
  </si>
  <si>
    <t>Autohaus Hüther</t>
  </si>
  <si>
    <t>Motorrad Henkel</t>
  </si>
  <si>
    <t>A1</t>
  </si>
  <si>
    <t>B1</t>
  </si>
  <si>
    <t>Aachener Bausparkasse</t>
  </si>
  <si>
    <t>Kroschwald / Invers</t>
  </si>
  <si>
    <t>A2</t>
  </si>
  <si>
    <t>B2</t>
  </si>
  <si>
    <t>abc-teleconsult</t>
  </si>
  <si>
    <t>20052</t>
  </si>
  <si>
    <t>A3</t>
  </si>
  <si>
    <t>B3</t>
  </si>
  <si>
    <t>ACE European Group Limited Direktion für Deutschland</t>
  </si>
  <si>
    <t>2202_VEMA</t>
  </si>
  <si>
    <t>71518</t>
  </si>
  <si>
    <t>A4</t>
  </si>
  <si>
    <t>B4</t>
  </si>
  <si>
    <t>AdvoCard (Generali)</t>
  </si>
  <si>
    <t>A5</t>
  </si>
  <si>
    <t>GMAFXMX</t>
  </si>
  <si>
    <t>über Zertifikat</t>
  </si>
  <si>
    <t>Allianz Sach</t>
  </si>
  <si>
    <t>B5</t>
  </si>
  <si>
    <t>50/110/1334</t>
  </si>
  <si>
    <t>501100675</t>
  </si>
  <si>
    <t>50/100/1003</t>
  </si>
  <si>
    <t>A6</t>
  </si>
  <si>
    <t>DLVAG (Deutsche Lebensversicherung AG / Allianz)</t>
  </si>
  <si>
    <t>B6</t>
  </si>
  <si>
    <t>70/2020418</t>
  </si>
  <si>
    <t>A7</t>
  </si>
  <si>
    <t>Allianz Leben</t>
  </si>
  <si>
    <t>B7</t>
  </si>
  <si>
    <t>Allianz  Leben</t>
  </si>
  <si>
    <t>50/110/2650</t>
  </si>
  <si>
    <t>72020435</t>
  </si>
  <si>
    <t>A8</t>
  </si>
  <si>
    <t>Allianz Kranken</t>
  </si>
  <si>
    <t>B8</t>
  </si>
  <si>
    <t xml:space="preserve">70/585/0637 </t>
  </si>
  <si>
    <t>A9</t>
  </si>
  <si>
    <t>petri.w</t>
  </si>
  <si>
    <t>Alte Leipziger</t>
  </si>
  <si>
    <t>B9</t>
  </si>
  <si>
    <t>Alte Leipziger Sach und Leben</t>
  </si>
  <si>
    <t>580678001</t>
  </si>
  <si>
    <t>Alte Leipziger Bauspar AG</t>
  </si>
  <si>
    <t>7170</t>
  </si>
  <si>
    <t>A11</t>
  </si>
  <si>
    <t>B11</t>
  </si>
  <si>
    <t>Ammerländer</t>
  </si>
  <si>
    <t>A12</t>
  </si>
  <si>
    <t>B12</t>
  </si>
  <si>
    <t>24600</t>
  </si>
  <si>
    <t>A13</t>
  </si>
  <si>
    <t>B13</t>
  </si>
  <si>
    <t>Amex</t>
  </si>
  <si>
    <t>55956</t>
  </si>
  <si>
    <t>48794</t>
  </si>
  <si>
    <t>A14</t>
  </si>
  <si>
    <t>B14</t>
  </si>
  <si>
    <t>ARAG Versicherungen</t>
  </si>
  <si>
    <t>A15</t>
  </si>
  <si>
    <t>B15</t>
  </si>
  <si>
    <t>7975101</t>
  </si>
  <si>
    <t>A16</t>
  </si>
  <si>
    <t>pacco2006</t>
  </si>
  <si>
    <t>B16</t>
  </si>
  <si>
    <t>89299</t>
  </si>
  <si>
    <t>A17</t>
  </si>
  <si>
    <t>05065</t>
  </si>
  <si>
    <t>Apella</t>
  </si>
  <si>
    <t>B17</t>
  </si>
  <si>
    <t>36328</t>
  </si>
  <si>
    <t>A18</t>
  </si>
  <si>
    <t>Tommy22+</t>
  </si>
  <si>
    <t>B18</t>
  </si>
  <si>
    <t>A19</t>
  </si>
  <si>
    <t>berater09</t>
  </si>
  <si>
    <t>HDI (Aspecta)</t>
  </si>
  <si>
    <t>B19</t>
  </si>
  <si>
    <t>021449</t>
  </si>
  <si>
    <t>A20</t>
  </si>
  <si>
    <t>Wer57fra</t>
  </si>
  <si>
    <t>Auxilia</t>
  </si>
  <si>
    <t>B20</t>
  </si>
  <si>
    <t>AUXILIA Rechtsschutz-Versicherungs AG</t>
  </si>
  <si>
    <t>107175</t>
  </si>
  <si>
    <t>108980</t>
  </si>
  <si>
    <t>112366</t>
  </si>
  <si>
    <t>107351</t>
  </si>
  <si>
    <t>A21</t>
  </si>
  <si>
    <t>900426758302016</t>
  </si>
  <si>
    <t>AAB Augsburger Aktienbank</t>
  </si>
  <si>
    <t>B21</t>
  </si>
  <si>
    <t>AAB Augsburger Aktienbank (Invers)</t>
  </si>
  <si>
    <t>A22</t>
  </si>
  <si>
    <t>B22</t>
  </si>
  <si>
    <t>AXA/DBV Kranken</t>
  </si>
  <si>
    <t>5707000805</t>
  </si>
  <si>
    <t>5707000376</t>
  </si>
  <si>
    <t>A23</t>
  </si>
  <si>
    <t>AXA30940</t>
  </si>
  <si>
    <t>Dahlie13</t>
  </si>
  <si>
    <t>B23</t>
  </si>
  <si>
    <t>AXA Sach</t>
  </si>
  <si>
    <t>10/48/00/0805</t>
  </si>
  <si>
    <t>11/48/00/8586</t>
  </si>
  <si>
    <t>10/48/00/1767</t>
  </si>
  <si>
    <t>10/48/00/1741</t>
  </si>
  <si>
    <t>10/48/00/1772</t>
  </si>
  <si>
    <t>10/48/00/1791</t>
  </si>
  <si>
    <t>10/48/00/1296</t>
  </si>
  <si>
    <t>10/48/00/1268</t>
  </si>
  <si>
    <t>10/48/00/1674</t>
  </si>
  <si>
    <t>10/48/00/1743</t>
  </si>
  <si>
    <t>10/48/00/1190</t>
  </si>
  <si>
    <t>10/48/00/3645</t>
  </si>
  <si>
    <t>A24</t>
  </si>
  <si>
    <t>B24</t>
  </si>
  <si>
    <t>AXA Sach (Rahmenvertrag Sach)</t>
  </si>
  <si>
    <t>003816</t>
  </si>
  <si>
    <t>006548</t>
  </si>
  <si>
    <t>A25</t>
  </si>
  <si>
    <t>B25</t>
  </si>
  <si>
    <t>AXA Sach (Rahmenvertrag Kfz)</t>
  </si>
  <si>
    <t>130040363</t>
  </si>
  <si>
    <t>A26</t>
  </si>
  <si>
    <t>B26</t>
  </si>
  <si>
    <t>AXA (Innendienst) Kfz</t>
  </si>
  <si>
    <t>10/48/00/1783</t>
  </si>
  <si>
    <t>10/48/00/1778</t>
  </si>
  <si>
    <t>A27</t>
  </si>
  <si>
    <t>B27</t>
  </si>
  <si>
    <t>AXA Leben</t>
  </si>
  <si>
    <t>10/35/00/6249</t>
  </si>
  <si>
    <t>1035006249</t>
  </si>
  <si>
    <t>A28</t>
  </si>
  <si>
    <t>B28</t>
  </si>
  <si>
    <t>AXA Leben (alt  DBV-Leben)</t>
  </si>
  <si>
    <t>10/36/00/2754</t>
  </si>
  <si>
    <t>A29</t>
  </si>
  <si>
    <t>uWybH3v6Ys</t>
  </si>
  <si>
    <t>B29</t>
  </si>
  <si>
    <t>782644</t>
  </si>
  <si>
    <t>76993201</t>
  </si>
  <si>
    <t>A30</t>
  </si>
  <si>
    <t>d7ad19f6</t>
  </si>
  <si>
    <t>B30</t>
  </si>
  <si>
    <t>0021/1650</t>
  </si>
  <si>
    <t>A31</t>
  </si>
  <si>
    <t>7305ba3d</t>
  </si>
  <si>
    <t>B31</t>
  </si>
  <si>
    <t>950094925</t>
  </si>
  <si>
    <t>A32</t>
  </si>
  <si>
    <t>B32</t>
  </si>
  <si>
    <t>950212022</t>
  </si>
  <si>
    <t>A33</t>
  </si>
  <si>
    <t>B33</t>
  </si>
  <si>
    <t>950086739</t>
  </si>
  <si>
    <t>A34</t>
  </si>
  <si>
    <t>Basler</t>
  </si>
  <si>
    <t>B34</t>
  </si>
  <si>
    <t>600688</t>
  </si>
  <si>
    <t>082225</t>
  </si>
  <si>
    <t>A35</t>
  </si>
  <si>
    <t>VEMA-2202-00</t>
  </si>
  <si>
    <t>https://vema.basler-service.de</t>
  </si>
  <si>
    <t>Basler Service GmbH</t>
  </si>
  <si>
    <t>B35</t>
  </si>
  <si>
    <t>2202-00</t>
  </si>
  <si>
    <t>A36</t>
  </si>
  <si>
    <t>BKM Bausparkasse Mainz</t>
  </si>
  <si>
    <t>B36</t>
  </si>
  <si>
    <t>568063</t>
  </si>
  <si>
    <t>A37</t>
  </si>
  <si>
    <t>B37</t>
  </si>
  <si>
    <t>33500</t>
  </si>
  <si>
    <t>39646</t>
  </si>
  <si>
    <t>A38</t>
  </si>
  <si>
    <t>MAK940862-0001</t>
  </si>
  <si>
    <t>B38</t>
  </si>
  <si>
    <t>940862</t>
  </si>
  <si>
    <t>940341</t>
  </si>
  <si>
    <t>942053</t>
  </si>
  <si>
    <t>A39</t>
  </si>
  <si>
    <t>B39</t>
  </si>
  <si>
    <t>A40</t>
  </si>
  <si>
    <t>BHW</t>
  </si>
  <si>
    <t>B40</t>
  </si>
  <si>
    <t>20737185470.4 (0912/154224.6 (alt))</t>
  </si>
  <si>
    <t>A41</t>
  </si>
  <si>
    <t>Brandgilde</t>
  </si>
  <si>
    <t>B41</t>
  </si>
  <si>
    <t>Brandgilde Versicherung</t>
  </si>
  <si>
    <t>14356</t>
  </si>
  <si>
    <t>A42</t>
  </si>
  <si>
    <t>A5G6-Pet</t>
  </si>
  <si>
    <t>beraterhaus1</t>
  </si>
  <si>
    <t>Sicherheitsabfrage: Mädchenname Mutter: Wolf</t>
  </si>
  <si>
    <t>B42</t>
  </si>
  <si>
    <t>A5G6</t>
  </si>
  <si>
    <t>4181</t>
  </si>
  <si>
    <t>A43</t>
  </si>
  <si>
    <t>www.carglass4partners.de (Service-Nr. 3655829222)</t>
  </si>
  <si>
    <t>carglass</t>
  </si>
  <si>
    <t>B43</t>
  </si>
  <si>
    <t>3655829222</t>
  </si>
  <si>
    <t>A44</t>
  </si>
  <si>
    <t>B44</t>
  </si>
  <si>
    <t>Care Concept</t>
  </si>
  <si>
    <t>000 20 50000</t>
  </si>
  <si>
    <t>A45</t>
  </si>
  <si>
    <t>Concenter</t>
  </si>
  <si>
    <t>B45</t>
  </si>
  <si>
    <t>A46</t>
  </si>
  <si>
    <t>bronko</t>
  </si>
  <si>
    <t>Conceptif</t>
  </si>
  <si>
    <t>B46</t>
  </si>
  <si>
    <t>A47</t>
  </si>
  <si>
    <t>xnet\25111000</t>
  </si>
  <si>
    <t>B47</t>
  </si>
  <si>
    <t>35143/000</t>
  </si>
  <si>
    <t>55280055</t>
  </si>
  <si>
    <t>55110</t>
  </si>
  <si>
    <t>A48</t>
  </si>
  <si>
    <t>Cordial01</t>
  </si>
  <si>
    <t>B48</t>
  </si>
  <si>
    <t>A49</t>
  </si>
  <si>
    <t>B49</t>
  </si>
  <si>
    <t>Condor Klass. LV/BU / Optima</t>
  </si>
  <si>
    <t>806252</t>
  </si>
  <si>
    <t>A50</t>
  </si>
  <si>
    <t>B50</t>
  </si>
  <si>
    <t>Condor Leben (FLV) / Optima</t>
  </si>
  <si>
    <t>58/14855</t>
  </si>
  <si>
    <t>A51</t>
  </si>
  <si>
    <t>rom0s2s</t>
  </si>
  <si>
    <t>Bronko07</t>
  </si>
  <si>
    <t>B51</t>
  </si>
  <si>
    <t>Condor Sach (nur Altbestand)</t>
  </si>
  <si>
    <t xml:space="preserve">58/14855 </t>
  </si>
  <si>
    <t>A52</t>
  </si>
  <si>
    <t>B52</t>
  </si>
  <si>
    <t>Continentale</t>
  </si>
  <si>
    <t>A53</t>
  </si>
  <si>
    <t>berater17</t>
  </si>
  <si>
    <t>https://portal.covomo.de/</t>
  </si>
  <si>
    <t>Covomo</t>
  </si>
  <si>
    <t>B53</t>
  </si>
  <si>
    <t>covomo</t>
  </si>
  <si>
    <t>49237783</t>
  </si>
  <si>
    <t>A54</t>
  </si>
  <si>
    <t>info@suhlfinanz.de</t>
  </si>
  <si>
    <t>CSS</t>
  </si>
  <si>
    <t>B54</t>
  </si>
  <si>
    <t>A55</t>
  </si>
  <si>
    <t>00106876</t>
  </si>
  <si>
    <t>B55</t>
  </si>
  <si>
    <t>DEGENIA</t>
  </si>
  <si>
    <t>A56</t>
  </si>
  <si>
    <t>B56</t>
  </si>
  <si>
    <t>Delta Direkt</t>
  </si>
  <si>
    <t>23226630</t>
  </si>
  <si>
    <t>A57</t>
  </si>
  <si>
    <t>Mein703?</t>
  </si>
  <si>
    <t>DeltaLloyd</t>
  </si>
  <si>
    <t>B57</t>
  </si>
  <si>
    <t>Athene (Delta Lloyd)</t>
  </si>
  <si>
    <t>4187038</t>
  </si>
  <si>
    <t>3958752</t>
  </si>
  <si>
    <t>A58</t>
  </si>
  <si>
    <t>B58</t>
  </si>
  <si>
    <t>Der Sachpool</t>
  </si>
  <si>
    <t>20124-26</t>
  </si>
  <si>
    <t>A59</t>
  </si>
  <si>
    <t>xDjcn6pH</t>
  </si>
  <si>
    <t>DEMA Deutsche Versicherungsmakler</t>
  </si>
  <si>
    <t>B59</t>
  </si>
  <si>
    <t>A60</t>
  </si>
  <si>
    <t>B60</t>
  </si>
  <si>
    <t>47502</t>
  </si>
  <si>
    <t>51089</t>
  </si>
  <si>
    <t>42992</t>
  </si>
  <si>
    <t>52516R</t>
  </si>
  <si>
    <t>A61</t>
  </si>
  <si>
    <t>B61</t>
  </si>
  <si>
    <t>Deurag Maklerverein</t>
  </si>
  <si>
    <t>A62</t>
  </si>
  <si>
    <t>U061971</t>
  </si>
  <si>
    <t>Winter16</t>
  </si>
  <si>
    <t>Deutscher Ring KV</t>
  </si>
  <si>
    <t>B62</t>
  </si>
  <si>
    <t>Deutscher Ring Kranken</t>
  </si>
  <si>
    <t>8656194</t>
  </si>
  <si>
    <t>A63</t>
  </si>
  <si>
    <t>Deutscher Ring Bausparkasse</t>
  </si>
  <si>
    <t>B63</t>
  </si>
  <si>
    <t>998-1847</t>
  </si>
  <si>
    <t>Dialog</t>
  </si>
  <si>
    <t>48/0203</t>
  </si>
  <si>
    <t>480203</t>
  </si>
  <si>
    <t>A65</t>
  </si>
  <si>
    <t>beraterhaus</t>
  </si>
  <si>
    <t>Die Hinterbliebenenkasse HDH</t>
  </si>
  <si>
    <t>B65</t>
  </si>
  <si>
    <t>1700999</t>
  </si>
  <si>
    <t>A66</t>
  </si>
  <si>
    <t>Direct Line (Download Center)</t>
  </si>
  <si>
    <t>B66</t>
  </si>
  <si>
    <t>Direct Line</t>
  </si>
  <si>
    <t>10423</t>
  </si>
  <si>
    <t>A67</t>
  </si>
  <si>
    <t>B67</t>
  </si>
  <si>
    <t xml:space="preserve">DKB </t>
  </si>
  <si>
    <t>21 122</t>
  </si>
  <si>
    <t>23954</t>
  </si>
  <si>
    <t>A68</t>
  </si>
  <si>
    <t>B68</t>
  </si>
  <si>
    <t>DMB Rechtsschutz</t>
  </si>
  <si>
    <t>9458</t>
  </si>
  <si>
    <t>6650</t>
  </si>
  <si>
    <t>A69</t>
  </si>
  <si>
    <t>B69</t>
  </si>
  <si>
    <t>Domcura AG</t>
  </si>
  <si>
    <t>VEMA2202</t>
  </si>
  <si>
    <t>29491</t>
  </si>
  <si>
    <t>A70</t>
  </si>
  <si>
    <t>B70</t>
  </si>
  <si>
    <t>ebase</t>
  </si>
  <si>
    <t>A71</t>
  </si>
  <si>
    <t>ebase BH-Invers</t>
  </si>
  <si>
    <t>B71</t>
  </si>
  <si>
    <t>A72</t>
  </si>
  <si>
    <t>hesself</t>
  </si>
  <si>
    <t>hubert57</t>
  </si>
  <si>
    <t>B72</t>
  </si>
  <si>
    <t>A73</t>
  </si>
  <si>
    <t>B73</t>
  </si>
  <si>
    <t>A74</t>
  </si>
  <si>
    <t>E922841</t>
  </si>
  <si>
    <t>Berater2</t>
  </si>
  <si>
    <t>PIN 98527</t>
  </si>
  <si>
    <t>Ergo</t>
  </si>
  <si>
    <t>B74</t>
  </si>
  <si>
    <t>Ergo (ab 01.04.14 für Ergo, Ergo-L, DKV, DAS und Victoria)</t>
  </si>
  <si>
    <t>00555-1323</t>
  </si>
  <si>
    <t>A75</t>
  </si>
  <si>
    <t>E878895</t>
  </si>
  <si>
    <t>B75</t>
  </si>
  <si>
    <t>A76</t>
  </si>
  <si>
    <t>dkv</t>
  </si>
  <si>
    <t>B76</t>
  </si>
  <si>
    <t>Ergo / DKV</t>
  </si>
  <si>
    <t>245353852</t>
  </si>
  <si>
    <t>24535-6066</t>
  </si>
  <si>
    <t>A77</t>
  </si>
  <si>
    <t>B77</t>
  </si>
  <si>
    <t>Ergo Direkt</t>
  </si>
  <si>
    <t>60001-3404</t>
  </si>
  <si>
    <t>60001-3025</t>
  </si>
  <si>
    <t>A78</t>
  </si>
  <si>
    <t>B78</t>
  </si>
  <si>
    <t>ERV AG</t>
  </si>
  <si>
    <t>A79</t>
  </si>
  <si>
    <t>B79</t>
  </si>
  <si>
    <t>Europa (über Continentale)</t>
  </si>
  <si>
    <t>A80</t>
  </si>
  <si>
    <t>B80</t>
  </si>
  <si>
    <t>Fondskonzept AG</t>
  </si>
  <si>
    <t>98144</t>
  </si>
  <si>
    <t>MSC</t>
  </si>
  <si>
    <t>A81</t>
  </si>
  <si>
    <t>B81</t>
  </si>
  <si>
    <t>98162</t>
  </si>
  <si>
    <t>A82</t>
  </si>
  <si>
    <t>tippi</t>
  </si>
  <si>
    <t>B82</t>
  </si>
  <si>
    <t>98010</t>
  </si>
  <si>
    <t>A83</t>
  </si>
  <si>
    <t>B83</t>
  </si>
  <si>
    <t>Fortuna</t>
  </si>
  <si>
    <t>3362</t>
  </si>
  <si>
    <t>A84</t>
  </si>
  <si>
    <t>V201193478</t>
  </si>
  <si>
    <t>firma1</t>
  </si>
  <si>
    <t>B84</t>
  </si>
  <si>
    <t>FdB Fondsdepot Bank (Jung DMS)</t>
  </si>
  <si>
    <t>A85</t>
  </si>
  <si>
    <t xml:space="preserve">petri </t>
  </si>
  <si>
    <t>B85</t>
  </si>
  <si>
    <t>A86</t>
  </si>
  <si>
    <t>versWPetri</t>
  </si>
  <si>
    <t>F51Yc98Q</t>
  </si>
  <si>
    <t>Franke &amp; Bornberg (versdiagnose)</t>
  </si>
  <si>
    <t>B86</t>
  </si>
  <si>
    <t>A87</t>
  </si>
  <si>
    <t>V8446566</t>
  </si>
  <si>
    <t>B87</t>
  </si>
  <si>
    <t>FFB Frankfurter Fondsbank (Jung DMS)</t>
  </si>
  <si>
    <t>A88</t>
  </si>
  <si>
    <t>nb52fr</t>
  </si>
  <si>
    <t>Fritzbox</t>
  </si>
  <si>
    <t>B88</t>
  </si>
  <si>
    <t>A89</t>
  </si>
  <si>
    <t>B89</t>
  </si>
  <si>
    <t>GAMAX/JDC</t>
  </si>
  <si>
    <t>309936</t>
  </si>
  <si>
    <t>A90</t>
  </si>
  <si>
    <t>B90</t>
  </si>
  <si>
    <t>A91</t>
  </si>
  <si>
    <t>Abrechnung I76H358 PW: werner11</t>
  </si>
  <si>
    <t>B91</t>
  </si>
  <si>
    <t>122700</t>
  </si>
  <si>
    <t>106151</t>
  </si>
  <si>
    <t>205585</t>
  </si>
  <si>
    <t>103680</t>
  </si>
  <si>
    <t>103681</t>
  </si>
  <si>
    <t>103682</t>
  </si>
  <si>
    <t>198529</t>
  </si>
  <si>
    <t>A92</t>
  </si>
  <si>
    <t>B92</t>
  </si>
  <si>
    <t>Generali Heilwesen</t>
  </si>
  <si>
    <t>A93</t>
  </si>
  <si>
    <t>B93</t>
  </si>
  <si>
    <t xml:space="preserve">Generali Mitarbeiter Kfz </t>
  </si>
  <si>
    <t>103679</t>
  </si>
  <si>
    <t>103959</t>
  </si>
  <si>
    <t>A94</t>
  </si>
  <si>
    <t>B94</t>
  </si>
  <si>
    <t>Gothaer Leben</t>
  </si>
  <si>
    <t>691-2336</t>
  </si>
  <si>
    <t>A95</t>
  </si>
  <si>
    <t>B95</t>
  </si>
  <si>
    <t>Gothaer Sach</t>
  </si>
  <si>
    <t>28.446</t>
  </si>
  <si>
    <t>05.165</t>
  </si>
  <si>
    <t>A96</t>
  </si>
  <si>
    <t>MhTHtFwr</t>
  </si>
  <si>
    <t>B96</t>
  </si>
  <si>
    <t>GVO Gegenseitigkeit Versicherung Oldenburg</t>
  </si>
  <si>
    <t>3638</t>
  </si>
  <si>
    <t>A97</t>
  </si>
  <si>
    <t>B97</t>
  </si>
  <si>
    <t xml:space="preserve">Haftpflichtkasse Darmstadt </t>
  </si>
  <si>
    <t>009534-457</t>
  </si>
  <si>
    <t>007993-201</t>
  </si>
  <si>
    <t>9104-057</t>
  </si>
  <si>
    <t>007993-209; ex 007782-031</t>
  </si>
  <si>
    <t>1665-004</t>
  </si>
  <si>
    <t>Hallesche KV</t>
  </si>
  <si>
    <t>A99</t>
  </si>
  <si>
    <t>B99</t>
  </si>
  <si>
    <t>Hallesche KV, Verbund-Nr.  Alte Leipziger</t>
  </si>
  <si>
    <t>A100</t>
  </si>
  <si>
    <t>3365483e</t>
  </si>
  <si>
    <t>iponmgb</t>
  </si>
  <si>
    <t>https://www.hansemerkur.de/maklersupport/</t>
  </si>
  <si>
    <t>B100</t>
  </si>
  <si>
    <t>Hanse Merkur</t>
  </si>
  <si>
    <t>A101</t>
  </si>
  <si>
    <t>HanseMerkur Kranken</t>
  </si>
  <si>
    <t>B101</t>
  </si>
  <si>
    <t>A102</t>
  </si>
  <si>
    <t>https://secure.hmrv.de/rvw-ba/baEingabe.jsf</t>
  </si>
  <si>
    <t>HanseMerkur Reise</t>
  </si>
  <si>
    <t>B102</t>
  </si>
  <si>
    <t>A103</t>
  </si>
  <si>
    <t>B103</t>
  </si>
  <si>
    <t>Bayerische Hausbesitzer Versicherung</t>
  </si>
  <si>
    <t>6255</t>
  </si>
  <si>
    <t>A104</t>
  </si>
  <si>
    <t>B104</t>
  </si>
  <si>
    <t>203-44780</t>
  </si>
  <si>
    <t>A105</t>
  </si>
  <si>
    <t>B105</t>
  </si>
  <si>
    <t>HDI Leben</t>
  </si>
  <si>
    <t>612601</t>
  </si>
  <si>
    <t>540245</t>
  </si>
  <si>
    <t>A106</t>
  </si>
  <si>
    <t>B106</t>
  </si>
  <si>
    <t>HDI Sach</t>
  </si>
  <si>
    <t>A107</t>
  </si>
  <si>
    <t>www.sterbegeld-hdh.de</t>
  </si>
  <si>
    <t>B107</t>
  </si>
  <si>
    <t>HDH Hinterbliebenenkasse der Heilberufe VVaG</t>
  </si>
  <si>
    <t>A108</t>
  </si>
  <si>
    <t>www.hek-partnerportal.de</t>
  </si>
  <si>
    <t>B108</t>
  </si>
  <si>
    <t>HEK Hanseatische Krankenkasse</t>
  </si>
  <si>
    <t>A109</t>
  </si>
  <si>
    <t>B109</t>
  </si>
  <si>
    <t>Hübener</t>
  </si>
  <si>
    <t>V09852</t>
  </si>
  <si>
    <t>A111</t>
  </si>
  <si>
    <t>08260</t>
  </si>
  <si>
    <t>molly</t>
  </si>
  <si>
    <t>B111</t>
  </si>
  <si>
    <t>79138</t>
  </si>
  <si>
    <t>A112</t>
  </si>
  <si>
    <t>A568063</t>
  </si>
  <si>
    <t>https://www.inter-makler.net/postbox/#login:</t>
  </si>
  <si>
    <t>B112</t>
  </si>
  <si>
    <t>A113</t>
  </si>
  <si>
    <t>M79852707</t>
  </si>
  <si>
    <t>B113</t>
  </si>
  <si>
    <t>A114</t>
  </si>
  <si>
    <t>Referenznummer: 962486 PIN: 408534</t>
  </si>
  <si>
    <t>InterRisk</t>
  </si>
  <si>
    <t>B114</t>
  </si>
  <si>
    <t>InterRisk LV</t>
  </si>
  <si>
    <t>28632</t>
  </si>
  <si>
    <t>A115</t>
  </si>
  <si>
    <t>https://extranet.interrisk.de/secure/login.do;jsessionid=arnyZKfRXkL6</t>
  </si>
  <si>
    <t>InterRisk (GDV-Sach)</t>
  </si>
  <si>
    <t>B115</t>
  </si>
  <si>
    <t>InterRisk Sach</t>
  </si>
  <si>
    <t>7171692 (5699320)</t>
  </si>
  <si>
    <t>7171692</t>
  </si>
  <si>
    <t>5699320</t>
  </si>
  <si>
    <t>7378491</t>
  </si>
  <si>
    <t>7359092</t>
  </si>
  <si>
    <t>INVERS GmbH</t>
  </si>
  <si>
    <t>7993201-013</t>
  </si>
  <si>
    <t>7993201-012</t>
  </si>
  <si>
    <t>7993201-002</t>
  </si>
  <si>
    <t>7993201-009</t>
  </si>
  <si>
    <t>7993201-008</t>
  </si>
  <si>
    <t>7993201-003</t>
  </si>
  <si>
    <t>7993201-005</t>
  </si>
  <si>
    <t>7993201-006</t>
  </si>
  <si>
    <t>7993201-004</t>
  </si>
  <si>
    <t>Invers (Hildebrand)</t>
  </si>
  <si>
    <t>INVERS GmbH AAB</t>
  </si>
  <si>
    <t>A118</t>
  </si>
  <si>
    <t>7993201-10</t>
  </si>
  <si>
    <t>Invers (Petri)</t>
  </si>
  <si>
    <t>B118</t>
  </si>
  <si>
    <t>INVERS GmbH Ebase</t>
  </si>
  <si>
    <t>3733-7993201</t>
  </si>
  <si>
    <t>A119</t>
  </si>
  <si>
    <t>Invers (Röder)</t>
  </si>
  <si>
    <t>B119</t>
  </si>
  <si>
    <t>A120</t>
  </si>
  <si>
    <t>7993201-12</t>
  </si>
  <si>
    <t>tippmann</t>
  </si>
  <si>
    <t>Invers (Tippmann)</t>
  </si>
  <si>
    <t>B120</t>
  </si>
  <si>
    <t>A121</t>
  </si>
  <si>
    <t>B121</t>
  </si>
  <si>
    <t>A122</t>
  </si>
  <si>
    <t>berater5</t>
  </si>
  <si>
    <t>Itzehoer (LadyMobil)</t>
  </si>
  <si>
    <t>B122</t>
  </si>
  <si>
    <t>A123</t>
  </si>
  <si>
    <t>werpetri</t>
  </si>
  <si>
    <t>Berater1</t>
  </si>
  <si>
    <t>hpetri //  wer57fra</t>
  </si>
  <si>
    <t>B123</t>
  </si>
  <si>
    <t>Janitos (über VEMA)</t>
  </si>
  <si>
    <t>9293 2202</t>
  </si>
  <si>
    <t>62951242</t>
  </si>
  <si>
    <t>A124</t>
  </si>
  <si>
    <t>Jung DMS (BH)</t>
  </si>
  <si>
    <t>B124</t>
  </si>
  <si>
    <t>16283</t>
  </si>
  <si>
    <t>16286</t>
  </si>
  <si>
    <t>16284</t>
  </si>
  <si>
    <t>A125</t>
  </si>
  <si>
    <t>Jung DMS (ex-Frank)</t>
  </si>
  <si>
    <t>B125</t>
  </si>
  <si>
    <t>A126</t>
  </si>
  <si>
    <t>Jung DMS (ex-Werner)</t>
  </si>
  <si>
    <t>B126</t>
  </si>
  <si>
    <t>A127</t>
  </si>
  <si>
    <t>Jung DMS (Frank)</t>
  </si>
  <si>
    <t>B127</t>
  </si>
  <si>
    <t>A128</t>
  </si>
  <si>
    <t>Jung DMS (Werner)</t>
  </si>
  <si>
    <t>B128</t>
  </si>
  <si>
    <t>A129</t>
  </si>
  <si>
    <t>Jung DMS (Tommy)</t>
  </si>
  <si>
    <t>B129</t>
  </si>
  <si>
    <t>A130</t>
  </si>
  <si>
    <t>B130</t>
  </si>
  <si>
    <t>2356</t>
  </si>
  <si>
    <t>A131</t>
  </si>
  <si>
    <t>B131</t>
  </si>
  <si>
    <t>Konzept und Marketing</t>
  </si>
  <si>
    <t>27776</t>
  </si>
  <si>
    <t>A132</t>
  </si>
  <si>
    <t>Kravag</t>
  </si>
  <si>
    <t>B132</t>
  </si>
  <si>
    <t>784680</t>
  </si>
  <si>
    <t>784682</t>
  </si>
  <si>
    <t>786274</t>
  </si>
  <si>
    <t>786958</t>
  </si>
  <si>
    <t>787396</t>
  </si>
  <si>
    <t>785784</t>
  </si>
  <si>
    <t>A133</t>
  </si>
  <si>
    <t>https://online.ruv.de/kravag/index.jsp</t>
  </si>
  <si>
    <t>B133</t>
  </si>
  <si>
    <t>055347</t>
  </si>
  <si>
    <t>A134</t>
  </si>
  <si>
    <t>rom1zsf</t>
  </si>
  <si>
    <t>mazdacx5</t>
  </si>
  <si>
    <t>B134</t>
  </si>
  <si>
    <t>Kravag (Autohaus Hüther)</t>
  </si>
  <si>
    <t>A135</t>
  </si>
  <si>
    <t>B135</t>
  </si>
  <si>
    <t>Kravag MMV (Wohnwagen)</t>
  </si>
  <si>
    <t>802881</t>
  </si>
  <si>
    <t>A136</t>
  </si>
  <si>
    <t>!Di08-29</t>
  </si>
  <si>
    <t>LV1871</t>
  </si>
  <si>
    <t>B136</t>
  </si>
  <si>
    <t>LV 1871</t>
  </si>
  <si>
    <t>23 288830</t>
  </si>
  <si>
    <t>28883</t>
  </si>
  <si>
    <t>23293420</t>
  </si>
  <si>
    <t>72071820</t>
  </si>
  <si>
    <t>52/229/72</t>
  </si>
  <si>
    <t>A137</t>
  </si>
  <si>
    <t>www.pkv-tarifoptimierung.de</t>
  </si>
  <si>
    <t>B137</t>
  </si>
  <si>
    <t>Maklerexperten (PKV-Optimierung)</t>
  </si>
  <si>
    <t>120369</t>
  </si>
  <si>
    <t>A138</t>
  </si>
  <si>
    <t>B138</t>
  </si>
  <si>
    <t>Maklermanagement AG</t>
  </si>
  <si>
    <t>8710929</t>
  </si>
  <si>
    <t>A139</t>
  </si>
  <si>
    <t>B139</t>
  </si>
  <si>
    <t>Mannheimer Kranken</t>
  </si>
  <si>
    <t>522/66982</t>
  </si>
  <si>
    <t>66982</t>
  </si>
  <si>
    <t>A140</t>
  </si>
  <si>
    <t>berater1%</t>
  </si>
  <si>
    <t>Mannheimer Sach</t>
  </si>
  <si>
    <t>B140</t>
  </si>
  <si>
    <t>522/60720</t>
  </si>
  <si>
    <t>60720</t>
  </si>
  <si>
    <t>522/88877</t>
  </si>
  <si>
    <t>522/90647</t>
  </si>
  <si>
    <t>A141</t>
  </si>
  <si>
    <t>MAS</t>
  </si>
  <si>
    <t>B141</t>
  </si>
  <si>
    <t>692</t>
  </si>
  <si>
    <t>A142</t>
  </si>
  <si>
    <t>B142</t>
  </si>
  <si>
    <t>MAS für Volkswohl-Bund</t>
  </si>
  <si>
    <t>046/477</t>
  </si>
  <si>
    <t>A143</t>
  </si>
  <si>
    <t>M0000004057-1</t>
  </si>
  <si>
    <t>Maxpool</t>
  </si>
  <si>
    <t>B143</t>
  </si>
  <si>
    <t xml:space="preserve">Maxpool </t>
  </si>
  <si>
    <t>000-4057</t>
  </si>
  <si>
    <t>000-1729</t>
  </si>
  <si>
    <t>A144</t>
  </si>
  <si>
    <t>B144</t>
  </si>
  <si>
    <t>Maxpool Leben</t>
  </si>
  <si>
    <t>000-6057</t>
  </si>
  <si>
    <t>A145</t>
  </si>
  <si>
    <t>B145</t>
  </si>
  <si>
    <t xml:space="preserve">Medienversicherung </t>
  </si>
  <si>
    <t>79506</t>
  </si>
  <si>
    <t>A146</t>
  </si>
  <si>
    <t>B146</t>
  </si>
  <si>
    <t>Metzler</t>
  </si>
  <si>
    <t>14916</t>
  </si>
  <si>
    <t>A147</t>
  </si>
  <si>
    <t>B147</t>
  </si>
  <si>
    <t>Metzler Vermög.verw.</t>
  </si>
  <si>
    <t>14918</t>
  </si>
  <si>
    <t>A148</t>
  </si>
  <si>
    <t>B148</t>
  </si>
  <si>
    <t>570130</t>
  </si>
  <si>
    <t>A149</t>
  </si>
  <si>
    <t>B149</t>
  </si>
  <si>
    <t>A150</t>
  </si>
  <si>
    <t>Münchner Verein</t>
  </si>
  <si>
    <t>B150</t>
  </si>
  <si>
    <t>36656/A</t>
  </si>
  <si>
    <t>36895/A</t>
  </si>
  <si>
    <t>A151</t>
  </si>
  <si>
    <t>PetriWer</t>
  </si>
  <si>
    <t>Myfin24</t>
  </si>
  <si>
    <t>B151</t>
  </si>
  <si>
    <t>A152</t>
  </si>
  <si>
    <t>MK (Münchner Kapital)</t>
  </si>
  <si>
    <t>B152</t>
  </si>
  <si>
    <t>89154777000328</t>
  </si>
  <si>
    <t>A153</t>
  </si>
  <si>
    <t>Multi-Invest</t>
  </si>
  <si>
    <t>B153</t>
  </si>
  <si>
    <t>20505</t>
  </si>
  <si>
    <t>A154</t>
  </si>
  <si>
    <t>B154</t>
  </si>
  <si>
    <t>NEMIAN LIFE und Uned Financial</t>
  </si>
  <si>
    <t>2793</t>
  </si>
  <si>
    <t>A155</t>
  </si>
  <si>
    <t>Netfonds</t>
  </si>
  <si>
    <t>B155</t>
  </si>
  <si>
    <t>A156</t>
  </si>
  <si>
    <t>B301777</t>
  </si>
  <si>
    <t>berg1 (+secure-ID)</t>
  </si>
  <si>
    <t>B156</t>
  </si>
  <si>
    <t>Nürnberger Versicherung</t>
  </si>
  <si>
    <t>152/05/3992</t>
  </si>
  <si>
    <t>A157</t>
  </si>
  <si>
    <t>NVG_0412</t>
  </si>
  <si>
    <t>Nürnberger Dokumente</t>
  </si>
  <si>
    <t>B157</t>
  </si>
  <si>
    <t>A158</t>
  </si>
  <si>
    <t>berater</t>
  </si>
  <si>
    <t>NRV</t>
  </si>
  <si>
    <t>B158</t>
  </si>
  <si>
    <t>A159</t>
  </si>
  <si>
    <t>nv-7993201s</t>
  </si>
  <si>
    <t>btk119</t>
  </si>
  <si>
    <t>www.mein-nv.net</t>
  </si>
  <si>
    <t>NV-Versicherung</t>
  </si>
  <si>
    <t>B159</t>
  </si>
  <si>
    <t>11072</t>
  </si>
  <si>
    <t>7993201</t>
  </si>
  <si>
    <t>A160</t>
  </si>
  <si>
    <t>B160</t>
  </si>
  <si>
    <t>Ostangler</t>
  </si>
  <si>
    <t>707993201</t>
  </si>
  <si>
    <t>A161</t>
  </si>
  <si>
    <t>https://your.prismalife.com</t>
  </si>
  <si>
    <t>B161</t>
  </si>
  <si>
    <t>Prisma Life/Cadea Life</t>
  </si>
  <si>
    <t>8800706</t>
  </si>
  <si>
    <t>A162</t>
  </si>
  <si>
    <t>B162</t>
  </si>
  <si>
    <t>A163</t>
  </si>
  <si>
    <t>wepe200709</t>
  </si>
  <si>
    <t>B163</t>
  </si>
  <si>
    <t>A164</t>
  </si>
  <si>
    <t>sonne</t>
  </si>
  <si>
    <t>B164</t>
  </si>
  <si>
    <t>Procheck.24</t>
  </si>
  <si>
    <t>570775</t>
  </si>
  <si>
    <t>A165</t>
  </si>
  <si>
    <t>B165</t>
  </si>
  <si>
    <t>R+V Versicherung Leben</t>
  </si>
  <si>
    <t>413/806252</t>
  </si>
  <si>
    <t>A166</t>
  </si>
  <si>
    <t>R+V (Connect)</t>
  </si>
  <si>
    <t>B166</t>
  </si>
  <si>
    <t>R+V Versicherung Sach</t>
  </si>
  <si>
    <t>406/450782</t>
  </si>
  <si>
    <t>450782</t>
  </si>
  <si>
    <t>A167</t>
  </si>
  <si>
    <t>B167</t>
  </si>
  <si>
    <t>A168</t>
  </si>
  <si>
    <t>co22628</t>
  </si>
  <si>
    <t>B168</t>
  </si>
  <si>
    <t>A169</t>
  </si>
  <si>
    <t>B169</t>
  </si>
  <si>
    <t>Recht.-Union</t>
  </si>
  <si>
    <t>1/50/23/8801</t>
  </si>
  <si>
    <t>A170</t>
  </si>
  <si>
    <t>B170</t>
  </si>
  <si>
    <t>Rheinland/alt</t>
  </si>
  <si>
    <t>47/8110</t>
  </si>
  <si>
    <t>A171</t>
  </si>
  <si>
    <t>Werner1.Petri</t>
  </si>
  <si>
    <t>B171</t>
  </si>
  <si>
    <t>67/8110</t>
  </si>
  <si>
    <t>A172</t>
  </si>
  <si>
    <t>B172</t>
  </si>
  <si>
    <t>Roland Rechtsschutz (direkt)</t>
  </si>
  <si>
    <t>55.590</t>
  </si>
  <si>
    <t>A173</t>
  </si>
  <si>
    <t>B173</t>
  </si>
  <si>
    <t>RWB</t>
  </si>
  <si>
    <t>049-005425</t>
  </si>
  <si>
    <t>A174</t>
  </si>
  <si>
    <t>Foul5slf</t>
  </si>
  <si>
    <t>B174</t>
  </si>
  <si>
    <t>Salus BKK</t>
  </si>
  <si>
    <t>26711</t>
  </si>
  <si>
    <t>A175</t>
  </si>
  <si>
    <t>schleswigerag</t>
  </si>
  <si>
    <t>B175</t>
  </si>
  <si>
    <t>Schleswiger AG</t>
  </si>
  <si>
    <t>11978</t>
  </si>
  <si>
    <t>A176</t>
  </si>
  <si>
    <t>B176</t>
  </si>
  <si>
    <t>Signal</t>
  </si>
  <si>
    <t>1370/02419</t>
  </si>
  <si>
    <t>216-6040</t>
  </si>
  <si>
    <t>A177</t>
  </si>
  <si>
    <t>B177</t>
  </si>
  <si>
    <t>Signal Iduna (ADV-Nr. 2986853)</t>
  </si>
  <si>
    <t>A178</t>
  </si>
  <si>
    <t>B178</t>
  </si>
  <si>
    <t xml:space="preserve">Skandia </t>
  </si>
  <si>
    <t>100153</t>
  </si>
  <si>
    <t>A179</t>
  </si>
  <si>
    <t>B179</t>
  </si>
  <si>
    <t>320107</t>
  </si>
  <si>
    <t>A180</t>
  </si>
  <si>
    <t>B180</t>
  </si>
  <si>
    <t>Standard Life</t>
  </si>
  <si>
    <t>2022_VEMA</t>
  </si>
  <si>
    <t>A181</t>
  </si>
  <si>
    <t xml:space="preserve"> 5114-0001</t>
  </si>
  <si>
    <t>www.stromschalten.de</t>
  </si>
  <si>
    <t>B181</t>
  </si>
  <si>
    <t>Stromschalten.de (4Motions GmbH)</t>
  </si>
  <si>
    <t>A182</t>
  </si>
  <si>
    <t>Beraterhaus.KG</t>
  </si>
  <si>
    <t>B182</t>
  </si>
  <si>
    <t>72.00087372</t>
  </si>
  <si>
    <t>87372</t>
  </si>
  <si>
    <t>72.00105789</t>
  </si>
  <si>
    <t>72.00103830</t>
  </si>
  <si>
    <t>A183</t>
  </si>
  <si>
    <t>petriwer</t>
  </si>
  <si>
    <t>B183</t>
  </si>
  <si>
    <t>Swisslife</t>
  </si>
  <si>
    <t>421995-0001</t>
  </si>
  <si>
    <t>421995</t>
  </si>
  <si>
    <t>A184</t>
  </si>
  <si>
    <t>T0505860G9</t>
  </si>
  <si>
    <t>B184</t>
  </si>
  <si>
    <t>Techniker Krankenkasse</t>
  </si>
  <si>
    <t>A185</t>
  </si>
  <si>
    <t>B185</t>
  </si>
  <si>
    <t>TRIXI</t>
  </si>
  <si>
    <t>A186</t>
  </si>
  <si>
    <t>TUTUS_Makler</t>
  </si>
  <si>
    <t>b4Tutus_Abf</t>
  </si>
  <si>
    <t>TUTUS</t>
  </si>
  <si>
    <t>B186</t>
  </si>
  <si>
    <t>A187</t>
  </si>
  <si>
    <t>B187</t>
  </si>
  <si>
    <t>Uelzener</t>
  </si>
  <si>
    <t>A188</t>
  </si>
  <si>
    <t>token</t>
  </si>
  <si>
    <t>B188</t>
  </si>
  <si>
    <t>43323</t>
  </si>
  <si>
    <t>A189</t>
  </si>
  <si>
    <t>B189</t>
  </si>
  <si>
    <t>2202</t>
  </si>
  <si>
    <t>A190</t>
  </si>
  <si>
    <t>B190</t>
  </si>
  <si>
    <t>A191</t>
  </si>
  <si>
    <t>B191</t>
  </si>
  <si>
    <t>A192</t>
  </si>
  <si>
    <t>B192</t>
  </si>
  <si>
    <t>A193</t>
  </si>
  <si>
    <t>B193</t>
  </si>
  <si>
    <t>A194</t>
  </si>
  <si>
    <t>B194</t>
  </si>
  <si>
    <t>A195</t>
  </si>
  <si>
    <t>B195</t>
  </si>
  <si>
    <t>A196</t>
  </si>
  <si>
    <t>B196</t>
  </si>
  <si>
    <t>A197</t>
  </si>
  <si>
    <t>B197</t>
  </si>
  <si>
    <t>A198</t>
  </si>
  <si>
    <t>berater1</t>
  </si>
  <si>
    <t>B198</t>
  </si>
  <si>
    <t>057383-000</t>
  </si>
  <si>
    <t>501588-000</t>
  </si>
  <si>
    <t>058995-489</t>
  </si>
  <si>
    <t>03375</t>
  </si>
  <si>
    <t>A199</t>
  </si>
  <si>
    <t>B199</t>
  </si>
  <si>
    <t>Victoria (alt)</t>
  </si>
  <si>
    <t>00375-3519</t>
  </si>
  <si>
    <t>A200</t>
  </si>
  <si>
    <t>MAS2008</t>
  </si>
  <si>
    <t>easy Login</t>
  </si>
  <si>
    <t>B200</t>
  </si>
  <si>
    <t>Volkswohl-Bund</t>
  </si>
  <si>
    <t>184/204</t>
  </si>
  <si>
    <t>184/973</t>
  </si>
  <si>
    <t>174/836</t>
  </si>
  <si>
    <t>A201</t>
  </si>
  <si>
    <t>kwo82d</t>
  </si>
  <si>
    <t>B201</t>
  </si>
  <si>
    <t>Volkswohl-Bund (prokundo)</t>
  </si>
  <si>
    <t>A202</t>
  </si>
  <si>
    <t>https://internal.wifo.com/</t>
  </si>
  <si>
    <t>B202</t>
  </si>
  <si>
    <t>WIFO</t>
  </si>
  <si>
    <t xml:space="preserve"> wi-1524-287</t>
  </si>
  <si>
    <t>A203</t>
  </si>
  <si>
    <t>berat1pt</t>
  </si>
  <si>
    <t>AIG Europe Limited (Marke WüBa)</t>
  </si>
  <si>
    <t>B203</t>
  </si>
  <si>
    <t>16603000</t>
  </si>
  <si>
    <t>16603-000</t>
  </si>
  <si>
    <t>A204</t>
  </si>
  <si>
    <t>B204</t>
  </si>
  <si>
    <t>Württembergische Ideenwerk</t>
  </si>
  <si>
    <t>6850-5562-7</t>
  </si>
  <si>
    <t>A205</t>
  </si>
  <si>
    <t>B205</t>
  </si>
  <si>
    <t>Württembergische LV + Sach</t>
  </si>
  <si>
    <t>6850-5223-7</t>
  </si>
  <si>
    <t>2000-6900-5</t>
  </si>
  <si>
    <t>6850-6517-7</t>
  </si>
  <si>
    <t>A206</t>
  </si>
  <si>
    <t>B206</t>
  </si>
  <si>
    <t>Württembergische Rahmenvertrag Kfz</t>
  </si>
  <si>
    <t>6810-7151-2</t>
  </si>
  <si>
    <t>A207</t>
  </si>
  <si>
    <t>7706080_10356364</t>
  </si>
  <si>
    <t>B207</t>
  </si>
  <si>
    <t>A208</t>
  </si>
  <si>
    <t>0685EC</t>
  </si>
  <si>
    <t>B208</t>
  </si>
  <si>
    <t>Wüstenrot Bausparkasse</t>
  </si>
  <si>
    <t>012688</t>
  </si>
  <si>
    <t>A209</t>
  </si>
  <si>
    <t>Q9821554</t>
  </si>
  <si>
    <t>Beraterhaus2</t>
  </si>
  <si>
    <t>B209</t>
  </si>
  <si>
    <t xml:space="preserve">WWK </t>
  </si>
  <si>
    <t>A210</t>
  </si>
  <si>
    <t>www.maklerweb.de</t>
  </si>
  <si>
    <t>B210</t>
  </si>
  <si>
    <t>7798161</t>
  </si>
  <si>
    <t>52/773/204441</t>
  </si>
  <si>
    <t>A211</t>
  </si>
  <si>
    <t>VM074485</t>
  </si>
  <si>
    <t>B211</t>
  </si>
  <si>
    <t>73160 (vorläufig)</t>
  </si>
  <si>
    <t>74485</t>
  </si>
  <si>
    <t>A212</t>
  </si>
  <si>
    <t>Zurich Sach</t>
  </si>
  <si>
    <t>B212</t>
  </si>
  <si>
    <t>6065392</t>
  </si>
  <si>
    <t>6056639</t>
  </si>
  <si>
    <t>A213</t>
  </si>
  <si>
    <t>Zurich (Patria)</t>
  </si>
  <si>
    <t>B213</t>
  </si>
  <si>
    <t>Mailadressen für Bestandsübertragungen</t>
  </si>
  <si>
    <t>Courtagekonten</t>
  </si>
  <si>
    <t>Sach</t>
  </si>
  <si>
    <t>kfz</t>
  </si>
  <si>
    <t>Leben</t>
  </si>
  <si>
    <t>Kranken</t>
  </si>
  <si>
    <t>10/48/00/0805 bzw. 003816</t>
  </si>
  <si>
    <t>AXA Kfz</t>
  </si>
  <si>
    <t>AXA Kranken</t>
  </si>
  <si>
    <t>amvb-uebertragung@allianz.de</t>
  </si>
  <si>
    <t>lebensversicherung@allianz.de</t>
  </si>
  <si>
    <t>70/202/2262</t>
  </si>
  <si>
    <t>APKV-ZMSB-KUWU@allianz.de</t>
  </si>
  <si>
    <r>
      <rPr>
        <i/>
        <sz val="11"/>
        <color rgb="FF000000"/>
        <rFont val="Arial"/>
        <family val="2"/>
        <charset val="1"/>
      </rPr>
      <t>70/585/0637</t>
    </r>
    <r>
      <rPr>
        <sz val="11"/>
        <color rgb="FF000000"/>
        <rFont val="Arial"/>
        <family val="2"/>
        <charset val="1"/>
      </rPr>
      <t xml:space="preserve"> </t>
    </r>
  </si>
  <si>
    <t>Alte Leipziger Leben</t>
  </si>
  <si>
    <t>vertrieb@alte-leipziger.de</t>
  </si>
  <si>
    <t>Alte Leipziger Sach</t>
  </si>
  <si>
    <t>Die Bayerische</t>
  </si>
  <si>
    <t>provisionsreklamation@diebayerische.de</t>
  </si>
  <si>
    <t>maklerauftraege-b@ergo.de</t>
  </si>
  <si>
    <t>(H) 887884 (V) 886986</t>
  </si>
  <si>
    <t>Generali Sach</t>
  </si>
  <si>
    <t>gen-maklerauftrag@generali.de</t>
  </si>
  <si>
    <t>293181</t>
  </si>
  <si>
    <t>Generali Kfz</t>
  </si>
  <si>
    <t>Generali Leben</t>
  </si>
  <si>
    <t>lv_service@gothaer.de</t>
  </si>
  <si>
    <t>Gothaer Kranken</t>
  </si>
  <si>
    <t>gkc_mm@gothaer.de</t>
  </si>
  <si>
    <t>28446</t>
  </si>
  <si>
    <t>Heiko.Domigalle@hansemerkur.de</t>
  </si>
  <si>
    <t>221/1200468</t>
  </si>
  <si>
    <t>Hallesche Kranken</t>
  </si>
  <si>
    <t>VTW-ZK-ZB@alte-leipziger.de</t>
  </si>
  <si>
    <t>HDI</t>
  </si>
  <si>
    <t>203166</t>
  </si>
  <si>
    <t>bestandsuebertragung@invers-gruppe.de</t>
  </si>
  <si>
    <t>7993201-xx</t>
  </si>
  <si>
    <t>maklerservice@inter.de</t>
  </si>
  <si>
    <t>G_Vertriebsverwaltung_Makler@ruv.de</t>
  </si>
  <si>
    <t>770/771072</t>
  </si>
  <si>
    <t>florian.steinhilber@lv1871.de</t>
  </si>
  <si>
    <t>Ronald.Schleicher@nuernberger.de</t>
  </si>
  <si>
    <t>mdleipzig@mannheimer.de</t>
  </si>
  <si>
    <t>522/89456</t>
  </si>
  <si>
    <t>Rhion Versicherung</t>
  </si>
  <si>
    <t>zva@rhion.de</t>
  </si>
  <si>
    <t>kc-ost@volkswohl-bund.de</t>
  </si>
  <si>
    <t xml:space="preserve">184/204 </t>
  </si>
  <si>
    <t>6810-7150-4</t>
  </si>
  <si>
    <t xml:space="preserve">ansonsten über Maklerbetreuer einreichen </t>
  </si>
  <si>
    <t>Art der Zustellung</t>
  </si>
  <si>
    <t>AMS/Concenter</t>
  </si>
  <si>
    <t>Doppelerfassung</t>
  </si>
  <si>
    <t>Maklerportal</t>
  </si>
  <si>
    <t>nur csv</t>
  </si>
  <si>
    <t>Condor</t>
  </si>
  <si>
    <t>über R+V</t>
  </si>
  <si>
    <t>Transferservice</t>
  </si>
  <si>
    <t>Easy-Login</t>
  </si>
  <si>
    <t>gdv</t>
  </si>
  <si>
    <t>die Bayerische</t>
  </si>
  <si>
    <t>E-Mail</t>
  </si>
  <si>
    <t>DBV</t>
  </si>
  <si>
    <t>Haftpflichtkasse</t>
  </si>
  <si>
    <t>Extranet</t>
  </si>
  <si>
    <t>keine Briefpost</t>
  </si>
  <si>
    <t>KRAVAG</t>
  </si>
  <si>
    <t>KS-Auxilia</t>
  </si>
  <si>
    <t>PDF; GDV</t>
  </si>
  <si>
    <t>R+V Versicherung</t>
  </si>
  <si>
    <t>PDF</t>
  </si>
  <si>
    <t>TGIC</t>
  </si>
  <si>
    <t>WüBa</t>
  </si>
  <si>
    <t>007975-101</t>
  </si>
  <si>
    <t>Vermittlernummern (alle Versicherer) Stand: 13.01.2017</t>
  </si>
  <si>
    <t>Versicherer</t>
  </si>
  <si>
    <t>VmNr</t>
  </si>
  <si>
    <t>Attribute</t>
  </si>
  <si>
    <t>Aachener Bausparkasse AG</t>
  </si>
  <si>
    <t>keine Anbindung (VR)</t>
  </si>
  <si>
    <t>Advigon Versicherung AG</t>
  </si>
  <si>
    <t>3780145</t>
  </si>
  <si>
    <t>Zuordnung bestätigt</t>
  </si>
  <si>
    <t>Aegon  Niederlassung Deutschland der Aegon Ireland plc</t>
  </si>
  <si>
    <t>ALLCURA  Versicherungs-Aktiengesellschaft</t>
  </si>
  <si>
    <t>Allianz Versicherungen</t>
  </si>
  <si>
    <t>0603123</t>
  </si>
  <si>
    <t>Zuordnung bestätigt 
_x000D_ 
_x000D_ KV</t>
  </si>
  <si>
    <t>keine Anbindung (VR) 
_x000D_ Sach</t>
  </si>
  <si>
    <t>501102650</t>
  </si>
  <si>
    <t>Zuordnung bestätigt 
_x000D_ LV</t>
  </si>
  <si>
    <t>702022262</t>
  </si>
  <si>
    <t>Zuordnung bestätigt 
_x000D_ 
_x000D_ 
_x000D_ CZ beendet (VM) 
_x000D_ LV</t>
  </si>
  <si>
    <t>705850637</t>
  </si>
  <si>
    <t>Zuordnung bestätigt 
_x000D_ KV</t>
  </si>
  <si>
    <t>Allianz Esa cargo &amp; logistics GmbH</t>
  </si>
  <si>
    <t>Allianz Global Assistance</t>
  </si>
  <si>
    <t>ALTE LEIPZIGER</t>
  </si>
  <si>
    <t>nicht zugeordnet 
_x000D_ LV 
_x000D_ Sach</t>
  </si>
  <si>
    <t>580678002</t>
  </si>
  <si>
    <t>Verbundnummer</t>
  </si>
  <si>
    <t>Alte Oldenburger Krankenversicherung AG</t>
  </si>
  <si>
    <t>Amlin Insurance SE Direktion für Deutschland</t>
  </si>
  <si>
    <t>Ammerländer Versicherung VVaG</t>
  </si>
  <si>
    <t>ANGLO Underwriting GmbH</t>
  </si>
  <si>
    <t>Atradius Kreditversicherung</t>
  </si>
  <si>
    <t>Zuordnung bestätigt 
_x000D_ 
_x000D_ 
_x000D_ CZ beendet (VM)</t>
  </si>
  <si>
    <t>AXA Versicherungen</t>
  </si>
  <si>
    <t>nicht zugeordnet 
_x000D_ LV</t>
  </si>
  <si>
    <t>1048000805</t>
  </si>
  <si>
    <t>Zuordnung bestätigt 
_x000D_ 
_x000D_ Sach</t>
  </si>
  <si>
    <t>1048001741</t>
  </si>
  <si>
    <t>nicht für Neugeschäft 
_x000D_ Sach</t>
  </si>
  <si>
    <t>1048001767</t>
  </si>
  <si>
    <t>1048001772</t>
  </si>
  <si>
    <t>1048001791</t>
  </si>
  <si>
    <t>nicht zugeordnet 
_x000D_ KV</t>
  </si>
  <si>
    <t>Baden-Badener Versicherung AG</t>
  </si>
  <si>
    <t>Baloise Luxembourg</t>
  </si>
  <si>
    <t>nicht zugeordnet</t>
  </si>
  <si>
    <t>Basler Versicherungen</t>
  </si>
  <si>
    <t>BavariaDirekt OVAG - Ostdeutsche Versicherung Aktiengesellschaft</t>
  </si>
  <si>
    <t>Bayerische Hausbesitzer-Versicherungs-Gesellschaft a.G.</t>
  </si>
  <si>
    <t>Berliner Versicherung (BVAG)</t>
  </si>
  <si>
    <t>BGV / Badische Versicherungen</t>
  </si>
  <si>
    <t>BSG Basler Service GmbH</t>
  </si>
  <si>
    <t>Care Concept AG</t>
  </si>
  <si>
    <t>Carl Rieck Assecuradeur GmbH</t>
  </si>
  <si>
    <t>CENTRAL</t>
  </si>
  <si>
    <t>Chubb Insurance Company of Europe SE</t>
  </si>
  <si>
    <t>Coface</t>
  </si>
  <si>
    <t>Concordia Versicherungen</t>
  </si>
  <si>
    <t>Concordia oeco Lebensversicherungs-AG</t>
  </si>
  <si>
    <t>Condor Versicherungen</t>
  </si>
  <si>
    <t>14855</t>
  </si>
  <si>
    <t>nicht zugeordnet 
_x000D_ Investmentfonds 
_x000D_ LV</t>
  </si>
  <si>
    <t>Zuordnung bestätigt 
_x000D_ 
_x000D_ LV</t>
  </si>
  <si>
    <t>Confiserie Burg Lauenstein GmbH</t>
  </si>
  <si>
    <t>CONSAL (BBKK und UKV)</t>
  </si>
  <si>
    <t>Continentale Versicherungen</t>
  </si>
  <si>
    <t>6100401</t>
  </si>
  <si>
    <t>Zuordnung nicht gewünscht 
_x000D_ Zuordnung von VR abgelehnt</t>
  </si>
  <si>
    <t>D.A.S. Allgemeine Rechtsschutz Versicherung AG (ERGO)</t>
  </si>
  <si>
    <t>DA direkt - Deutsche Allgemeine Versicherung (Zurich Gruppe)</t>
  </si>
  <si>
    <t>DEURAG Versicherungen</t>
  </si>
  <si>
    <t>Anbindung über Invers</t>
  </si>
  <si>
    <t>Deutscher Ring Krankenversicherung</t>
  </si>
  <si>
    <t>911/0988</t>
  </si>
  <si>
    <t>DEVK Deutsche Eisenbahn Versicherung</t>
  </si>
  <si>
    <t>DFV Deutsche Familienversicherung AG</t>
  </si>
  <si>
    <t>Dialog Lebensversicherung</t>
  </si>
  <si>
    <t>Die Bayerische (ehemals BBV)</t>
  </si>
  <si>
    <t>Die Hinterbliebenenkasse HDH Versicherungsverein a G.</t>
  </si>
  <si>
    <t>Direct Line Versicherung AG</t>
  </si>
  <si>
    <t>DKV Krankenversicherung AG (ERGO)</t>
  </si>
  <si>
    <t>88622-1478</t>
  </si>
  <si>
    <t>886985</t>
  </si>
  <si>
    <t>nicht für Neugeschäft 
_x000D_ 
_x000D_ 
_x000D_ Verbundnummer</t>
  </si>
  <si>
    <t>Docura VVaG Versicherungen</t>
  </si>
  <si>
    <t>DOMCURA AG</t>
  </si>
  <si>
    <t>elipsLife German Branch</t>
  </si>
  <si>
    <t>Zuordnung bestätigt 
_x000D_ nicht zugeordnet 
_x000D_ LV</t>
  </si>
  <si>
    <t>nicht für Neugeschäft 
_x000D_ 
_x000D_ 
_x000D_ LV 
_x000D_ Verbundnummer</t>
  </si>
  <si>
    <t>ERV AG (ERGO)</t>
  </si>
  <si>
    <t>015317002202</t>
  </si>
  <si>
    <t>Euler Hermes Kreditversicherungs-AG</t>
  </si>
  <si>
    <t>EUROPA Versicherungen</t>
  </si>
  <si>
    <t>EXTREMUS Versicherungs-AG</t>
  </si>
  <si>
    <t>FondsKonzept AG</t>
  </si>
  <si>
    <t>Courtagezusage beantragt</t>
  </si>
  <si>
    <t>Friends Provident International fpb financial partners business AG</t>
  </si>
  <si>
    <t>Generali Versicherungen / Advocard Rechtsschutz</t>
  </si>
  <si>
    <t>German Assistance Versicherung AG</t>
  </si>
  <si>
    <t>GHV Darmstadt Anstalt des öffentlichen Rechts</t>
  </si>
  <si>
    <t>Zuordnung bestätigt 
_x000D_ 
_x000D_ 
_x000D_ Sach</t>
  </si>
  <si>
    <t>Zuordnung bestätigt 
_x000D_ 
_x000D_ 
_x000D_ LV</t>
  </si>
  <si>
    <t>Grundeigentuemer Versicherung VVaG</t>
  </si>
  <si>
    <t>GVO Gegenseitigkeit Versicherung Oldenburg VVaG</t>
  </si>
  <si>
    <t>Hallesche Private Krankenversicherung</t>
  </si>
  <si>
    <t>482367</t>
  </si>
  <si>
    <t>Hannoversche Leben</t>
  </si>
  <si>
    <t>HanseMerkur Versicherungsgruppe</t>
  </si>
  <si>
    <t>HDI Global SE</t>
  </si>
  <si>
    <t>HDI Versicherungen</t>
  </si>
  <si>
    <t>202-0002410</t>
  </si>
  <si>
    <t>Zuordnung bestätigt 
_x000D_ 
_x000D_ Sondernummer für VEMA-Rahmenvertrag etc.</t>
  </si>
  <si>
    <t>203-28322</t>
  </si>
  <si>
    <t>spezielle Vermittlernummer notwendig 
_x000D_ Sach</t>
  </si>
  <si>
    <t>212-33950</t>
  </si>
  <si>
    <t>212-33951</t>
  </si>
  <si>
    <t>HDNA Haftplichtgemeinschaft Deutscher Nahverkehrs- und Versorgungsunternehmen Allg. VVaG</t>
  </si>
  <si>
    <t>Helvetia Versicherungen</t>
  </si>
  <si>
    <t>200/3532</t>
  </si>
  <si>
    <t>Hiscox Europe  - direkte Anbindung oder über Anglo (Fidelis)</t>
  </si>
  <si>
    <t>HKD Haftpflichtkasse Darmstadt</t>
  </si>
  <si>
    <t>HUK-COBURG / Bruderhilfe</t>
  </si>
  <si>
    <t>HÜBENER Versicherungs AG</t>
  </si>
  <si>
    <t>IDEAL</t>
  </si>
  <si>
    <t>Intasure</t>
  </si>
  <si>
    <t>INTER Versicherungsgruppe</t>
  </si>
  <si>
    <t>INTERLLOYD Versicherungs-AG</t>
  </si>
  <si>
    <t>Interrisk Versicherungen</t>
  </si>
  <si>
    <t>Itzehoer Versicherungen</t>
  </si>
  <si>
    <t>6776</t>
  </si>
  <si>
    <t>Zuordnung nicht gewünscht 
_x000D_ Anbindung anderen Pool</t>
  </si>
  <si>
    <t>Janitos Versicherung AG</t>
  </si>
  <si>
    <t>77750001</t>
  </si>
  <si>
    <t>Zweitnummer ohne Zuordnung</t>
  </si>
  <si>
    <t>92932202</t>
  </si>
  <si>
    <t>Konzept und Marketing Gruppe (K&amp;M)</t>
  </si>
  <si>
    <t>LBN Versicherungsverein a.G.</t>
  </si>
  <si>
    <t>LifeFinance KG</t>
  </si>
  <si>
    <t>LKH Landeskrankenhilfe</t>
  </si>
  <si>
    <t>LOESSEL.COMMUNICATION PBX.Network.Broadcast.</t>
  </si>
  <si>
    <t>LTA Lifecard Travel Assistance Gesellschaft für Reiseschutz mbH</t>
  </si>
  <si>
    <t>LV1871 Lebensversicherung von 1871 / Delta Direkt</t>
  </si>
  <si>
    <t>Mannheimer Versicherungen</t>
  </si>
  <si>
    <t>Anbindung anderen Pool 
_x000D_ KV</t>
  </si>
  <si>
    <t>Markel International</t>
  </si>
  <si>
    <t>Medien-Versicherung a.G.</t>
  </si>
  <si>
    <t>Monuta Versicherungen</t>
  </si>
  <si>
    <t>Anbindung anderen Pool 
_x000D_ CZ beendet (VM)</t>
  </si>
  <si>
    <t>MÜNCHENER VEREIN Versicherungsgruppe</t>
  </si>
  <si>
    <t>36656</t>
  </si>
  <si>
    <t>höhere Courtagesätze</t>
  </si>
  <si>
    <t>nationale suisse Schweizer-National Versicherungs-AG</t>
  </si>
  <si>
    <t>neue leben Lebensversicherung AG</t>
  </si>
  <si>
    <t>Neue Rechtsschutz-Versicherung - NRV</t>
  </si>
  <si>
    <t>Neuendorfer Brand-Bau-Gilde VVaG</t>
  </si>
  <si>
    <t>NV Versicherungsgruppe</t>
  </si>
  <si>
    <t>NÜRNBERGER VERSICHERUNGSGRUPPE</t>
  </si>
  <si>
    <t>152053992</t>
  </si>
  <si>
    <t>Oberösterreichische Niederlassung Deutschland</t>
  </si>
  <si>
    <t>Ostangler Brandgilde VVaG</t>
  </si>
  <si>
    <t>Policen Direkt Versicherungsvermittlung GmbH</t>
  </si>
  <si>
    <t>PrismaLife / CARDEA.life</t>
  </si>
  <si>
    <t>Provinzial Nord Brandkasse AG</t>
  </si>
  <si>
    <t>R+V / KRAVAG Allgemeine Versicherung</t>
  </si>
  <si>
    <t>Rhion Versicherung AG</t>
  </si>
  <si>
    <t>ROLAND Rechtsschutz Versicherungs-AG</t>
  </si>
  <si>
    <t>SDK Süddeutsche Krankenversicherung aG</t>
  </si>
  <si>
    <t>SHB Allgemeine Versicherung VVaG</t>
  </si>
  <si>
    <t>SIGNAL IDUNA</t>
  </si>
  <si>
    <t>2986853</t>
  </si>
  <si>
    <t>SituatiVe GmbH (AppSichern.de)</t>
  </si>
  <si>
    <t>Skandia</t>
  </si>
  <si>
    <t>SOVAG SCHWARZMEER UND OSTSEE Versicherungs-AG</t>
  </si>
  <si>
    <t>Sparkassen DirektVersicherung AG</t>
  </si>
  <si>
    <t>Standard Life Versicherungen</t>
  </si>
  <si>
    <t>Stuttgarter Versicherungsgruppe</t>
  </si>
  <si>
    <t>SV SparkassenVersicherung / ÖRAG</t>
  </si>
  <si>
    <t>Swiss Life</t>
  </si>
  <si>
    <t>Uelzener Allgemeine Versicherungs-Gesellschaft a.G Versicherungen</t>
  </si>
  <si>
    <t>uniVersa Versicherungen</t>
  </si>
  <si>
    <t>VHV Versicherungen</t>
  </si>
  <si>
    <t>spezielle Vermittlernummer notwendig</t>
  </si>
  <si>
    <t>VKB Versicherungskammer Bayern</t>
  </si>
  <si>
    <t>Volkswohl Bund / prokundo</t>
  </si>
  <si>
    <t>184973</t>
  </si>
  <si>
    <t>VOV GmbH</t>
  </si>
  <si>
    <t>VPV Versicherungen</t>
  </si>
  <si>
    <t>Waldenburger Versicherung</t>
  </si>
  <si>
    <t>WWK Versicherungen</t>
  </si>
  <si>
    <t>Q9481554</t>
  </si>
  <si>
    <t>Zuordnung von VR abgelehnt</t>
  </si>
  <si>
    <t>Württembergische Versicherungsgruppe</t>
  </si>
  <si>
    <t>Zuordnung bestätigt 
_x000D_ 
_x000D_ 
_x000D_ KV 
_x000D_ LV 
_x000D_ Sach</t>
  </si>
  <si>
    <t>Würzburger Versicherungs-AG</t>
  </si>
  <si>
    <t>1-8-850-2202</t>
  </si>
  <si>
    <t>Zuordnung bestätigt 
_x000D_ Reise</t>
  </si>
  <si>
    <t>1-9-850-2202</t>
  </si>
  <si>
    <t>Zuordnung bestätigt 
_x000D_ Handyschutzbrief</t>
  </si>
  <si>
    <t>44-1-559</t>
  </si>
  <si>
    <t>Zuordnung beantragt 
_x000D_ Anbindung über Invers 
_x000D_ EagleStar-Vermittlernummer</t>
  </si>
  <si>
    <t>Kurz.</t>
  </si>
  <si>
    <t>Anbieter</t>
  </si>
  <si>
    <t>Vermittler-Nr beim Anb.</t>
  </si>
  <si>
    <t>AAB</t>
  </si>
  <si>
    <t>Augsburger Aktienbank</t>
  </si>
  <si>
    <t>9900133692</t>
  </si>
  <si>
    <t>ADC</t>
  </si>
  <si>
    <t>ADCURI</t>
  </si>
  <si>
    <t>ALTSA</t>
  </si>
  <si>
    <t>Alte Leipziger Sachversicherung</t>
  </si>
  <si>
    <t xml:space="preserve">130656.466 Sach-Nr. 22-2409 </t>
  </si>
  <si>
    <t>AUX</t>
  </si>
  <si>
    <t>AXASA</t>
  </si>
  <si>
    <t>AXA Sachversicherung</t>
  </si>
  <si>
    <t>1036008206</t>
  </si>
  <si>
    <t>BAD</t>
  </si>
  <si>
    <t>Baden Badener</t>
  </si>
  <si>
    <t>BARKV</t>
  </si>
  <si>
    <t>Barmenia Versicherungen</t>
  </si>
  <si>
    <t>0021/1695</t>
  </si>
  <si>
    <t>BASSA</t>
  </si>
  <si>
    <t>621-285</t>
  </si>
  <si>
    <t>BAYSA</t>
  </si>
  <si>
    <t>Bayerische Sachversicherung</t>
  </si>
  <si>
    <t>090124</t>
  </si>
  <si>
    <t>CCOSA</t>
  </si>
  <si>
    <t>Concordia Versicherungsgesellschaft a.G.</t>
  </si>
  <si>
    <t>55280-055</t>
  </si>
  <si>
    <t>DEURAG</t>
  </si>
  <si>
    <t>DEURAG Rechtsschutz AG</t>
  </si>
  <si>
    <t>DMBRS</t>
  </si>
  <si>
    <t>DMB Rechtsschutz-Versicherung AG</t>
  </si>
  <si>
    <t>07875</t>
  </si>
  <si>
    <t>EAGST</t>
  </si>
  <si>
    <t>EagleStar</t>
  </si>
  <si>
    <t>EBASE</t>
  </si>
  <si>
    <t>37337993201</t>
  </si>
  <si>
    <t>FDB</t>
  </si>
  <si>
    <t>Fondsdepot Bank</t>
  </si>
  <si>
    <t>5250799320100000</t>
  </si>
  <si>
    <t>FEUSA</t>
  </si>
  <si>
    <t>Feuersozietät Versicherungs AG</t>
  </si>
  <si>
    <t>165102</t>
  </si>
  <si>
    <t>FFB</t>
  </si>
  <si>
    <t>FIL Fondsbank GmbH</t>
  </si>
  <si>
    <t>GOTKV</t>
  </si>
  <si>
    <t>Gothaer KV</t>
  </si>
  <si>
    <t>57319</t>
  </si>
  <si>
    <t>GOTLV</t>
  </si>
  <si>
    <t>Gothaer Lebensversicherung AG</t>
  </si>
  <si>
    <t>690-3088</t>
  </si>
  <si>
    <t>GOTSA</t>
  </si>
  <si>
    <t>Gothaer Sachversicherung</t>
  </si>
  <si>
    <t>HDISA</t>
  </si>
  <si>
    <t>HDI Vertriebs AG</t>
  </si>
  <si>
    <t>2030028322</t>
  </si>
  <si>
    <t>Haftpflichtkasse Darmstadt</t>
  </si>
  <si>
    <t>INTSA</t>
  </si>
  <si>
    <t>INTER Sachversicherung</t>
  </si>
  <si>
    <t>IRSA</t>
  </si>
  <si>
    <t>InterRisk Sachversicherung</t>
  </si>
  <si>
    <t>JANITSA</t>
  </si>
  <si>
    <t>MAN</t>
  </si>
  <si>
    <t>Mannheimer Vers. AG</t>
  </si>
  <si>
    <t>88877</t>
  </si>
  <si>
    <t>NORDV</t>
  </si>
  <si>
    <t>Nordvers Versicherungsvermittlungsgesellschaft mbH</t>
  </si>
  <si>
    <t>NV</t>
  </si>
  <si>
    <t>NV-Versicherungen VVaG</t>
  </si>
  <si>
    <t>OAB</t>
  </si>
  <si>
    <t>Ostangler Versicherungen</t>
  </si>
  <si>
    <t>R+V Allgemeine Versicherung AG</t>
  </si>
  <si>
    <t>098657</t>
  </si>
  <si>
    <t>STSA</t>
  </si>
  <si>
    <t>Stuttgarter Versicherungs AG Filialdirektion Berlin</t>
  </si>
  <si>
    <t>VHV Allgemeine Versicherung AG</t>
  </si>
  <si>
    <t>WÜRTLV</t>
  </si>
  <si>
    <t>Württembergische Lebensversicherung AG</t>
  </si>
  <si>
    <t>WÜRTSA</t>
  </si>
  <si>
    <t>Württembergische Sach</t>
  </si>
  <si>
    <t>WÜRZ</t>
  </si>
  <si>
    <t>Antrag</t>
  </si>
  <si>
    <t>WWKLV</t>
  </si>
  <si>
    <t>WWK LV</t>
  </si>
  <si>
    <t>982/1554 PE</t>
  </si>
  <si>
    <t>WWKSA</t>
  </si>
  <si>
    <t>WWK Sach Allgemeine Versicherung AG</t>
  </si>
  <si>
    <t>982/1554</t>
  </si>
  <si>
    <t>ZURLV</t>
  </si>
  <si>
    <t>Zurich Deutscher Herold Lebensversicherung AG</t>
  </si>
  <si>
    <t>222963</t>
  </si>
  <si>
    <t>Münchener Verein</t>
  </si>
  <si>
    <t>Bestandsuebertragung-Makler@axa.de</t>
  </si>
  <si>
    <t>Basler Lebensversicherung AG</t>
  </si>
  <si>
    <t>871/0929</t>
  </si>
  <si>
    <t>B214</t>
  </si>
  <si>
    <t>A214</t>
  </si>
  <si>
    <t>Gothaer Krankenversicherung</t>
  </si>
  <si>
    <t>A215</t>
  </si>
  <si>
    <t>B215</t>
  </si>
  <si>
    <t>Europ Assistance Versicherungs-AG</t>
  </si>
  <si>
    <t>B216</t>
  </si>
  <si>
    <t>A216</t>
  </si>
  <si>
    <t>0808-5263-0</t>
  </si>
  <si>
    <t>Adcuri</t>
  </si>
  <si>
    <t>950205963 alt</t>
  </si>
  <si>
    <t>V103297</t>
  </si>
  <si>
    <t>https://secure.makler.gothaer.de/de/home/Homepage.jsp</t>
  </si>
  <si>
    <t>https://www.nuernberger-portal.de/</t>
  </si>
  <si>
    <t>A217</t>
  </si>
  <si>
    <t>B217</t>
  </si>
  <si>
    <t>Oberöstereichische Versicherung AG</t>
  </si>
  <si>
    <t>w325</t>
  </si>
  <si>
    <t>makler.keinesorgen.de</t>
  </si>
  <si>
    <t>29/790451</t>
  </si>
  <si>
    <t>79852707</t>
  </si>
  <si>
    <t>Ideenwerk</t>
  </si>
  <si>
    <t>SV SparkassenVersicherung Gebäudeversicherung AG</t>
  </si>
  <si>
    <t>M000867</t>
  </si>
  <si>
    <t>73105 (alt)</t>
  </si>
  <si>
    <t>www.SV-MAKLER.de</t>
  </si>
  <si>
    <t>Zurich Leben Deutscher Herold</t>
  </si>
  <si>
    <t>643/AA2481-3</t>
  </si>
  <si>
    <t>ARAG Krankenversicherungen</t>
  </si>
  <si>
    <t>643/060344</t>
  </si>
  <si>
    <t>B218</t>
  </si>
  <si>
    <t>A218</t>
  </si>
  <si>
    <t>ARAG Rectsschutzversicherung</t>
  </si>
  <si>
    <t>DKB</t>
  </si>
  <si>
    <t>VERTI (ex Direct Line)</t>
  </si>
  <si>
    <t>GVOPortal</t>
  </si>
  <si>
    <t>maklerauftrag@signal-iduna.de</t>
  </si>
  <si>
    <t>Wer57fra#</t>
  </si>
  <si>
    <t>Deutsche Lebensversicherung AG (Allianz)</t>
  </si>
  <si>
    <t>www.vortiva.de</t>
  </si>
  <si>
    <t>3365483</t>
  </si>
  <si>
    <t>MP02723</t>
  </si>
  <si>
    <t>2003532</t>
  </si>
  <si>
    <t>Barmenia Versicherung</t>
  </si>
  <si>
    <t>md-leipzig@barmenia.de</t>
  </si>
  <si>
    <t>http://www.ostangler.de</t>
  </si>
  <si>
    <t>alt 186604</t>
  </si>
  <si>
    <t>alt 198653</t>
  </si>
  <si>
    <t xml:space="preserve"> alt 806063</t>
  </si>
  <si>
    <t>alt 205583</t>
  </si>
  <si>
    <t>alt 115534</t>
  </si>
  <si>
    <t>alt 571720 (600/1679 alt)</t>
  </si>
  <si>
    <t>103677,  293181</t>
  </si>
  <si>
    <t>886221478</t>
  </si>
  <si>
    <t>Würzburger Reise</t>
  </si>
  <si>
    <t>Würzburger Sach</t>
  </si>
  <si>
    <t>Würzburger Handyschutz</t>
  </si>
  <si>
    <t>369363048</t>
  </si>
  <si>
    <t>AMS/BiPro</t>
  </si>
  <si>
    <t>6850-5223-7         (alt 6810-7151-2)</t>
  </si>
  <si>
    <t>Vermittler36656</t>
  </si>
  <si>
    <t>mvmak36656</t>
  </si>
  <si>
    <t>rsjcua4t</t>
  </si>
  <si>
    <t>057383000</t>
  </si>
  <si>
    <t>501588000</t>
  </si>
  <si>
    <t>019750452</t>
  </si>
  <si>
    <t>058995489</t>
  </si>
  <si>
    <t>057383001</t>
  </si>
  <si>
    <t>Malzahn</t>
  </si>
  <si>
    <t>Portal / AMS</t>
  </si>
  <si>
    <t>https://makler.ergo.de/de-DE/Login/easy%20Login.aspx</t>
  </si>
  <si>
    <t>https://vpotal.bkm.de</t>
  </si>
  <si>
    <t>9483</t>
  </si>
  <si>
    <t>Itzehoer/Degenia</t>
  </si>
  <si>
    <t>kein Gesamtbestand</t>
  </si>
  <si>
    <t xml:space="preserve"> https://www.muenchener-verein.de/dvs/</t>
  </si>
  <si>
    <t>täglich</t>
  </si>
  <si>
    <t>HTTP://WWW.VHV-MAX.NET/</t>
  </si>
  <si>
    <t>Wer57fra%</t>
  </si>
  <si>
    <t>HDI-Leben / Aspecta</t>
  </si>
  <si>
    <t>frank.malzahn@t-online.de</t>
  </si>
  <si>
    <t>Adcuri (Barmenia)</t>
  </si>
  <si>
    <t>BHW (Invers)</t>
  </si>
  <si>
    <t>www.bhw-partner.de</t>
  </si>
  <si>
    <t>02431917357</t>
  </si>
  <si>
    <t>ARAG</t>
  </si>
  <si>
    <t>bu-makler@arag.de</t>
  </si>
  <si>
    <t>https://www.arag-partnervertrieb.de/</t>
  </si>
  <si>
    <t>Hannoverische Leben</t>
  </si>
  <si>
    <t>AOK Plus</t>
  </si>
  <si>
    <t>LM20000196</t>
  </si>
  <si>
    <t>Portal / Zertifikat</t>
  </si>
  <si>
    <t>Nürnberger / Garanta</t>
  </si>
  <si>
    <t>Hiscox (Anglo)</t>
  </si>
  <si>
    <t>98530</t>
  </si>
  <si>
    <t>Advigon (ex CSS 80002841)</t>
  </si>
  <si>
    <t>002992 / 95022 (Patronus)</t>
  </si>
  <si>
    <t>Markel</t>
  </si>
  <si>
    <t>52527138</t>
  </si>
  <si>
    <t>Gesellschaften</t>
  </si>
  <si>
    <t>Werner</t>
  </si>
  <si>
    <t>Hans Jürgen</t>
  </si>
  <si>
    <t>Frank M.</t>
  </si>
  <si>
    <t>Frank H.</t>
  </si>
  <si>
    <t>Tommy</t>
  </si>
  <si>
    <t>x</t>
  </si>
  <si>
    <t>X</t>
  </si>
  <si>
    <t>(X)</t>
  </si>
  <si>
    <t>(x)</t>
  </si>
  <si>
    <t>xx</t>
  </si>
  <si>
    <t>Basler (Sach)</t>
  </si>
  <si>
    <t xml:space="preserve">HDI Firmen und Privat – Allgemein </t>
  </si>
  <si>
    <t>Kravag (Motorrad Henkel)</t>
  </si>
  <si>
    <t>Dr. Klein (Kreher)</t>
  </si>
  <si>
    <t>AA2481-3</t>
  </si>
  <si>
    <t>365-43323</t>
  </si>
  <si>
    <t>siehe AMS Anmerkungen</t>
  </si>
  <si>
    <t>Versicherungskammer Bayern</t>
  </si>
  <si>
    <t>1914928</t>
  </si>
  <si>
    <t>8704</t>
  </si>
  <si>
    <t>https://www.hdi.de/apps</t>
  </si>
  <si>
    <t>Firmen Digital</t>
  </si>
  <si>
    <t>Beraterhaus2018</t>
  </si>
  <si>
    <t>SLP / Swiss Life</t>
  </si>
  <si>
    <t>B219</t>
  </si>
  <si>
    <t>A219</t>
  </si>
  <si>
    <t>Hannoverische Leben / SLP</t>
  </si>
  <si>
    <t>B220</t>
  </si>
  <si>
    <t>A220</t>
  </si>
  <si>
    <t>fb-beraterwelt (ex fb-xpert)</t>
  </si>
  <si>
    <t>Vertriebsportal (www.monuta.de/vertriebspartner)</t>
  </si>
  <si>
    <t>Kundenportal (www.monutanet.de)</t>
  </si>
  <si>
    <t xml:space="preserve">https://office.domcura.de </t>
  </si>
  <si>
    <t>www.europa.de/vep</t>
  </si>
  <si>
    <t>Abrechnungen</t>
  </si>
  <si>
    <t>Adcuri (Invers)</t>
  </si>
  <si>
    <t>Adcuri (VEMA)</t>
  </si>
  <si>
    <t>2500242</t>
  </si>
  <si>
    <t>SV SparkassenVersicherung  AG</t>
  </si>
  <si>
    <t>www.basler-vertriebsservice.de</t>
  </si>
  <si>
    <t>Fondskonzept AG (Atvantis)</t>
  </si>
  <si>
    <t>Fondskonzept AG (VEMA)</t>
  </si>
  <si>
    <t>Fondskonzept AG (Invers)</t>
  </si>
  <si>
    <t>GAMAX (JDC)</t>
  </si>
  <si>
    <t>Ergo Leben</t>
  </si>
  <si>
    <t>Ergo KV</t>
  </si>
  <si>
    <t>Ergo KV (ex DKV)</t>
  </si>
  <si>
    <t>5563578</t>
  </si>
  <si>
    <t>Ergo LV</t>
  </si>
  <si>
    <t>B221</t>
  </si>
  <si>
    <t>B222</t>
  </si>
  <si>
    <t>A221</t>
  </si>
  <si>
    <t>A222</t>
  </si>
  <si>
    <t>Adressenliste und Anmeldungen online</t>
  </si>
  <si>
    <t>Adresse</t>
  </si>
  <si>
    <t>Telefon/Fax</t>
  </si>
  <si>
    <t>Verm.-Nr.</t>
  </si>
  <si>
    <t>Internet-Adr.</t>
  </si>
  <si>
    <t>Apella AG</t>
  </si>
  <si>
    <t>942876</t>
  </si>
  <si>
    <t>www.apella.de</t>
  </si>
  <si>
    <t>AX40464</t>
  </si>
  <si>
    <t>www.amex-online.de</t>
  </si>
  <si>
    <t>Alte Leipziger AG</t>
  </si>
  <si>
    <t>Alte Leipziger Platz 1</t>
  </si>
  <si>
    <t>827053.001 Verb. VNR</t>
  </si>
  <si>
    <t>Malzahn.F</t>
  </si>
  <si>
    <t>www.al-vermittler.de</t>
  </si>
  <si>
    <t>61440 Oberursel</t>
  </si>
  <si>
    <t>23-9855 Frank Sach</t>
  </si>
  <si>
    <t>Malzahn.E</t>
  </si>
  <si>
    <t>ARAG Platz 1</t>
  </si>
  <si>
    <t>T 0211 9890 1616</t>
  </si>
  <si>
    <t>565/28214</t>
  </si>
  <si>
    <t>www.arag.de</t>
  </si>
  <si>
    <t>40472 Düsseldorf</t>
  </si>
  <si>
    <t>F 0211 963 2850</t>
  </si>
  <si>
    <t>AXA Versicherung AG</t>
  </si>
  <si>
    <t>Colonia Allee 10-20</t>
  </si>
  <si>
    <t>80/36/00/0462 Frank</t>
  </si>
  <si>
    <t>AXA35986</t>
  </si>
  <si>
    <t>Katharina1</t>
  </si>
  <si>
    <t>www.axa.de</t>
  </si>
  <si>
    <t>51067 Köln</t>
  </si>
  <si>
    <t>80/36/00/0633 Elke</t>
  </si>
  <si>
    <t>(auch für sichere Nachrichten)</t>
  </si>
  <si>
    <t>77005410</t>
  </si>
  <si>
    <t>g2ihANUHC4</t>
  </si>
  <si>
    <t>www.bb-maklerwelt.de.</t>
  </si>
  <si>
    <t>Bayerische</t>
  </si>
  <si>
    <t>Thomas-Dehler-Str-. 25</t>
  </si>
  <si>
    <t>0180 1228366</t>
  </si>
  <si>
    <t>6801 581213 Frank</t>
  </si>
  <si>
    <t>MAK581213-0001</t>
  </si>
  <si>
    <t>FrankMal1</t>
  </si>
  <si>
    <t>www.bbv.de</t>
  </si>
  <si>
    <t>81737 München</t>
  </si>
  <si>
    <t>6801 580370 Elke</t>
  </si>
  <si>
    <t>MAK580370-0001</t>
  </si>
  <si>
    <t>Admiralitätsstr. 67</t>
  </si>
  <si>
    <t>T 040 36139 0</t>
  </si>
  <si>
    <t>www.condor-versicherungsgruppe.de</t>
  </si>
  <si>
    <t>20459 Hamburg</t>
  </si>
  <si>
    <t>F 040 36139-100</t>
  </si>
  <si>
    <t>Anmeldung R+V</t>
  </si>
  <si>
    <t>55197</t>
  </si>
  <si>
    <t>www.concordia.de</t>
  </si>
  <si>
    <t>Login allg.</t>
  </si>
  <si>
    <t>Die Freiheit 14</t>
  </si>
  <si>
    <t>T 0561/780061</t>
  </si>
  <si>
    <t>FrankM</t>
  </si>
  <si>
    <t>www.rs.deurag.de</t>
  </si>
  <si>
    <t>34117 Kassel</t>
  </si>
  <si>
    <t>F 0561 102973</t>
  </si>
  <si>
    <t>Benutzer: malzahn</t>
  </si>
  <si>
    <t>www.deurag.de</t>
  </si>
  <si>
    <t>Passw.:KatharinaHe1 (31.5.16)</t>
  </si>
  <si>
    <t>für GDV-Download</t>
  </si>
  <si>
    <t>bu3c#kH7</t>
  </si>
  <si>
    <t>www.deutscherring-kranken-makler.de</t>
  </si>
  <si>
    <t>Deutscher Ring</t>
  </si>
  <si>
    <t>Ludwig-Erhard-Str. 22</t>
  </si>
  <si>
    <t>T 040 3599-50</t>
  </si>
  <si>
    <t>5315/0001</t>
  </si>
  <si>
    <t>Antr.-Bausparen(Begleitz.)</t>
  </si>
  <si>
    <t>F 040 3599-5128</t>
  </si>
  <si>
    <t>über Apella</t>
  </si>
  <si>
    <t>Sicherheitsfrage:</t>
  </si>
  <si>
    <t>easyLogin</t>
  </si>
  <si>
    <t>0921 75758 555</t>
  </si>
  <si>
    <t>Katharina Heußer</t>
  </si>
  <si>
    <t>vb027300880</t>
  </si>
  <si>
    <t>Antw.: 13.06.1962</t>
  </si>
  <si>
    <t>Benutzername GDV</t>
  </si>
  <si>
    <t>FrankMal01 (08.01.2018)</t>
  </si>
  <si>
    <t>ERGO / Victoria</t>
  </si>
  <si>
    <t>Stresemannstr. 111</t>
  </si>
  <si>
    <t>030 88781-</t>
  </si>
  <si>
    <t>OM_V173043_MaFr</t>
  </si>
  <si>
    <t>www.makler-ergo.de</t>
  </si>
  <si>
    <t>10963 Berlin</t>
  </si>
  <si>
    <t>PIN 2412</t>
  </si>
  <si>
    <t>www.datenbereitstellung.de</t>
  </si>
  <si>
    <t>E843589</t>
  </si>
  <si>
    <t>135886</t>
  </si>
  <si>
    <t>Adenauer Ring 7-11</t>
  </si>
  <si>
    <t>01803 284666</t>
  </si>
  <si>
    <t>156902</t>
  </si>
  <si>
    <t>Alias:FrankMal1</t>
  </si>
  <si>
    <t>Sommer2018</t>
  </si>
  <si>
    <t>www.maklernet.generali.de</t>
  </si>
  <si>
    <t>für GDV-Daten</t>
  </si>
  <si>
    <t>G156902A</t>
  </si>
  <si>
    <t>www.generali.de</t>
  </si>
  <si>
    <t>28269</t>
  </si>
  <si>
    <t>V103059</t>
  </si>
  <si>
    <t>www.makler.gothaer.de</t>
  </si>
  <si>
    <t>Herr Lang</t>
  </si>
  <si>
    <t>Postfach 11 26</t>
  </si>
  <si>
    <t>T 06154 601-1356</t>
  </si>
  <si>
    <t>009530-525</t>
  </si>
  <si>
    <t>64373 Roßdorf</t>
  </si>
  <si>
    <t>F 06154/601-2356</t>
  </si>
  <si>
    <t>Postfach 101 625</t>
  </si>
  <si>
    <t>0221 144 3001</t>
  </si>
  <si>
    <t>257544</t>
  </si>
  <si>
    <t>257544HDI</t>
  </si>
  <si>
    <t>www.mymaklernet.de</t>
  </si>
  <si>
    <t>50456 Köln</t>
  </si>
  <si>
    <t>0221 144 61975</t>
  </si>
  <si>
    <t>fzf3nkf8</t>
  </si>
  <si>
    <t>42013</t>
  </si>
  <si>
    <t>98527</t>
  </si>
  <si>
    <t>Ideal Versicherung</t>
  </si>
  <si>
    <t>www.ideal-versicherung.de</t>
  </si>
  <si>
    <t xml:space="preserve">0211 96307 </t>
  </si>
  <si>
    <t>Frank 798527</t>
  </si>
  <si>
    <t>M798527</t>
  </si>
  <si>
    <t>www.interlloyd.de</t>
  </si>
  <si>
    <t>40464 Düsseldorf</t>
  </si>
  <si>
    <t>Elke 79852706</t>
  </si>
  <si>
    <t>7850391</t>
  </si>
  <si>
    <t>7850391-Sach</t>
  </si>
  <si>
    <t>FrankM05</t>
  </si>
  <si>
    <t>www.interrisk.de</t>
  </si>
  <si>
    <t>22326-Leben</t>
  </si>
  <si>
    <t>für Prov. 985278704</t>
  </si>
  <si>
    <t>Hansrstr. 10</t>
  </si>
  <si>
    <t>04821 7730</t>
  </si>
  <si>
    <t>AnnettW1</t>
  </si>
  <si>
    <t>25521 Itzehoe</t>
  </si>
  <si>
    <t>GDV per Mail</t>
  </si>
  <si>
    <t>T 06221 709 1565</t>
  </si>
  <si>
    <t>fmalzahn</t>
  </si>
  <si>
    <t>www.portal.janitos.de</t>
  </si>
  <si>
    <t>F 6221 709 1562</t>
  </si>
  <si>
    <t>T 0511 640 540</t>
  </si>
  <si>
    <t>32309</t>
  </si>
  <si>
    <t>www.k-m.info</t>
  </si>
  <si>
    <t>F 0511 640 5444</t>
  </si>
  <si>
    <t>KS Auxilia</t>
  </si>
  <si>
    <t>www.ks-auxilia.de</t>
  </si>
  <si>
    <t>SMS Code 514836</t>
  </si>
  <si>
    <t xml:space="preserve">Kapuzinerstraße 9 </t>
  </si>
  <si>
    <t>089 544 344-0</t>
  </si>
  <si>
    <t>152/05/3183</t>
  </si>
  <si>
    <t>B010699</t>
  </si>
  <si>
    <t>Frank + ID</t>
  </si>
  <si>
    <t>www.nuernberger-portal.de</t>
  </si>
  <si>
    <t>Versicherungsgruppe</t>
  </si>
  <si>
    <t>80337 München</t>
  </si>
  <si>
    <t>R + V</t>
  </si>
  <si>
    <t>Raiffeisenplatz 1</t>
  </si>
  <si>
    <t>T 01802 7858633</t>
  </si>
  <si>
    <t>406/453657</t>
  </si>
  <si>
    <t>ROM07yy</t>
  </si>
  <si>
    <t>www.ruv.de</t>
  </si>
  <si>
    <t>65189 Wiesbaden</t>
  </si>
  <si>
    <t>F 0611533 4500</t>
  </si>
  <si>
    <t>R+V über Apella</t>
  </si>
  <si>
    <t>089097</t>
  </si>
  <si>
    <t>rom1diz</t>
  </si>
  <si>
    <t> www.makler.ruv.de</t>
  </si>
  <si>
    <t>Bismarkstr. 101</t>
  </si>
  <si>
    <t>T 030 88701-150</t>
  </si>
  <si>
    <t>Vertriebspartnerservice AG</t>
  </si>
  <si>
    <t>10625 Berlin</t>
  </si>
  <si>
    <t>F 030 88701-148</t>
  </si>
  <si>
    <t>296/3785</t>
  </si>
  <si>
    <t>u032747</t>
  </si>
  <si>
    <t>Hendrik1 (01.09.2016)</t>
  </si>
  <si>
    <t>MAKwww.si-vp.de</t>
  </si>
  <si>
    <t>Tel. Kennw.</t>
  </si>
  <si>
    <t>0231-135 7000</t>
  </si>
  <si>
    <t>Die Stuttgarter</t>
  </si>
  <si>
    <t>Rothebühlstr. 120</t>
  </si>
  <si>
    <t>T 0711 665-0</t>
  </si>
  <si>
    <t>83 570 384</t>
  </si>
  <si>
    <t>frank.malzahn</t>
  </si>
  <si>
    <t>FrankMal01</t>
  </si>
  <si>
    <t>https://extranet.stuttgarter.de</t>
  </si>
  <si>
    <t>70197 Stuttgart</t>
  </si>
  <si>
    <t>F 0711 665-1516</t>
  </si>
  <si>
    <t>MKL LD</t>
  </si>
  <si>
    <t>Kurfürstenstr. 130</t>
  </si>
  <si>
    <t>T 030 236 33 790</t>
  </si>
  <si>
    <t>www.universa.de</t>
  </si>
  <si>
    <t>10785 Berlin</t>
  </si>
  <si>
    <t>F 0341 236 33 7919</t>
  </si>
  <si>
    <t>FrankM +</t>
  </si>
  <si>
    <t>www.vhv-max.net</t>
  </si>
  <si>
    <t>102909001 2. Stick</t>
  </si>
  <si>
    <t>Secur-ID</t>
  </si>
  <si>
    <t>Württembergische Vers.</t>
  </si>
  <si>
    <t>4800-7480-7</t>
  </si>
  <si>
    <t>01Z38M</t>
  </si>
  <si>
    <t>AnnettW1 (15.01.2018)</t>
  </si>
  <si>
    <t>(http://vertriebsportal.wuerttembergische.de</t>
  </si>
  <si>
    <t>0808-5580-0</t>
  </si>
  <si>
    <t>Zürich Gruppe Deutschland</t>
  </si>
  <si>
    <t>AdrianMal1</t>
  </si>
  <si>
    <t>www.zurich.de</t>
  </si>
  <si>
    <t>000/29471</t>
  </si>
  <si>
    <t>FrankM1+</t>
  </si>
  <si>
    <t>www.uelzener.de</t>
  </si>
  <si>
    <t>Care Concept - Union Service</t>
  </si>
  <si>
    <t>http://www.care-concept.de/index.php?vmnr=0024060000&amp;vmmx=3523680</t>
  </si>
  <si>
    <t>www.bb-maklerwelt.de</t>
  </si>
  <si>
    <t>700 1606 741</t>
  </si>
  <si>
    <t>https://www.maklerweb.de/Service</t>
  </si>
  <si>
    <t>https://sso.wwk.de/openam/XUI/?realm=vermittlerrealm#login&amp;goto=https%3A%2F%2Fportal.wwk.de%3A443%2Fgroup%2Fvip%2Fstart</t>
  </si>
  <si>
    <t>https://vertriebsportal.wuerttembergische.de/wps/portal/vertrieb</t>
  </si>
  <si>
    <t>Sommer18%</t>
  </si>
  <si>
    <t>Vowe2018!</t>
  </si>
  <si>
    <t>Nürnberger Sach</t>
  </si>
  <si>
    <t>Nürnberger Leben</t>
  </si>
  <si>
    <t>michael.hoffmann@nuernberger.de</t>
  </si>
  <si>
    <t>590/5509</t>
  </si>
  <si>
    <t>14855, (806252 alt)</t>
  </si>
  <si>
    <t>VPV</t>
  </si>
  <si>
    <t>0105535</t>
  </si>
  <si>
    <t>NV-Versicherung über Invers</t>
  </si>
  <si>
    <t>nv-11072s</t>
  </si>
  <si>
    <t>gwn606</t>
  </si>
  <si>
    <t>Berater5114</t>
  </si>
  <si>
    <t>A223</t>
  </si>
  <si>
    <t>A224</t>
  </si>
  <si>
    <t>B223</t>
  </si>
  <si>
    <t>B224</t>
  </si>
  <si>
    <t>4080</t>
  </si>
  <si>
    <t>Maklersoftware.com / Myfin24</t>
  </si>
  <si>
    <t>https://online.ruv.de/makler/login.jsp</t>
  </si>
  <si>
    <t>https://secure.invers-gruppe.de/login.htm</t>
  </si>
  <si>
    <t>ARAG Rechtsschutzversicherung</t>
  </si>
  <si>
    <r>
      <rPr>
        <b/>
        <sz val="11"/>
        <color rgb="FF000000"/>
        <rFont val="Calibri"/>
        <family val="2"/>
      </rPr>
      <t>1048000805</t>
    </r>
    <r>
      <rPr>
        <sz val="11"/>
        <color theme="1" tint="0.499984740745262"/>
        <rFont val="Calibri"/>
        <family val="2"/>
      </rPr>
      <t xml:space="preserve">, 1048001741, 1048001767, 1048001772, </t>
    </r>
  </si>
  <si>
    <t>https://www.swisslife-weboffice.de/einfogpweb/posteingang.faces</t>
  </si>
  <si>
    <t>Institut für Vorsorge und Finazplanung</t>
  </si>
  <si>
    <t>https://portal.vorsorge-finanzplanung.de</t>
  </si>
  <si>
    <t>Ostangler Brandgilde</t>
  </si>
  <si>
    <t>80487</t>
  </si>
  <si>
    <t>25111000</t>
  </si>
  <si>
    <t>Q9837025</t>
  </si>
  <si>
    <t>38580</t>
  </si>
  <si>
    <t>Herbst2018</t>
  </si>
  <si>
    <t>R+V (Mietkaution)</t>
  </si>
  <si>
    <t>http://www.kreditconnect.de/</t>
  </si>
  <si>
    <t>94600214 Elke</t>
  </si>
  <si>
    <t>10410028 Frank Apella</t>
  </si>
  <si>
    <t>94600214 Elke / 10410028 Frank Apella</t>
  </si>
  <si>
    <t>GMAX (JDC)</t>
  </si>
  <si>
    <t>160999</t>
  </si>
  <si>
    <t>fbs (ex DA direkt; Zurich)</t>
  </si>
  <si>
    <t>über fbs / Zurich</t>
  </si>
  <si>
    <t>Zurich Sach / fbs (ex Baden-Badener)</t>
  </si>
  <si>
    <t>DA direkt (fbs-Portal)</t>
  </si>
  <si>
    <t>https://www.fbs-partner.de/check-in/</t>
  </si>
  <si>
    <t>https://imap.interlloyd.de/base/default/login</t>
  </si>
  <si>
    <t>Berater22</t>
  </si>
  <si>
    <t>152 05 3992</t>
  </si>
  <si>
    <t>eBASIS-Abholung</t>
  </si>
  <si>
    <t>Baden-Badener (Zurich)</t>
  </si>
  <si>
    <t>Athora (alt Athene ;Delta Lloyd)</t>
  </si>
  <si>
    <t>über Protal (Easy Login)</t>
  </si>
  <si>
    <t>Frank12M</t>
  </si>
  <si>
    <t>AnnettWer18</t>
  </si>
  <si>
    <t>054270710</t>
  </si>
  <si>
    <t>2030029088</t>
  </si>
  <si>
    <t>Ak654BH</t>
  </si>
  <si>
    <t>nur Bestandsänderungen an</t>
  </si>
  <si>
    <t>00000000002603342</t>
  </si>
  <si>
    <t>Lieferung Gesamtbestand</t>
  </si>
  <si>
    <t>Athora (Athena, Delta Lloyd)</t>
  </si>
  <si>
    <t>GEV Grundeigentümer Versicherung</t>
  </si>
  <si>
    <t>11288</t>
  </si>
  <si>
    <t>A225</t>
  </si>
  <si>
    <t>B225</t>
  </si>
  <si>
    <t>BSG Basler</t>
  </si>
  <si>
    <t>5017933</t>
  </si>
  <si>
    <t>DELA Lebensversicherung AG</t>
  </si>
  <si>
    <t>40199</t>
  </si>
  <si>
    <t>Berater</t>
  </si>
  <si>
    <t>0000100628121</t>
  </si>
  <si>
    <t>11005918075931</t>
  </si>
  <si>
    <t>97733195</t>
  </si>
  <si>
    <t>7005484 alt</t>
  </si>
  <si>
    <t>095910</t>
  </si>
  <si>
    <t>die Bayerische (Vema)</t>
  </si>
  <si>
    <t>MAK095910-0001</t>
  </si>
  <si>
    <t>http://www.diebayerische-makler.de ODER https://www.bbv.de/Portal</t>
  </si>
  <si>
    <t>die Bayersiche</t>
  </si>
  <si>
    <t>mandatsbearbeitung@wuerttembergische.de</t>
  </si>
  <si>
    <t>Sommer19</t>
  </si>
  <si>
    <t>SV Sparkassenversicherung</t>
  </si>
  <si>
    <t>infomeinberaterhaus.de</t>
  </si>
  <si>
    <t>Mainz02.2019</t>
  </si>
  <si>
    <t>JURA DIREKT</t>
  </si>
  <si>
    <t>Zip vierteljählich per Mail</t>
  </si>
  <si>
    <t>Silke</t>
  </si>
  <si>
    <t>juradirekt</t>
  </si>
  <si>
    <t>JD276008641</t>
  </si>
  <si>
    <t>nURtnVBv</t>
  </si>
  <si>
    <t>https://www.juradirekt.com</t>
  </si>
  <si>
    <t>935917</t>
  </si>
  <si>
    <t>kv_service@gothaer.de</t>
  </si>
  <si>
    <t>A110</t>
  </si>
  <si>
    <t>B110</t>
  </si>
  <si>
    <t>VKB Versicherungskammer Bayern (Kranken)</t>
  </si>
  <si>
    <t>VKB Versicherungskammer Bayern (Sach)</t>
  </si>
  <si>
    <t>K&amp;M Konzept und Marketing</t>
  </si>
  <si>
    <t>1240842</t>
  </si>
  <si>
    <t>SdV</t>
  </si>
  <si>
    <t>https://sdv-online.de/</t>
  </si>
  <si>
    <t>SDV-20.902</t>
  </si>
  <si>
    <t>5GJBBp</t>
  </si>
  <si>
    <t>Schutzvereinigung der Vermittler</t>
  </si>
  <si>
    <t>v00000104004</t>
  </si>
  <si>
    <t>www.vkb-extranet.de</t>
  </si>
  <si>
    <t xml:space="preserve">Die Haftpflichtkasse Darmstadt </t>
  </si>
  <si>
    <t>SLP / Swiss Life Partner</t>
  </si>
  <si>
    <t>SV SparkassenVersicherung  AG / ÖRAG</t>
  </si>
  <si>
    <t>dbhisj61</t>
  </si>
  <si>
    <t>eymzstbYwm4Z4H</t>
  </si>
  <si>
    <t>Itzehoer Rechtsschutz</t>
  </si>
  <si>
    <t>Nur  Gesamtbestand lieferbar, nach telef. Info Frau Haus 17.05.2019</t>
  </si>
  <si>
    <t>volker.tippmann@meinberaterhaus.de</t>
  </si>
  <si>
    <t xml:space="preserve">die Bayerische </t>
  </si>
  <si>
    <t>o15gL68w</t>
  </si>
  <si>
    <t>Rhion/Rheinland</t>
  </si>
  <si>
    <t>www.aigportal.de/hydra/#!/aig</t>
  </si>
  <si>
    <t>Dbhisjs61&amp;</t>
  </si>
  <si>
    <t>A64</t>
  </si>
  <si>
    <t>A98</t>
  </si>
  <si>
    <t>B64</t>
  </si>
  <si>
    <t>B98</t>
  </si>
  <si>
    <t>https://makler.gothaer.de/app/GDV-Online/Start</t>
  </si>
  <si>
    <t>502062202</t>
  </si>
  <si>
    <t>519080</t>
  </si>
  <si>
    <t>7V9852707</t>
  </si>
  <si>
    <t>82/998525</t>
  </si>
  <si>
    <t>Dialog (ex Generali)</t>
  </si>
  <si>
    <t>dbhiSuJst61!</t>
  </si>
  <si>
    <t>Dbhisjs61*</t>
  </si>
  <si>
    <t>AIG (ex Marke WüBa)</t>
  </si>
  <si>
    <t>70/5523/00122700</t>
  </si>
  <si>
    <t>Katastophe!</t>
  </si>
  <si>
    <t>Roland Rechtsschutz</t>
  </si>
  <si>
    <t>BauFinex</t>
  </si>
  <si>
    <t>Finanzierungsplattform</t>
  </si>
  <si>
    <t>volker-tippmann-7961</t>
  </si>
  <si>
    <t>https://www.baufinex.de/marktplatz/</t>
  </si>
  <si>
    <t>Schreibweise</t>
  </si>
  <si>
    <t>Molly</t>
  </si>
  <si>
    <t>TOREI123</t>
  </si>
  <si>
    <t>ebase BH-JDC</t>
  </si>
  <si>
    <t>ebase Frank-JDC</t>
  </si>
  <si>
    <t>ebase Werner-JDC</t>
  </si>
  <si>
    <t>ebaseTommy-JDC</t>
  </si>
  <si>
    <t>petriw</t>
  </si>
  <si>
    <t>Fondskonzept</t>
  </si>
  <si>
    <t>Fondskonzept AG (ex Invers)</t>
  </si>
  <si>
    <t>Fondskonzept AG (ex Atvantis)</t>
  </si>
  <si>
    <t>Starpool</t>
  </si>
  <si>
    <t>MSC Fondskonzept</t>
  </si>
  <si>
    <t>ebase (Jung DMS)</t>
  </si>
  <si>
    <t>Investmentplattform</t>
  </si>
  <si>
    <t>http://cloud.drklein.de/index.php/s/XN2J4YLngxiEXGY</t>
  </si>
  <si>
    <t>MBH2020!</t>
  </si>
  <si>
    <t>Baufinex</t>
  </si>
  <si>
    <t>A10</t>
  </si>
  <si>
    <t>A227</t>
  </si>
  <si>
    <t>A228</t>
  </si>
  <si>
    <t>B10</t>
  </si>
  <si>
    <t>B227</t>
  </si>
  <si>
    <t>B228</t>
  </si>
  <si>
    <t>Gesamtbestand</t>
  </si>
  <si>
    <t>Bestandsänderung</t>
  </si>
  <si>
    <t>S0lVFqY1FD3X</t>
  </si>
  <si>
    <t>https://ftp.v-d-v.de</t>
  </si>
  <si>
    <t>Start Bausparkasse (ex Deutscher Ring Bausparkasse)</t>
  </si>
  <si>
    <t>Alte Leipziger (Sach und Leben)</t>
  </si>
  <si>
    <t>2020002410</t>
  </si>
  <si>
    <t>volker_tippmann</t>
  </si>
  <si>
    <t>Starpool$1</t>
  </si>
  <si>
    <t>www.starpool.de</t>
  </si>
  <si>
    <t>Meinberater2020!</t>
  </si>
  <si>
    <t xml:space="preserve">770/771072 </t>
  </si>
  <si>
    <t>sf25897pp Passwort für die zip-Datei</t>
  </si>
  <si>
    <r>
      <t>C05723 (</t>
    </r>
    <r>
      <rPr>
        <sz val="12"/>
        <color rgb="FFFF0000"/>
        <rFont val="Arial"/>
        <family val="2"/>
      </rPr>
      <t>geht nur mit WinZip</t>
    </r>
    <r>
      <rPr>
        <sz val="12"/>
        <rFont val="Arial"/>
        <family val="2"/>
        <charset val="1"/>
      </rPr>
      <t>)</t>
    </r>
  </si>
  <si>
    <t>Goth123$</t>
  </si>
  <si>
    <t>6850-6517-7 ( kein LV-Bestand)</t>
  </si>
  <si>
    <t>BRlFHO3k</t>
  </si>
  <si>
    <t>Alte Leipziger BSK (Gothaer)</t>
  </si>
  <si>
    <t>600028446</t>
  </si>
  <si>
    <t>Dbhisjs61#</t>
  </si>
  <si>
    <t>https://www.aok.de/vp</t>
  </si>
  <si>
    <t xml:space="preserve">  </t>
  </si>
  <si>
    <t>!dBhiSjstr61!</t>
  </si>
  <si>
    <t>https://partner.basler-mietkaution.de/Account/LogOn?ReturnUrl=%2f</t>
  </si>
  <si>
    <t>https://www.aigportal.de/pls/WUEBANET/GDV_DOWNLOAD_PUBLIC.DOWNLOAD_GDV?p_GJG_ID=66077&amp;p_GJL_ID=11700&amp;p_type=FILE</t>
  </si>
  <si>
    <t>51-10423-1</t>
  </si>
  <si>
    <t>Partnernr:911322</t>
  </si>
  <si>
    <t>ISdBH2020?</t>
  </si>
  <si>
    <t>Dbhjstr61is</t>
  </si>
  <si>
    <t>AIG  (ex WÜBA)</t>
  </si>
  <si>
    <t>AIG Europe Limited (ex WÜBA)Angebot/Post</t>
  </si>
  <si>
    <t>Dbhisjs612020#</t>
  </si>
  <si>
    <t>9200754</t>
  </si>
  <si>
    <t>Dbhisjstr61+</t>
  </si>
  <si>
    <t xml:space="preserve">PW:SIGIDU </t>
  </si>
  <si>
    <t>AdvoCard (Dialog)</t>
  </si>
  <si>
    <t>Dialog Heilwesen</t>
  </si>
  <si>
    <t xml:space="preserve">Dialog Mitarbeiter Kfz </t>
  </si>
  <si>
    <t>PW: MO#600688</t>
  </si>
  <si>
    <t xml:space="preserve">                  PW für Zip-Datei :</t>
  </si>
  <si>
    <t>VL100142-108</t>
  </si>
  <si>
    <t>VL103392-001</t>
  </si>
  <si>
    <t>VL400898-001</t>
  </si>
  <si>
    <t>KV-8656194</t>
  </si>
  <si>
    <t>alt:296/4196</t>
  </si>
  <si>
    <t>2834196</t>
  </si>
  <si>
    <t>Signal alt:1370/02419</t>
  </si>
  <si>
    <t>Dbhisjs61</t>
  </si>
  <si>
    <t>alt/ nicht ben.</t>
  </si>
  <si>
    <t>Zurich (Patria) Sach alt</t>
  </si>
  <si>
    <t>6067257</t>
  </si>
  <si>
    <t>Zurich Leben Dt. Herold</t>
  </si>
  <si>
    <t>jWBNZXaW</t>
  </si>
  <si>
    <t>Google-Kalender</t>
  </si>
  <si>
    <t>Web-Browser / Google / Kalenender</t>
  </si>
  <si>
    <t>dasberaterhaus@gmail.com</t>
  </si>
  <si>
    <t>Berater&amp;Co.</t>
  </si>
  <si>
    <t>https://calendar.google.com/calendar/u/0/r/week</t>
  </si>
  <si>
    <t>A226</t>
  </si>
  <si>
    <t>A229</t>
  </si>
  <si>
    <t>A230</t>
  </si>
  <si>
    <t>B226</t>
  </si>
  <si>
    <t>B229</t>
  </si>
  <si>
    <t>B230</t>
  </si>
  <si>
    <t>silke.hengelhaupt@meinberaterhaus.de</t>
  </si>
  <si>
    <t>R+V Kredit Connect</t>
  </si>
  <si>
    <t>HDI Sondervereinbarung-LV</t>
  </si>
  <si>
    <t>755761</t>
  </si>
  <si>
    <t>ohne Riester+BU</t>
  </si>
  <si>
    <t>Dbhsjs62</t>
  </si>
  <si>
    <t>dbhisjs61#</t>
  </si>
  <si>
    <t>https://www.mvk-versicherung.de/de/makler</t>
  </si>
  <si>
    <t>Dbhisjstr6198527</t>
  </si>
  <si>
    <t>Dbhisjs6198527</t>
  </si>
  <si>
    <t>leben.service@hdi.de</t>
  </si>
  <si>
    <t>HK.Vertrag@hdi.de</t>
  </si>
  <si>
    <t>agt6255</t>
  </si>
  <si>
    <t>https://maklerportal.bhvg.de</t>
  </si>
  <si>
    <t>WER57fra!Suhl</t>
  </si>
  <si>
    <t>https://markelnow.markel.de</t>
  </si>
  <si>
    <t>Judith61"</t>
  </si>
  <si>
    <t>RMP0F70</t>
  </si>
  <si>
    <t>Zugang Petri</t>
  </si>
  <si>
    <t>DBHiSJstr61</t>
  </si>
  <si>
    <t>EBqdh2#Z</t>
  </si>
  <si>
    <t>www.brandgilde-versicherungskontor.de</t>
  </si>
  <si>
    <t xml:space="preserve">HDI-LV_alt Gerling </t>
  </si>
  <si>
    <t>854752</t>
  </si>
  <si>
    <t>A116</t>
  </si>
  <si>
    <t>A117</t>
  </si>
  <si>
    <t>KAB</t>
  </si>
  <si>
    <t>192163</t>
  </si>
  <si>
    <t>DB_H57VgmbH</t>
  </si>
  <si>
    <t>http://www.kab-maklerservice.de</t>
  </si>
  <si>
    <t>KAB Maklerservice</t>
  </si>
  <si>
    <t>B231</t>
  </si>
  <si>
    <t>A231</t>
  </si>
  <si>
    <t>DBHiSJstr61+</t>
  </si>
  <si>
    <t>Jstr61dBHiS+</t>
  </si>
  <si>
    <t>signal</t>
  </si>
  <si>
    <t>www.makle.ruv.de</t>
  </si>
  <si>
    <t>OM_E886985_TiVo</t>
  </si>
  <si>
    <t>1J3VydAkY</t>
  </si>
  <si>
    <t>261580</t>
  </si>
  <si>
    <t>DBHi98527SJstr</t>
  </si>
  <si>
    <t>0073/2556</t>
  </si>
  <si>
    <t>BHS61Jstr</t>
  </si>
  <si>
    <t>Baloise - Mietkaution</t>
  </si>
  <si>
    <t>Baloise Lebensversicherung AG</t>
  </si>
  <si>
    <t>Baloise Sachversicherung AG</t>
  </si>
  <si>
    <t>BSG Baloise Service GmbH</t>
  </si>
  <si>
    <t>ISdBHJstr61+</t>
  </si>
  <si>
    <t>Dialog Leben</t>
  </si>
  <si>
    <t>Dialog Sach</t>
  </si>
  <si>
    <t>Dialog (Altbestand GENERAI)</t>
  </si>
  <si>
    <t>v-universa</t>
  </si>
  <si>
    <t>VP-Vertrieb#2023</t>
  </si>
  <si>
    <t>Berater+1</t>
  </si>
  <si>
    <t>Anmeldung über VEMA Sprungbrett</t>
  </si>
  <si>
    <t>BHiSJstr61+</t>
  </si>
  <si>
    <t>Jstr61dBH</t>
  </si>
  <si>
    <t>Sibh9861</t>
  </si>
  <si>
    <t>PIN 2842</t>
  </si>
  <si>
    <t>BHSidJS61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</si>
</sst>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7]General"/>
  </numFmts>
  <fonts count="65" x14ac:knownFonts="1">
    <font>
      <sz val="11"/>
      <color rgb="FF000000"/>
      <name val="Calibri"/>
      <family val="2"/>
      <charset val="1"/>
    </font>
    <font>
      <u/>
      <sz val="11"/>
      <color rgb="FF0000FF"/>
      <name val="Calibri"/>
      <family val="2"/>
      <charset val="1"/>
    </font>
    <font>
      <sz val="10"/>
      <name val="Arial"/>
      <family val="2"/>
      <charset val="1"/>
    </font>
    <font>
      <i/>
      <sz val="12"/>
      <color rgb="FF000000"/>
      <name val="Calibri"/>
      <family val="2"/>
      <charset val="1"/>
    </font>
    <font>
      <b/>
      <sz val="11"/>
      <color rgb="FFFF0000"/>
      <name val="Calibri"/>
      <family val="2"/>
      <charset val="1"/>
    </font>
    <font>
      <b/>
      <sz val="14"/>
      <color rgb="FFFFFFFF"/>
      <name val="Arial"/>
      <family val="2"/>
      <charset val="1"/>
    </font>
    <font>
      <b/>
      <i/>
      <sz val="14"/>
      <color rgb="FF0066CC"/>
      <name val="Arial"/>
      <family val="2"/>
      <charset val="1"/>
    </font>
    <font>
      <i/>
      <sz val="14"/>
      <color rgb="FF0066CC"/>
      <name val="Arial"/>
      <family val="2"/>
      <charset val="1"/>
    </font>
    <font>
      <sz val="12"/>
      <name val="Arial"/>
      <family val="2"/>
      <charset val="1"/>
    </font>
    <font>
      <sz val="12"/>
      <color rgb="FFFF0000"/>
      <name val="Arial"/>
      <family val="2"/>
      <charset val="1"/>
    </font>
    <font>
      <strike/>
      <sz val="12"/>
      <color rgb="FFFF0000"/>
      <name val="Arial"/>
      <family val="2"/>
      <charset val="1"/>
    </font>
    <font>
      <b/>
      <sz val="9"/>
      <color rgb="FF000000"/>
      <name val="Tahoma"/>
      <family val="2"/>
    </font>
    <font>
      <sz val="9"/>
      <color rgb="FF000000"/>
      <name val="Tahoma"/>
      <family val="2"/>
    </font>
    <font>
      <b/>
      <sz val="14"/>
      <color rgb="FF1F497D"/>
      <name val="Arial"/>
      <family val="2"/>
      <charset val="1"/>
    </font>
    <font>
      <sz val="12"/>
      <color rgb="FF000000"/>
      <name val="Arial"/>
      <family val="2"/>
      <charset val="1"/>
    </font>
    <font>
      <b/>
      <sz val="11"/>
      <name val="Arial"/>
      <family val="2"/>
      <charset val="1"/>
    </font>
    <font>
      <b/>
      <sz val="10"/>
      <name val="Arial"/>
      <family val="2"/>
      <charset val="1"/>
    </font>
    <font>
      <b/>
      <sz val="11"/>
      <color rgb="FFA6A6A6"/>
      <name val="Arial"/>
      <family val="2"/>
      <charset val="1"/>
    </font>
    <font>
      <b/>
      <sz val="11"/>
      <color rgb="FFFF6600"/>
      <name val="Arial"/>
      <family val="2"/>
      <charset val="1"/>
    </font>
    <font>
      <b/>
      <sz val="11"/>
      <color rgb="FF808080"/>
      <name val="Arial"/>
      <family val="2"/>
      <charset val="1"/>
    </font>
    <font>
      <strike/>
      <sz val="12"/>
      <color rgb="FF808080"/>
      <name val="Arial"/>
      <family val="2"/>
      <charset val="1"/>
    </font>
    <font>
      <b/>
      <sz val="9"/>
      <color rgb="FF000000"/>
      <name val="Tahoma"/>
      <family val="2"/>
      <charset val="1"/>
    </font>
    <font>
      <sz val="9"/>
      <color rgb="FF000000"/>
      <name val="Tahoma"/>
      <family val="2"/>
      <charset val="1"/>
    </font>
    <font>
      <b/>
      <sz val="11"/>
      <color rgb="FF000000"/>
      <name val="Calibri"/>
      <family val="2"/>
      <charset val="1"/>
    </font>
    <font>
      <i/>
      <sz val="11"/>
      <color rgb="FF000000"/>
      <name val="Calibri"/>
      <family val="2"/>
      <charset val="1"/>
    </font>
    <font>
      <u/>
      <sz val="11"/>
      <color rgb="FFFF0000"/>
      <name val="Calibri"/>
      <family val="2"/>
      <charset val="1"/>
    </font>
    <font>
      <sz val="11"/>
      <color rgb="FF000000"/>
      <name val="Arial"/>
      <family val="2"/>
      <charset val="1"/>
    </font>
    <font>
      <i/>
      <sz val="11"/>
      <color rgb="FF000000"/>
      <name val="Arial"/>
      <family val="2"/>
      <charset val="1"/>
    </font>
    <font>
      <b/>
      <i/>
      <sz val="12"/>
      <color rgb="FF1F497D"/>
      <name val="Calibri"/>
      <family val="2"/>
      <charset val="1"/>
    </font>
    <font>
      <sz val="11"/>
      <name val="Calibri"/>
      <family val="2"/>
      <charset val="1"/>
    </font>
    <font>
      <sz val="11"/>
      <color rgb="FFFFFF00"/>
      <name val="Calibri"/>
      <family val="2"/>
      <charset val="1"/>
    </font>
    <font>
      <b/>
      <sz val="11"/>
      <color rgb="FFFFFFFF"/>
      <name val="Calibri"/>
      <family val="2"/>
      <charset val="1"/>
    </font>
    <font>
      <b/>
      <i/>
      <sz val="14"/>
      <color rgb="FF558ED5"/>
      <name val="Calibri"/>
      <family val="2"/>
      <charset val="1"/>
    </font>
    <font>
      <sz val="12"/>
      <name val="MS Sans Serif"/>
      <family val="2"/>
    </font>
    <font>
      <sz val="9"/>
      <color indexed="81"/>
      <name val="Tahoma"/>
      <family val="2"/>
    </font>
    <font>
      <b/>
      <sz val="9"/>
      <color indexed="81"/>
      <name val="Tahoma"/>
      <family val="2"/>
    </font>
    <font>
      <b/>
      <strike/>
      <sz val="11"/>
      <name val="Arial"/>
      <family val="2"/>
      <charset val="1"/>
    </font>
    <font>
      <sz val="11"/>
      <color rgb="FF006100"/>
      <name val="Calibri"/>
      <family val="2"/>
      <scheme val="minor"/>
    </font>
    <font>
      <b/>
      <sz val="16"/>
      <color rgb="FFFF0000"/>
      <name val="Calibri"/>
      <family val="2"/>
      <scheme val="minor"/>
    </font>
    <font>
      <sz val="11"/>
      <color rgb="FF000000"/>
      <name val="Calibri"/>
      <family val="2"/>
    </font>
    <font>
      <b/>
      <strike/>
      <sz val="11"/>
      <color theme="1" tint="0.499984740745262"/>
      <name val="Arial"/>
      <family val="2"/>
      <charset val="1"/>
    </font>
    <font>
      <u/>
      <sz val="11"/>
      <color theme="10"/>
      <name val="Calibri"/>
      <family val="2"/>
      <charset val="1"/>
    </font>
    <font>
      <b/>
      <sz val="11"/>
      <color theme="1"/>
      <name val="Calibri"/>
      <family val="2"/>
      <scheme val="minor"/>
    </font>
    <font>
      <u/>
      <sz val="11"/>
      <color theme="10"/>
      <name val="Calibri"/>
      <family val="2"/>
    </font>
    <font>
      <sz val="11"/>
      <color theme="5"/>
      <name val="Calibri"/>
      <family val="2"/>
      <scheme val="minor"/>
    </font>
    <font>
      <sz val="11"/>
      <color theme="1"/>
      <name val="Calibri"/>
      <family val="2"/>
    </font>
    <font>
      <sz val="11"/>
      <name val="Calibri"/>
      <family val="2"/>
    </font>
    <font>
      <sz val="11"/>
      <color rgb="FF000033"/>
      <name val="Calibri"/>
      <family val="2"/>
    </font>
    <font>
      <b/>
      <sz val="11"/>
      <color rgb="FF000000"/>
      <name val="Calibri"/>
      <family val="2"/>
    </font>
    <font>
      <sz val="11"/>
      <color theme="1" tint="0.499984740745262"/>
      <name val="Calibri"/>
      <family val="2"/>
    </font>
    <font>
      <sz val="9"/>
      <color indexed="81"/>
      <name val="Segoe UI"/>
      <family val="2"/>
    </font>
    <font>
      <b/>
      <sz val="9"/>
      <color indexed="81"/>
      <name val="Segoe UI"/>
      <family val="2"/>
    </font>
    <font>
      <strike/>
      <sz val="10"/>
      <color theme="0" tint="-0.499984740745262"/>
      <name val="Arial"/>
      <family val="2"/>
    </font>
    <font>
      <b/>
      <strike/>
      <sz val="10"/>
      <color theme="0" tint="-0.499984740745262"/>
      <name val="Arial"/>
      <family val="2"/>
    </font>
    <font>
      <strike/>
      <sz val="12"/>
      <color theme="0" tint="-0.499984740745262"/>
      <name val="Arial"/>
      <family val="2"/>
      <charset val="1"/>
    </font>
    <font>
      <sz val="8"/>
      <name val="Calibri"/>
      <family val="2"/>
      <charset val="1"/>
    </font>
    <font>
      <sz val="12"/>
      <color theme="1" tint="0.499984740745262"/>
      <name val="Arial"/>
      <family val="2"/>
      <charset val="1"/>
    </font>
    <font>
      <strike/>
      <sz val="12"/>
      <name val="Arial"/>
      <family val="2"/>
      <charset val="1"/>
    </font>
    <font>
      <strike/>
      <sz val="10"/>
      <name val="Cambria"/>
      <family val="1"/>
    </font>
    <font>
      <strike/>
      <sz val="12"/>
      <color rgb="FF000000"/>
      <name val="Cambria"/>
      <family val="1"/>
    </font>
    <font>
      <b/>
      <strike/>
      <sz val="11"/>
      <name val="Cambria"/>
      <family val="1"/>
    </font>
    <font>
      <strike/>
      <sz val="11"/>
      <color rgb="FF000000"/>
      <name val="Cambria"/>
      <family val="1"/>
    </font>
    <font>
      <sz val="12"/>
      <color rgb="FFFF0000"/>
      <name val="Arial"/>
      <family val="2"/>
    </font>
    <font>
      <b/>
      <sz val="10"/>
      <color rgb="FF212529"/>
      <name val="Helvetica"/>
      <family val="2"/>
    </font>
    <font>
      <u/>
      <sz val="12"/>
      <name val="Arial"/>
      <family val="2"/>
    </font>
  </fonts>
  <fills count="22">
    <fill>
      <patternFill patternType="none"/>
    </fill>
    <fill>
      <patternFill patternType="gray125"/>
    </fill>
    <fill>
      <patternFill patternType="solid">
        <fgColor rgb="FFCCFFCC"/>
        <bgColor rgb="FFDBEEF4"/>
      </patternFill>
    </fill>
    <fill>
      <patternFill patternType="solid">
        <fgColor rgb="FFDBEEF4"/>
        <bgColor rgb="FFF0F0F0"/>
      </patternFill>
    </fill>
    <fill>
      <patternFill patternType="solid">
        <fgColor rgb="FF0066CC"/>
        <bgColor rgb="FF0070C0"/>
      </patternFill>
    </fill>
    <fill>
      <patternFill patternType="solid">
        <fgColor rgb="FF92D050"/>
        <bgColor rgb="FFA6A6A6"/>
      </patternFill>
    </fill>
    <fill>
      <patternFill patternType="solid">
        <fgColor rgb="FFFFFF00"/>
        <bgColor rgb="FFFFFF00"/>
      </patternFill>
    </fill>
    <fill>
      <patternFill patternType="solid">
        <fgColor rgb="FFF2F2F2"/>
        <bgColor rgb="FFF0F0F0"/>
      </patternFill>
    </fill>
    <fill>
      <patternFill patternType="solid">
        <fgColor rgb="FF8EB4E3"/>
        <bgColor rgb="FFA6A6A6"/>
      </patternFill>
    </fill>
    <fill>
      <patternFill patternType="solid">
        <fgColor rgb="FFFFFFFF"/>
        <bgColor rgb="FFF2F2F2"/>
      </patternFill>
    </fill>
    <fill>
      <patternFill patternType="solid">
        <fgColor rgb="FFFF0000"/>
        <bgColor rgb="FFCC0000"/>
      </patternFill>
    </fill>
    <fill>
      <patternFill patternType="solid">
        <fgColor rgb="FF0070C0"/>
        <bgColor rgb="FF0066CC"/>
      </patternFill>
    </fill>
    <fill>
      <patternFill patternType="solid">
        <fgColor rgb="FFF0F0F0"/>
        <bgColor rgb="FFF2F2F2"/>
      </patternFill>
    </fill>
    <fill>
      <patternFill patternType="solid">
        <fgColor rgb="FFFFFF00"/>
        <bgColor indexed="64"/>
      </patternFill>
    </fill>
    <fill>
      <patternFill patternType="solid">
        <fgColor theme="0" tint="-0.14999847407452621"/>
        <bgColor rgb="FFA6A6A6"/>
      </patternFill>
    </fill>
    <fill>
      <patternFill patternType="solid">
        <fgColor theme="0" tint="-0.14999847407452621"/>
        <bgColor rgb="FFFFFF00"/>
      </patternFill>
    </fill>
    <fill>
      <patternFill patternType="solid">
        <fgColor rgb="FF92D050"/>
        <bgColor indexed="64"/>
      </patternFill>
    </fill>
    <fill>
      <patternFill patternType="solid">
        <fgColor rgb="FFFFFF00"/>
        <bgColor rgb="FFA6A6A6"/>
      </patternFill>
    </fill>
    <fill>
      <patternFill patternType="solid">
        <fgColor rgb="FFC6EFCE"/>
      </patternFill>
    </fill>
    <fill>
      <patternFill patternType="solid">
        <fgColor theme="0" tint="-0.14999847407452621"/>
        <bgColor indexed="64"/>
      </patternFill>
    </fill>
    <fill>
      <patternFill patternType="solid">
        <fgColor theme="0"/>
        <bgColor rgb="FFFFFF00"/>
      </patternFill>
    </fill>
    <fill>
      <patternFill patternType="solid">
        <fgColor rgb="FFFF0000"/>
        <bgColor rgb="FFA6A6A6"/>
      </patternFill>
    </fill>
  </fills>
  <borders count="36">
    <border>
      <left/>
      <right/>
      <top/>
      <bottom/>
      <diagonal/>
    </border>
    <border>
      <left style="thin">
        <color rgb="FF808080"/>
      </left>
      <right style="thin">
        <color rgb="FF808080"/>
      </right>
      <top style="thin">
        <color rgb="FF808080"/>
      </top>
      <bottom style="thin">
        <color rgb="FF808080"/>
      </bottom>
      <diagonal/>
    </border>
    <border>
      <left/>
      <right/>
      <top/>
      <bottom style="thin">
        <color auto="1"/>
      </bottom>
      <diagonal/>
    </border>
    <border>
      <left style="thin">
        <color auto="1"/>
      </left>
      <right style="thin">
        <color auto="1"/>
      </right>
      <top style="thin">
        <color auto="1"/>
      </top>
      <bottom style="thin">
        <color auto="1"/>
      </bottom>
      <diagonal/>
    </border>
    <border>
      <left/>
      <right style="thick">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A0A0A0"/>
      </left>
      <right style="thin">
        <color rgb="FFA0A0A0"/>
      </right>
      <top style="thin">
        <color rgb="FFA0A0A0"/>
      </top>
      <bottom style="thin">
        <color rgb="FFA0A0A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right/>
      <top/>
      <bottom style="medium">
        <color indexed="64"/>
      </bottom>
      <diagonal/>
    </border>
    <border>
      <left style="medium">
        <color indexed="64"/>
      </left>
      <right style="thin">
        <color indexed="64"/>
      </right>
      <top/>
      <bottom style="thin">
        <color indexed="64"/>
      </bottom>
      <diagonal/>
    </border>
  </borders>
  <cellStyleXfs count="5">
    <xf numFmtId="0" fontId="0" fillId="0" borderId="0"/>
    <xf numFmtId="0" fontId="2" fillId="0" borderId="0"/>
    <xf numFmtId="0" fontId="37" fillId="18" borderId="0" applyNumberFormat="0" applyBorder="0" applyAlignment="0" applyProtection="0"/>
    <xf numFmtId="165" fontId="39" fillId="0" borderId="0" applyBorder="0" applyProtection="0"/>
    <xf numFmtId="0" fontId="41" fillId="0" borderId="0" applyNumberFormat="0" applyFill="0" applyBorder="0" applyAlignment="0" applyProtection="0">
      <alignment vertical="top"/>
      <protection locked="0"/>
    </xf>
  </cellStyleXfs>
  <cellXfs count="277">
    <xf numFmtId="0" fontId="0" fillId="0" borderId="0" xfId="0"/>
    <xf numFmtId="0" fontId="3" fillId="3" borderId="0" xfId="0" applyFont="1" applyFill="1" applyAlignment="1">
      <alignment horizontal="center"/>
    </xf>
    <xf numFmtId="1" fontId="0" fillId="0" borderId="0" xfId="0" applyNumberFormat="1"/>
    <xf numFmtId="0" fontId="4" fillId="0" borderId="0" xfId="0" applyFont="1"/>
    <xf numFmtId="0" fontId="2" fillId="0" borderId="0" xfId="1"/>
    <xf numFmtId="0" fontId="7" fillId="0" borderId="0" xfId="1" applyFont="1"/>
    <xf numFmtId="0" fontId="2" fillId="0" borderId="4" xfId="1" applyBorder="1"/>
    <xf numFmtId="49" fontId="2" fillId="0" borderId="0" xfId="1" applyNumberFormat="1"/>
    <xf numFmtId="49" fontId="5" fillId="5" borderId="5" xfId="1" applyNumberFormat="1" applyFont="1" applyFill="1" applyBorder="1" applyAlignment="1">
      <alignment horizontal="center" vertical="top"/>
    </xf>
    <xf numFmtId="49" fontId="5" fillId="5" borderId="6" xfId="1" applyNumberFormat="1" applyFont="1" applyFill="1" applyBorder="1" applyAlignment="1">
      <alignment horizontal="distributed" vertical="top" wrapText="1"/>
    </xf>
    <xf numFmtId="49" fontId="5" fillId="5" borderId="6" xfId="1" applyNumberFormat="1" applyFont="1" applyFill="1" applyBorder="1" applyAlignment="1">
      <alignment horizontal="center" vertical="top"/>
    </xf>
    <xf numFmtId="49" fontId="5" fillId="4" borderId="6" xfId="1" applyNumberFormat="1" applyFont="1" applyFill="1" applyBorder="1" applyAlignment="1">
      <alignment horizontal="center" vertical="top"/>
    </xf>
    <xf numFmtId="49" fontId="5" fillId="4" borderId="7" xfId="1" applyNumberFormat="1" applyFont="1" applyFill="1" applyBorder="1" applyAlignment="1">
      <alignment horizontal="center" vertical="top"/>
    </xf>
    <xf numFmtId="49" fontId="13" fillId="8" borderId="8" xfId="1" applyNumberFormat="1" applyFont="1" applyFill="1" applyBorder="1" applyAlignment="1">
      <alignment horizontal="center" vertical="top"/>
    </xf>
    <xf numFmtId="49" fontId="13" fillId="8" borderId="6" xfId="1" applyNumberFormat="1" applyFont="1" applyFill="1" applyBorder="1" applyAlignment="1">
      <alignment horizontal="center" vertical="top"/>
    </xf>
    <xf numFmtId="0" fontId="2" fillId="0" borderId="3" xfId="1" applyBorder="1" applyAlignment="1">
      <alignment horizontal="center"/>
    </xf>
    <xf numFmtId="0" fontId="14" fillId="0" borderId="9" xfId="1" applyFont="1" applyBorder="1" applyAlignment="1" applyProtection="1">
      <alignment horizontal="center"/>
      <protection locked="0"/>
    </xf>
    <xf numFmtId="0" fontId="14" fillId="0" borderId="10" xfId="1" applyFont="1" applyBorder="1" applyAlignment="1" applyProtection="1">
      <alignment horizontal="center"/>
      <protection locked="0"/>
    </xf>
    <xf numFmtId="0" fontId="14" fillId="0" borderId="11" xfId="1" applyFont="1" applyBorder="1" applyAlignment="1" applyProtection="1">
      <alignment horizontal="center"/>
      <protection locked="0"/>
    </xf>
    <xf numFmtId="0" fontId="15" fillId="0" borderId="12" xfId="1" applyFont="1" applyBorder="1" applyAlignment="1">
      <alignment horizontal="left"/>
    </xf>
    <xf numFmtId="49" fontId="15" fillId="0" borderId="9" xfId="1" applyNumberFormat="1" applyFont="1" applyBorder="1" applyAlignment="1">
      <alignment horizontal="left" vertical="top"/>
    </xf>
    <xf numFmtId="49" fontId="15" fillId="0" borderId="10" xfId="1" applyNumberFormat="1" applyFont="1" applyBorder="1" applyAlignment="1">
      <alignment vertical="top"/>
    </xf>
    <xf numFmtId="49" fontId="15" fillId="0" borderId="10" xfId="1" applyNumberFormat="1" applyFont="1" applyBorder="1" applyAlignment="1">
      <alignment vertical="top" wrapText="1"/>
    </xf>
    <xf numFmtId="49" fontId="15" fillId="0" borderId="3" xfId="1" applyNumberFormat="1" applyFont="1" applyBorder="1" applyAlignment="1">
      <alignment vertical="top" wrapText="1"/>
    </xf>
    <xf numFmtId="0" fontId="14" fillId="0" borderId="3" xfId="1" applyFont="1" applyBorder="1" applyAlignment="1" applyProtection="1">
      <alignment horizontal="center"/>
      <protection locked="0"/>
    </xf>
    <xf numFmtId="0" fontId="14" fillId="0" borderId="3" xfId="1" applyFont="1" applyBorder="1" applyProtection="1">
      <protection locked="0"/>
    </xf>
    <xf numFmtId="0" fontId="15" fillId="0" borderId="13" xfId="1" applyFont="1" applyBorder="1" applyAlignment="1">
      <alignment horizontal="left"/>
    </xf>
    <xf numFmtId="49" fontId="15" fillId="0" borderId="14" xfId="1" applyNumberFormat="1" applyFont="1" applyBorder="1" applyAlignment="1">
      <alignment horizontal="left" vertical="top"/>
    </xf>
    <xf numFmtId="0" fontId="0" fillId="0" borderId="3" xfId="0" applyBorder="1"/>
    <xf numFmtId="49" fontId="15" fillId="0" borderId="3" xfId="1" applyNumberFormat="1" applyFont="1" applyBorder="1" applyAlignment="1">
      <alignment vertical="top"/>
    </xf>
    <xf numFmtId="0" fontId="14" fillId="9" borderId="3" xfId="1" applyFont="1" applyFill="1" applyBorder="1" applyAlignment="1" applyProtection="1">
      <alignment horizontal="center"/>
      <protection locked="0"/>
    </xf>
    <xf numFmtId="49" fontId="15" fillId="6" borderId="3" xfId="1" applyNumberFormat="1" applyFont="1" applyFill="1" applyBorder="1" applyAlignment="1">
      <alignment vertical="top"/>
    </xf>
    <xf numFmtId="0" fontId="16" fillId="0" borderId="0" xfId="1" applyFont="1"/>
    <xf numFmtId="0" fontId="15" fillId="0" borderId="13" xfId="1" applyFont="1" applyBorder="1" applyAlignment="1">
      <alignment vertical="top"/>
    </xf>
    <xf numFmtId="0" fontId="15" fillId="6" borderId="13" xfId="1" applyFont="1" applyFill="1" applyBorder="1" applyAlignment="1">
      <alignment vertical="top"/>
    </xf>
    <xf numFmtId="49" fontId="17" fillId="0" borderId="14" xfId="1" applyNumberFormat="1" applyFont="1" applyBorder="1" applyAlignment="1">
      <alignment horizontal="left" vertical="top"/>
    </xf>
    <xf numFmtId="164" fontId="14" fillId="0" borderId="3" xfId="1" applyNumberFormat="1" applyFont="1" applyBorder="1" applyAlignment="1" applyProtection="1">
      <alignment horizontal="center"/>
      <protection locked="0"/>
    </xf>
    <xf numFmtId="49" fontId="15" fillId="6" borderId="3" xfId="1" applyNumberFormat="1" applyFont="1" applyFill="1" applyBorder="1" applyAlignment="1">
      <alignment vertical="top" wrapText="1"/>
    </xf>
    <xf numFmtId="49" fontId="15" fillId="0" borderId="14" xfId="1" applyNumberFormat="1" applyFont="1" applyBorder="1" applyAlignment="1">
      <alignment horizontal="left"/>
    </xf>
    <xf numFmtId="49" fontId="15" fillId="0" borderId="3" xfId="1" applyNumberFormat="1" applyFont="1" applyBorder="1" applyAlignment="1">
      <alignment horizontal="left" vertical="top"/>
    </xf>
    <xf numFmtId="49" fontId="15" fillId="6" borderId="14" xfId="1" applyNumberFormat="1" applyFont="1" applyFill="1" applyBorder="1" applyAlignment="1">
      <alignment horizontal="left" vertical="top"/>
    </xf>
    <xf numFmtId="0" fontId="0" fillId="0" borderId="3" xfId="1" applyFont="1" applyBorder="1"/>
    <xf numFmtId="0" fontId="14" fillId="0" borderId="3" xfId="0" applyFont="1" applyBorder="1" applyAlignment="1" applyProtection="1">
      <alignment horizontal="center"/>
      <protection locked="0"/>
    </xf>
    <xf numFmtId="49" fontId="18" fillId="0" borderId="3" xfId="1" applyNumberFormat="1" applyFont="1" applyBorder="1" applyAlignment="1">
      <alignment vertical="top"/>
    </xf>
    <xf numFmtId="49" fontId="0" fillId="0" borderId="3" xfId="1" applyNumberFormat="1" applyFont="1" applyBorder="1"/>
    <xf numFmtId="49" fontId="19" fillId="0" borderId="3" xfId="1" applyNumberFormat="1" applyFont="1" applyBorder="1" applyAlignment="1">
      <alignment vertical="top"/>
    </xf>
    <xf numFmtId="0" fontId="2" fillId="0" borderId="3" xfId="1" applyBorder="1"/>
    <xf numFmtId="49" fontId="14" fillId="0" borderId="3" xfId="1" applyNumberFormat="1" applyFont="1" applyBorder="1" applyAlignment="1" applyProtection="1">
      <alignment horizontal="center"/>
      <protection locked="0"/>
    </xf>
    <xf numFmtId="0" fontId="20" fillId="0" borderId="3" xfId="1" applyFont="1" applyBorder="1" applyAlignment="1" applyProtection="1">
      <alignment horizontal="center"/>
      <protection locked="0"/>
    </xf>
    <xf numFmtId="0" fontId="0" fillId="0" borderId="0" xfId="1" applyFont="1"/>
    <xf numFmtId="49" fontId="0" fillId="0" borderId="14" xfId="1" applyNumberFormat="1" applyFont="1" applyBorder="1" applyAlignment="1">
      <alignment horizontal="left"/>
    </xf>
    <xf numFmtId="0" fontId="15" fillId="0" borderId="0" xfId="1" applyFont="1" applyAlignment="1">
      <alignment vertical="top" wrapText="1"/>
    </xf>
    <xf numFmtId="0" fontId="15" fillId="0" borderId="3" xfId="1" applyFont="1" applyBorder="1" applyAlignment="1">
      <alignment vertical="top" wrapText="1"/>
    </xf>
    <xf numFmtId="0" fontId="2" fillId="0" borderId="3" xfId="1" applyBorder="1" applyAlignment="1">
      <alignment wrapText="1"/>
    </xf>
    <xf numFmtId="0" fontId="2" fillId="0" borderId="0" xfId="1" applyAlignment="1">
      <alignment wrapText="1"/>
    </xf>
    <xf numFmtId="0" fontId="15" fillId="0" borderId="13" xfId="1" applyFont="1" applyBorder="1" applyAlignment="1">
      <alignment vertical="top" wrapText="1"/>
    </xf>
    <xf numFmtId="49" fontId="15" fillId="0" borderId="14" xfId="1" applyNumberFormat="1" applyFont="1" applyBorder="1" applyAlignment="1">
      <alignment horizontal="left" vertical="top" wrapText="1"/>
    </xf>
    <xf numFmtId="0" fontId="14" fillId="0" borderId="3" xfId="1" applyFont="1" applyBorder="1" applyAlignment="1" applyProtection="1">
      <alignment horizontal="center" wrapText="1"/>
      <protection locked="0"/>
    </xf>
    <xf numFmtId="0" fontId="23" fillId="2" borderId="17" xfId="1" applyFont="1" applyFill="1" applyBorder="1" applyAlignment="1">
      <alignment horizontal="center"/>
    </xf>
    <xf numFmtId="0" fontId="0" fillId="0" borderId="15" xfId="1" applyFont="1" applyBorder="1"/>
    <xf numFmtId="0" fontId="25" fillId="0" borderId="15" xfId="1" applyFont="1" applyBorder="1"/>
    <xf numFmtId="49" fontId="26" fillId="0" borderId="15" xfId="1" applyNumberFormat="1" applyFont="1" applyBorder="1" applyAlignment="1">
      <alignment horizontal="left"/>
    </xf>
    <xf numFmtId="49" fontId="26" fillId="0" borderId="15" xfId="1" applyNumberFormat="1" applyFont="1" applyBorder="1"/>
    <xf numFmtId="0" fontId="1" fillId="0" borderId="15" xfId="1" applyFont="1" applyBorder="1"/>
    <xf numFmtId="49" fontId="27" fillId="0" borderId="15" xfId="1" applyNumberFormat="1" applyFont="1" applyBorder="1"/>
    <xf numFmtId="0" fontId="1" fillId="0" borderId="0" xfId="1" applyFont="1"/>
    <xf numFmtId="0" fontId="0" fillId="0" borderId="18" xfId="1" applyFont="1" applyBorder="1"/>
    <xf numFmtId="0" fontId="0" fillId="0" borderId="19" xfId="1" applyFont="1" applyBorder="1"/>
    <xf numFmtId="0" fontId="28" fillId="0" borderId="0" xfId="0" applyFont="1"/>
    <xf numFmtId="0" fontId="29" fillId="5" borderId="0" xfId="0" applyFont="1" applyFill="1"/>
    <xf numFmtId="0" fontId="0" fillId="6" borderId="0" xfId="0" applyFill="1"/>
    <xf numFmtId="0" fontId="30" fillId="10" borderId="0" xfId="0" applyFont="1" applyFill="1"/>
    <xf numFmtId="0" fontId="0" fillId="5" borderId="0" xfId="0" applyFill="1"/>
    <xf numFmtId="49" fontId="31" fillId="11" borderId="3" xfId="0" applyNumberFormat="1" applyFont="1" applyFill="1" applyBorder="1"/>
    <xf numFmtId="0" fontId="31" fillId="11" borderId="0" xfId="0" applyFont="1" applyFill="1"/>
    <xf numFmtId="49" fontId="23" fillId="0" borderId="3" xfId="0" applyNumberFormat="1" applyFont="1" applyBorder="1"/>
    <xf numFmtId="49" fontId="0" fillId="0" borderId="3" xfId="0" applyNumberFormat="1" applyBorder="1"/>
    <xf numFmtId="0" fontId="32" fillId="0" borderId="0" xfId="0" applyFont="1"/>
    <xf numFmtId="0" fontId="0" fillId="0" borderId="0" xfId="0" applyAlignment="1">
      <alignment wrapText="1"/>
    </xf>
    <xf numFmtId="0" fontId="33" fillId="12" borderId="20" xfId="0" applyFont="1" applyFill="1" applyBorder="1" applyAlignment="1">
      <alignment horizontal="left" vertical="top" wrapText="1"/>
    </xf>
    <xf numFmtId="0" fontId="33" fillId="0" borderId="1" xfId="0" applyFont="1" applyBorder="1" applyAlignment="1">
      <alignment horizontal="left" vertical="top" wrapText="1"/>
    </xf>
    <xf numFmtId="49" fontId="15" fillId="13" borderId="3" xfId="1" applyNumberFormat="1" applyFont="1" applyFill="1" applyBorder="1" applyAlignment="1">
      <alignment vertical="top"/>
    </xf>
    <xf numFmtId="49" fontId="15" fillId="0" borderId="14" xfId="1" applyNumberFormat="1" applyFont="1" applyBorder="1" applyAlignment="1">
      <alignment horizontal="left" vertical="top" wrapText="1" shrinkToFit="1"/>
    </xf>
    <xf numFmtId="0" fontId="0" fillId="0" borderId="0" xfId="0" applyAlignment="1">
      <alignment horizontal="left"/>
    </xf>
    <xf numFmtId="0" fontId="0" fillId="13" borderId="0" xfId="0" applyFill="1"/>
    <xf numFmtId="49" fontId="15" fillId="0" borderId="14" xfId="1" applyNumberFormat="1" applyFont="1" applyBorder="1" applyAlignment="1">
      <alignment vertical="top"/>
    </xf>
    <xf numFmtId="0" fontId="15" fillId="13" borderId="13" xfId="1" applyFont="1" applyFill="1" applyBorder="1" applyAlignment="1">
      <alignment vertical="top"/>
    </xf>
    <xf numFmtId="49" fontId="14" fillId="13" borderId="3" xfId="1" applyNumberFormat="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49" fontId="36" fillId="0" borderId="3" xfId="1" applyNumberFormat="1" applyFont="1" applyBorder="1" applyAlignment="1">
      <alignment vertical="top"/>
    </xf>
    <xf numFmtId="49" fontId="5" fillId="4" borderId="2" xfId="1" applyNumberFormat="1" applyFont="1" applyFill="1" applyBorder="1" applyAlignment="1">
      <alignment horizontal="center" vertical="top"/>
    </xf>
    <xf numFmtId="49" fontId="6" fillId="0" borderId="0" xfId="1" applyNumberFormat="1" applyFont="1" applyAlignment="1">
      <alignment horizontal="center" vertical="top" wrapText="1"/>
    </xf>
    <xf numFmtId="0" fontId="8" fillId="0" borderId="3" xfId="1" applyFont="1" applyBorder="1"/>
    <xf numFmtId="49" fontId="8" fillId="0" borderId="3" xfId="1" applyNumberFormat="1" applyFont="1" applyBorder="1"/>
    <xf numFmtId="14" fontId="8" fillId="0" borderId="3" xfId="1" applyNumberFormat="1" applyFont="1" applyBorder="1"/>
    <xf numFmtId="14" fontId="8" fillId="15" borderId="3" xfId="1" applyNumberFormat="1" applyFont="1" applyFill="1" applyBorder="1"/>
    <xf numFmtId="0" fontId="8" fillId="0" borderId="0" xfId="1" applyFont="1"/>
    <xf numFmtId="0" fontId="8" fillId="0" borderId="3" xfId="1" applyFont="1" applyBorder="1" applyAlignment="1">
      <alignment horizontal="left" vertical="top" wrapText="1"/>
    </xf>
    <xf numFmtId="49" fontId="8" fillId="0" borderId="3" xfId="1" applyNumberFormat="1" applyFont="1" applyBorder="1" applyAlignment="1">
      <alignment horizontal="left"/>
    </xf>
    <xf numFmtId="0" fontId="8" fillId="0" borderId="3" xfId="1" applyFont="1" applyBorder="1" applyAlignment="1">
      <alignment horizontal="left"/>
    </xf>
    <xf numFmtId="0" fontId="8" fillId="16" borderId="0" xfId="1" applyFont="1" applyFill="1"/>
    <xf numFmtId="0" fontId="8" fillId="7" borderId="3" xfId="1" applyFont="1" applyFill="1" applyBorder="1"/>
    <xf numFmtId="49" fontId="8" fillId="7" borderId="3" xfId="1" applyNumberFormat="1" applyFont="1" applyFill="1" applyBorder="1"/>
    <xf numFmtId="0" fontId="8" fillId="6" borderId="3" xfId="1" applyFont="1" applyFill="1" applyBorder="1"/>
    <xf numFmtId="49" fontId="8" fillId="6" borderId="3" xfId="1" applyNumberFormat="1" applyFont="1" applyFill="1" applyBorder="1"/>
    <xf numFmtId="0" fontId="9" fillId="6" borderId="3" xfId="1" applyFont="1" applyFill="1" applyBorder="1"/>
    <xf numFmtId="14" fontId="8" fillId="17" borderId="3" xfId="1" applyNumberFormat="1" applyFont="1" applyFill="1" applyBorder="1"/>
    <xf numFmtId="0" fontId="8" fillId="0" borderId="21" xfId="0" applyFont="1" applyBorder="1" applyAlignment="1">
      <alignment horizontal="left" vertical="top" wrapText="1"/>
    </xf>
    <xf numFmtId="49" fontId="8" fillId="0" borderId="21" xfId="0" applyNumberFormat="1" applyFont="1" applyBorder="1" applyAlignment="1">
      <alignment horizontal="left"/>
    </xf>
    <xf numFmtId="0" fontId="8" fillId="0" borderId="21" xfId="0" applyFont="1" applyBorder="1" applyAlignment="1">
      <alignment horizontal="left"/>
    </xf>
    <xf numFmtId="14" fontId="8" fillId="0" borderId="21" xfId="0" applyNumberFormat="1" applyFont="1" applyBorder="1"/>
    <xf numFmtId="0" fontId="8" fillId="0" borderId="0" xfId="0" applyFont="1"/>
    <xf numFmtId="0" fontId="14" fillId="0" borderId="21" xfId="1" applyFont="1" applyBorder="1" applyAlignment="1" applyProtection="1">
      <alignment horizontal="center"/>
      <protection locked="0"/>
    </xf>
    <xf numFmtId="49" fontId="15" fillId="0" borderId="21" xfId="1" applyNumberFormat="1" applyFont="1" applyBorder="1" applyAlignment="1">
      <alignment vertical="top"/>
    </xf>
    <xf numFmtId="0" fontId="0" fillId="0" borderId="21" xfId="1" applyFont="1" applyBorder="1"/>
    <xf numFmtId="49" fontId="15" fillId="0" borderId="21" xfId="1" applyNumberFormat="1" applyFont="1" applyBorder="1" applyAlignment="1">
      <alignment vertical="top" wrapText="1"/>
    </xf>
    <xf numFmtId="14" fontId="8" fillId="13" borderId="3" xfId="1" applyNumberFormat="1" applyFont="1" applyFill="1" applyBorder="1"/>
    <xf numFmtId="0" fontId="2" fillId="0" borderId="21" xfId="1" applyBorder="1"/>
    <xf numFmtId="0" fontId="0" fillId="0" borderId="0" xfId="0" applyAlignment="1">
      <alignment horizontal="center"/>
    </xf>
    <xf numFmtId="0" fontId="38" fillId="0" borderId="0" xfId="0" applyFont="1"/>
    <xf numFmtId="165" fontId="39" fillId="0" borderId="0" xfId="3"/>
    <xf numFmtId="0" fontId="37" fillId="18" borderId="0" xfId="2" applyAlignment="1">
      <alignment horizontal="center"/>
    </xf>
    <xf numFmtId="49" fontId="15" fillId="0" borderId="21" xfId="1" applyNumberFormat="1" applyFont="1" applyBorder="1" applyAlignment="1">
      <alignment horizontal="left" vertical="top"/>
    </xf>
    <xf numFmtId="49" fontId="14" fillId="0" borderId="9" xfId="1" applyNumberFormat="1" applyFont="1" applyBorder="1" applyAlignment="1" applyProtection="1">
      <alignment horizontal="center"/>
      <protection locked="0"/>
    </xf>
    <xf numFmtId="49" fontId="14" fillId="0" borderId="3" xfId="1" applyNumberFormat="1" applyFont="1" applyBorder="1" applyAlignment="1" applyProtection="1">
      <alignment horizontal="center" wrapText="1"/>
      <protection locked="0"/>
    </xf>
    <xf numFmtId="0" fontId="14" fillId="0" borderId="10" xfId="1" applyFont="1" applyBorder="1" applyAlignment="1" applyProtection="1">
      <alignment wrapText="1"/>
      <protection locked="0"/>
    </xf>
    <xf numFmtId="0" fontId="15" fillId="0" borderId="12" xfId="1" applyFont="1" applyBorder="1" applyAlignment="1">
      <alignment vertical="top"/>
    </xf>
    <xf numFmtId="49" fontId="15" fillId="6" borderId="3" xfId="1" applyNumberFormat="1" applyFont="1" applyFill="1" applyBorder="1" applyAlignment="1">
      <alignment horizontal="left" vertical="top"/>
    </xf>
    <xf numFmtId="49" fontId="15" fillId="6" borderId="10" xfId="1" applyNumberFormat="1" applyFont="1" applyFill="1" applyBorder="1" applyAlignment="1">
      <alignment vertical="top"/>
    </xf>
    <xf numFmtId="49" fontId="15" fillId="13" borderId="3" xfId="1" applyNumberFormat="1" applyFont="1" applyFill="1" applyBorder="1" applyAlignment="1">
      <alignment horizontal="left" vertical="top"/>
    </xf>
    <xf numFmtId="0" fontId="2" fillId="0" borderId="14" xfId="1" applyBorder="1"/>
    <xf numFmtId="0" fontId="0" fillId="0" borderId="14" xfId="1" applyFont="1" applyBorder="1"/>
    <xf numFmtId="0" fontId="14" fillId="9" borderId="21" xfId="1" applyFont="1" applyFill="1" applyBorder="1" applyAlignment="1" applyProtection="1">
      <alignment horizontal="center"/>
      <protection locked="0"/>
    </xf>
    <xf numFmtId="49" fontId="15" fillId="6" borderId="14" xfId="1" applyNumberFormat="1" applyFont="1" applyFill="1" applyBorder="1" applyAlignment="1">
      <alignment vertical="top"/>
    </xf>
    <xf numFmtId="49" fontId="17" fillId="0" borderId="3" xfId="1" applyNumberFormat="1" applyFont="1" applyBorder="1" applyAlignment="1">
      <alignment horizontal="left" vertical="top"/>
    </xf>
    <xf numFmtId="0" fontId="14" fillId="0" borderId="21" xfId="0" applyFont="1" applyBorder="1" applyAlignment="1" applyProtection="1">
      <alignment horizontal="center"/>
      <protection locked="0"/>
    </xf>
    <xf numFmtId="0" fontId="0" fillId="0" borderId="0" xfId="0" applyAlignment="1">
      <alignment shrinkToFit="1"/>
    </xf>
    <xf numFmtId="49" fontId="40" fillId="0" borderId="14" xfId="1" applyNumberFormat="1" applyFont="1" applyBorder="1" applyAlignment="1">
      <alignment horizontal="left" vertical="top"/>
    </xf>
    <xf numFmtId="49" fontId="36" fillId="0" borderId="3" xfId="1" applyNumberFormat="1" applyFont="1" applyBorder="1" applyAlignment="1">
      <alignment horizontal="left" vertical="top"/>
    </xf>
    <xf numFmtId="49" fontId="40" fillId="13" borderId="14" xfId="1" applyNumberFormat="1" applyFont="1" applyFill="1" applyBorder="1" applyAlignment="1">
      <alignment horizontal="left" vertical="top"/>
    </xf>
    <xf numFmtId="49" fontId="36" fillId="0" borderId="14" xfId="1" applyNumberFormat="1" applyFont="1" applyBorder="1" applyAlignment="1">
      <alignment horizontal="left" vertical="top"/>
    </xf>
    <xf numFmtId="49" fontId="40" fillId="0" borderId="3" xfId="1" applyNumberFormat="1" applyFont="1" applyBorder="1" applyAlignment="1">
      <alignment horizontal="left" vertical="top"/>
    </xf>
    <xf numFmtId="0" fontId="0" fillId="0" borderId="0" xfId="0" applyAlignment="1">
      <alignment wrapText="1" shrinkToFit="1"/>
    </xf>
    <xf numFmtId="49" fontId="0" fillId="0" borderId="0" xfId="0" applyNumberFormat="1"/>
    <xf numFmtId="49" fontId="0" fillId="0" borderId="0" xfId="0" applyNumberFormat="1" applyAlignment="1">
      <alignment horizontal="center"/>
    </xf>
    <xf numFmtId="0" fontId="0" fillId="0" borderId="22" xfId="0" applyBorder="1"/>
    <xf numFmtId="49" fontId="0" fillId="0" borderId="22" xfId="0" applyNumberFormat="1" applyBorder="1"/>
    <xf numFmtId="49" fontId="0" fillId="0" borderId="22" xfId="0" applyNumberFormat="1" applyBorder="1" applyAlignment="1">
      <alignment horizontal="center"/>
    </xf>
    <xf numFmtId="0" fontId="0" fillId="0" borderId="22" xfId="0" applyBorder="1" applyAlignment="1">
      <alignment horizontal="center"/>
    </xf>
    <xf numFmtId="0" fontId="0" fillId="0" borderId="23" xfId="0" applyBorder="1"/>
    <xf numFmtId="0" fontId="0" fillId="0" borderId="24" xfId="0" applyBorder="1"/>
    <xf numFmtId="49" fontId="0" fillId="0" borderId="24" xfId="0" applyNumberFormat="1" applyBorder="1"/>
    <xf numFmtId="49" fontId="0" fillId="0" borderId="25" xfId="0" applyNumberFormat="1" applyBorder="1" applyAlignment="1">
      <alignment horizontal="center"/>
    </xf>
    <xf numFmtId="0" fontId="0" fillId="0" borderId="24" xfId="0" applyBorder="1" applyAlignment="1">
      <alignment horizontal="center"/>
    </xf>
    <xf numFmtId="0" fontId="42" fillId="0" borderId="26" xfId="0" applyFont="1" applyBorder="1"/>
    <xf numFmtId="0" fontId="0" fillId="0" borderId="27" xfId="0" applyBorder="1"/>
    <xf numFmtId="49" fontId="0" fillId="0" borderId="27" xfId="0" applyNumberFormat="1" applyBorder="1"/>
    <xf numFmtId="0" fontId="0" fillId="0" borderId="27" xfId="0" applyBorder="1" applyAlignment="1">
      <alignment horizontal="center"/>
    </xf>
    <xf numFmtId="0" fontId="43" fillId="0" borderId="27" xfId="4" applyFont="1" applyBorder="1" applyAlignment="1" applyProtection="1">
      <alignment horizontal="center"/>
    </xf>
    <xf numFmtId="0" fontId="0" fillId="0" borderId="26" xfId="0" applyBorder="1"/>
    <xf numFmtId="0" fontId="0" fillId="0" borderId="28" xfId="0" applyBorder="1"/>
    <xf numFmtId="0" fontId="0" fillId="0" borderId="29" xfId="0" applyBorder="1"/>
    <xf numFmtId="49" fontId="0" fillId="0" borderId="29" xfId="0" applyNumberFormat="1" applyBorder="1"/>
    <xf numFmtId="0" fontId="0" fillId="0" borderId="29" xfId="0" applyBorder="1" applyAlignment="1">
      <alignment horizontal="center"/>
    </xf>
    <xf numFmtId="49" fontId="0" fillId="0" borderId="24" xfId="0" applyNumberFormat="1" applyBorder="1" applyAlignment="1">
      <alignment horizontal="center"/>
    </xf>
    <xf numFmtId="49" fontId="0" fillId="0" borderId="27" xfId="0" applyNumberFormat="1" applyBorder="1" applyAlignment="1">
      <alignment horizontal="center"/>
    </xf>
    <xf numFmtId="49" fontId="0" fillId="0" borderId="29" xfId="0" applyNumberFormat="1" applyBorder="1" applyAlignment="1">
      <alignment horizontal="center"/>
    </xf>
    <xf numFmtId="0" fontId="42" fillId="0" borderId="27" xfId="0" applyFont="1" applyBorder="1"/>
    <xf numFmtId="49" fontId="0" fillId="0" borderId="30" xfId="0" applyNumberFormat="1" applyBorder="1"/>
    <xf numFmtId="49" fontId="0" fillId="0" borderId="30" xfId="0" applyNumberFormat="1" applyBorder="1" applyAlignment="1">
      <alignment horizontal="center"/>
    </xf>
    <xf numFmtId="0" fontId="0" fillId="0" borderId="30" xfId="0" applyBorder="1" applyAlignment="1">
      <alignment horizontal="center"/>
    </xf>
    <xf numFmtId="0" fontId="42" fillId="0" borderId="0" xfId="0" applyFont="1"/>
    <xf numFmtId="49" fontId="0" fillId="0" borderId="31" xfId="0" applyNumberFormat="1" applyBorder="1"/>
    <xf numFmtId="49" fontId="0" fillId="0" borderId="31" xfId="0" applyNumberFormat="1" applyBorder="1" applyAlignment="1">
      <alignment horizontal="center"/>
    </xf>
    <xf numFmtId="0" fontId="0" fillId="0" borderId="31" xfId="0" applyBorder="1" applyAlignment="1">
      <alignment horizontal="center"/>
    </xf>
    <xf numFmtId="0" fontId="43" fillId="0" borderId="31" xfId="4" applyFont="1" applyBorder="1" applyAlignment="1" applyProtection="1">
      <alignment horizontal="center"/>
    </xf>
    <xf numFmtId="49" fontId="0" fillId="0" borderId="32" xfId="0" applyNumberFormat="1" applyBorder="1"/>
    <xf numFmtId="49" fontId="0" fillId="0" borderId="32" xfId="0" applyNumberFormat="1" applyBorder="1" applyAlignment="1">
      <alignment horizontal="center"/>
    </xf>
    <xf numFmtId="0" fontId="0" fillId="0" borderId="32" xfId="0" applyBorder="1" applyAlignment="1">
      <alignment horizontal="center"/>
    </xf>
    <xf numFmtId="0" fontId="43" fillId="0" borderId="0" xfId="4" applyFont="1" applyAlignment="1" applyProtection="1">
      <alignment horizontal="center"/>
    </xf>
    <xf numFmtId="0" fontId="0" fillId="0" borderId="30" xfId="0" applyBorder="1"/>
    <xf numFmtId="0" fontId="0" fillId="0" borderId="31" xfId="0" applyBorder="1"/>
    <xf numFmtId="0" fontId="44" fillId="0" borderId="31" xfId="0" applyFont="1" applyBorder="1" applyAlignment="1">
      <alignment horizontal="center"/>
    </xf>
    <xf numFmtId="0" fontId="0" fillId="0" borderId="32" xfId="0" applyBorder="1"/>
    <xf numFmtId="49" fontId="0" fillId="0" borderId="33" xfId="0" applyNumberFormat="1" applyBorder="1" applyAlignment="1">
      <alignment horizontal="center"/>
    </xf>
    <xf numFmtId="0" fontId="43" fillId="0" borderId="33" xfId="4" applyFont="1" applyBorder="1" applyAlignment="1" applyProtection="1">
      <alignment horizontal="center"/>
    </xf>
    <xf numFmtId="0" fontId="43" fillId="0" borderId="24" xfId="4" applyFont="1" applyBorder="1" applyAlignment="1" applyProtection="1">
      <alignment horizontal="center"/>
    </xf>
    <xf numFmtId="0" fontId="43" fillId="0" borderId="29" xfId="4" applyFont="1" applyBorder="1" applyAlignment="1" applyProtection="1">
      <alignment horizontal="center"/>
    </xf>
    <xf numFmtId="0" fontId="42" fillId="0" borderId="29" xfId="0" applyFont="1" applyBorder="1"/>
    <xf numFmtId="0" fontId="43" fillId="0" borderId="32" xfId="4" applyFont="1" applyBorder="1" applyAlignment="1" applyProtection="1">
      <alignment horizontal="center"/>
    </xf>
    <xf numFmtId="49" fontId="43" fillId="0" borderId="32" xfId="4" applyNumberFormat="1" applyFont="1" applyBorder="1" applyAlignment="1" applyProtection="1">
      <alignment horizontal="center"/>
    </xf>
    <xf numFmtId="49" fontId="43" fillId="0" borderId="31" xfId="4" applyNumberFormat="1" applyFont="1" applyBorder="1" applyAlignment="1" applyProtection="1">
      <alignment horizontal="center"/>
    </xf>
    <xf numFmtId="0" fontId="45" fillId="0" borderId="31" xfId="4" applyFont="1" applyBorder="1" applyAlignment="1" applyProtection="1">
      <alignment horizontal="center"/>
    </xf>
    <xf numFmtId="49" fontId="45" fillId="0" borderId="31" xfId="4" applyNumberFormat="1" applyFont="1" applyBorder="1" applyAlignment="1" applyProtection="1">
      <alignment horizontal="center"/>
    </xf>
    <xf numFmtId="49" fontId="43" fillId="0" borderId="29" xfId="4" applyNumberFormat="1" applyFont="1" applyBorder="1" applyAlignment="1" applyProtection="1">
      <alignment horizontal="center"/>
    </xf>
    <xf numFmtId="49" fontId="46" fillId="0" borderId="31" xfId="4" applyNumberFormat="1" applyFont="1" applyBorder="1" applyAlignment="1" applyProtection="1">
      <alignment horizontal="center"/>
    </xf>
    <xf numFmtId="49" fontId="43" fillId="0" borderId="27" xfId="4" applyNumberFormat="1" applyFont="1" applyBorder="1" applyAlignment="1" applyProtection="1">
      <alignment horizontal="center"/>
    </xf>
    <xf numFmtId="49" fontId="45" fillId="0" borderId="27" xfId="4" applyNumberFormat="1" applyFont="1" applyBorder="1" applyAlignment="1" applyProtection="1">
      <alignment horizontal="center"/>
    </xf>
    <xf numFmtId="0" fontId="47" fillId="0" borderId="27" xfId="0" applyFont="1" applyBorder="1"/>
    <xf numFmtId="49" fontId="47" fillId="0" borderId="27" xfId="0" applyNumberFormat="1" applyFont="1" applyBorder="1"/>
    <xf numFmtId="0" fontId="47" fillId="0" borderId="29" xfId="0" applyFont="1" applyBorder="1"/>
    <xf numFmtId="49" fontId="0" fillId="0" borderId="34" xfId="0" applyNumberFormat="1" applyBorder="1"/>
    <xf numFmtId="0" fontId="43" fillId="0" borderId="35" xfId="4" applyFont="1" applyBorder="1" applyAlignment="1" applyProtection="1"/>
    <xf numFmtId="49" fontId="43" fillId="0" borderId="0" xfId="4" applyNumberFormat="1" applyFont="1" applyAlignment="1" applyProtection="1">
      <alignment horizontal="center"/>
    </xf>
    <xf numFmtId="0" fontId="43" fillId="0" borderId="0" xfId="4" applyFont="1" applyAlignment="1" applyProtection="1"/>
    <xf numFmtId="0" fontId="14" fillId="0" borderId="3" xfId="1" applyFont="1" applyBorder="1" applyAlignment="1" applyProtection="1">
      <alignment horizontal="center" shrinkToFit="1"/>
      <protection locked="0"/>
    </xf>
    <xf numFmtId="14" fontId="8" fillId="19" borderId="0" xfId="1" applyNumberFormat="1" applyFont="1" applyFill="1"/>
    <xf numFmtId="0" fontId="8" fillId="19" borderId="0" xfId="1" applyFont="1" applyFill="1"/>
    <xf numFmtId="14" fontId="8" fillId="5" borderId="3" xfId="1" applyNumberFormat="1" applyFont="1" applyFill="1" applyBorder="1"/>
    <xf numFmtId="0" fontId="39" fillId="0" borderId="3" xfId="0" applyFont="1" applyBorder="1"/>
    <xf numFmtId="14" fontId="8" fillId="6" borderId="3" xfId="1" applyNumberFormat="1" applyFont="1" applyFill="1" applyBorder="1"/>
    <xf numFmtId="14" fontId="8" fillId="13" borderId="0" xfId="1" applyNumberFormat="1" applyFont="1" applyFill="1"/>
    <xf numFmtId="0" fontId="52" fillId="0" borderId="0" xfId="1" applyFont="1"/>
    <xf numFmtId="0" fontId="52" fillId="0" borderId="3" xfId="1" applyFont="1" applyBorder="1" applyAlignment="1" applyProtection="1">
      <alignment horizontal="center"/>
      <protection locked="0"/>
    </xf>
    <xf numFmtId="0" fontId="52" fillId="0" borderId="10" xfId="1" applyFont="1" applyBorder="1" applyAlignment="1" applyProtection="1">
      <alignment wrapText="1"/>
      <protection locked="0"/>
    </xf>
    <xf numFmtId="0" fontId="53" fillId="0" borderId="13" xfId="1" applyFont="1" applyBorder="1" applyAlignment="1">
      <alignment vertical="top"/>
    </xf>
    <xf numFmtId="49" fontId="53" fillId="0" borderId="3" xfId="1" applyNumberFormat="1" applyFont="1" applyBorder="1" applyAlignment="1">
      <alignment vertical="top"/>
    </xf>
    <xf numFmtId="49" fontId="53" fillId="0" borderId="14" xfId="1" applyNumberFormat="1" applyFont="1" applyBorder="1" applyAlignment="1">
      <alignment horizontal="left" vertical="top"/>
    </xf>
    <xf numFmtId="49" fontId="53" fillId="0" borderId="3" xfId="1" applyNumberFormat="1" applyFont="1" applyBorder="1" applyAlignment="1">
      <alignment vertical="top" wrapText="1"/>
    </xf>
    <xf numFmtId="0" fontId="52" fillId="0" borderId="0" xfId="0" applyFont="1"/>
    <xf numFmtId="0" fontId="14" fillId="0" borderId="10" xfId="1" applyFont="1" applyBorder="1" applyAlignment="1" applyProtection="1">
      <alignment shrinkToFit="1"/>
      <protection locked="0"/>
    </xf>
    <xf numFmtId="49" fontId="5" fillId="5" borderId="6" xfId="1" applyNumberFormat="1" applyFont="1" applyFill="1" applyBorder="1" applyAlignment="1">
      <alignment horizontal="center" vertical="top" shrinkToFit="1" readingOrder="1"/>
    </xf>
    <xf numFmtId="0" fontId="14" fillId="0" borderId="10" xfId="1" applyFont="1" applyBorder="1" applyAlignment="1" applyProtection="1">
      <alignment horizontal="center" shrinkToFit="1" readingOrder="1"/>
      <protection locked="0"/>
    </xf>
    <xf numFmtId="0" fontId="2" fillId="0" borderId="0" xfId="1" applyAlignment="1">
      <alignment shrinkToFit="1" readingOrder="1"/>
    </xf>
    <xf numFmtId="0" fontId="54" fillId="0" borderId="3" xfId="1" applyFont="1" applyBorder="1"/>
    <xf numFmtId="49" fontId="54" fillId="0" borderId="3" xfId="1" applyNumberFormat="1" applyFont="1" applyBorder="1"/>
    <xf numFmtId="14" fontId="54" fillId="0" borderId="3" xfId="1" applyNumberFormat="1" applyFont="1" applyBorder="1"/>
    <xf numFmtId="14" fontId="54" fillId="14" borderId="3" xfId="1" applyNumberFormat="1" applyFont="1" applyFill="1" applyBorder="1"/>
    <xf numFmtId="14" fontId="54" fillId="19" borderId="0" xfId="1" applyNumberFormat="1" applyFont="1" applyFill="1"/>
    <xf numFmtId="49" fontId="14" fillId="0" borderId="11" xfId="1" applyNumberFormat="1" applyFont="1" applyBorder="1" applyAlignment="1" applyProtection="1">
      <alignment wrapText="1"/>
      <protection locked="0"/>
    </xf>
    <xf numFmtId="1" fontId="14" fillId="0" borderId="11" xfId="1" applyNumberFormat="1" applyFont="1" applyBorder="1" applyAlignment="1" applyProtection="1">
      <alignment wrapText="1"/>
      <protection locked="0"/>
    </xf>
    <xf numFmtId="1" fontId="52" fillId="0" borderId="11" xfId="1" applyNumberFormat="1" applyFont="1" applyBorder="1" applyAlignment="1" applyProtection="1">
      <alignment wrapText="1"/>
      <protection locked="0"/>
    </xf>
    <xf numFmtId="14" fontId="10" fillId="20" borderId="3" xfId="1" applyNumberFormat="1" applyFont="1" applyFill="1" applyBorder="1"/>
    <xf numFmtId="49" fontId="18" fillId="0" borderId="21" xfId="1" applyNumberFormat="1" applyFont="1" applyBorder="1" applyAlignment="1">
      <alignment vertical="top"/>
    </xf>
    <xf numFmtId="49" fontId="36" fillId="0" borderId="21" xfId="1" applyNumberFormat="1" applyFont="1" applyBorder="1" applyAlignment="1">
      <alignment vertical="top"/>
    </xf>
    <xf numFmtId="0" fontId="8" fillId="0" borderId="21" xfId="1" applyFont="1" applyBorder="1"/>
    <xf numFmtId="49" fontId="8" fillId="0" borderId="21" xfId="1" applyNumberFormat="1" applyFont="1" applyBorder="1"/>
    <xf numFmtId="14" fontId="8" fillId="0" borderId="21" xfId="1" applyNumberFormat="1" applyFont="1" applyBorder="1"/>
    <xf numFmtId="0" fontId="41" fillId="0" borderId="10" xfId="4" applyBorder="1" applyAlignment="1" applyProtection="1">
      <alignment horizontal="center" shrinkToFit="1" readingOrder="1"/>
      <protection locked="0"/>
    </xf>
    <xf numFmtId="0" fontId="41" fillId="0" borderId="10" xfId="4" applyBorder="1" applyAlignment="1" applyProtection="1">
      <alignment horizontal="left" wrapText="1"/>
      <protection locked="0"/>
    </xf>
    <xf numFmtId="0" fontId="41" fillId="0" borderId="3" xfId="4" applyBorder="1" applyAlignment="1" applyProtection="1"/>
    <xf numFmtId="0" fontId="41" fillId="0" borderId="0" xfId="4" applyAlignment="1" applyProtection="1"/>
    <xf numFmtId="49" fontId="15" fillId="16" borderId="3" xfId="1" applyNumberFormat="1" applyFont="1" applyFill="1" applyBorder="1" applyAlignment="1">
      <alignment vertical="top"/>
    </xf>
    <xf numFmtId="49" fontId="15" fillId="16" borderId="3" xfId="1" applyNumberFormat="1" applyFont="1" applyFill="1" applyBorder="1" applyAlignment="1">
      <alignment horizontal="left" vertical="top"/>
    </xf>
    <xf numFmtId="49" fontId="0" fillId="13" borderId="27" xfId="0" applyNumberFormat="1" applyFill="1" applyBorder="1" applyAlignment="1">
      <alignment horizontal="center"/>
    </xf>
    <xf numFmtId="0" fontId="56" fillId="0" borderId="3" xfId="1" applyFont="1" applyBorder="1"/>
    <xf numFmtId="49" fontId="56" fillId="0" borderId="3" xfId="1" applyNumberFormat="1" applyFont="1" applyBorder="1"/>
    <xf numFmtId="14" fontId="56" fillId="0" borderId="3" xfId="1" applyNumberFormat="1" applyFont="1" applyBorder="1"/>
    <xf numFmtId="14" fontId="56" fillId="0" borderId="0" xfId="1" applyNumberFormat="1" applyFont="1"/>
    <xf numFmtId="0" fontId="56" fillId="0" borderId="0" xfId="1" applyFont="1"/>
    <xf numFmtId="0" fontId="41" fillId="0" borderId="3" xfId="4" applyBorder="1" applyAlignment="1" applyProtection="1">
      <alignment horizontal="center"/>
      <protection locked="0"/>
    </xf>
    <xf numFmtId="14" fontId="8" fillId="5" borderId="0" xfId="1" applyNumberFormat="1" applyFont="1" applyFill="1"/>
    <xf numFmtId="0" fontId="57" fillId="0" borderId="3" xfId="1" applyFont="1" applyBorder="1"/>
    <xf numFmtId="49" fontId="57" fillId="0" borderId="3" xfId="1" applyNumberFormat="1" applyFont="1" applyBorder="1"/>
    <xf numFmtId="14" fontId="57" fillId="0" borderId="3" xfId="1" applyNumberFormat="1" applyFont="1" applyBorder="1"/>
    <xf numFmtId="14" fontId="57" fillId="21" borderId="3" xfId="1" applyNumberFormat="1" applyFont="1" applyFill="1" applyBorder="1"/>
    <xf numFmtId="14" fontId="57" fillId="19" borderId="0" xfId="1" applyNumberFormat="1" applyFont="1" applyFill="1"/>
    <xf numFmtId="0" fontId="59" fillId="0" borderId="3" xfId="1" applyFont="1" applyBorder="1" applyAlignment="1" applyProtection="1">
      <alignment horizontal="center"/>
      <protection locked="0"/>
    </xf>
    <xf numFmtId="0" fontId="59" fillId="0" borderId="10" xfId="1" applyFont="1" applyBorder="1" applyAlignment="1" applyProtection="1">
      <alignment wrapText="1"/>
      <protection locked="0"/>
    </xf>
    <xf numFmtId="1" fontId="59" fillId="0" borderId="11" xfId="1" applyNumberFormat="1" applyFont="1" applyBorder="1" applyAlignment="1" applyProtection="1">
      <alignment wrapText="1"/>
      <protection locked="0"/>
    </xf>
    <xf numFmtId="0" fontId="60" fillId="0" borderId="13" xfId="1" applyFont="1" applyBorder="1" applyAlignment="1">
      <alignment vertical="top"/>
    </xf>
    <xf numFmtId="49" fontId="60" fillId="0" borderId="3" xfId="1" applyNumberFormat="1" applyFont="1" applyBorder="1" applyAlignment="1">
      <alignment vertical="top"/>
    </xf>
    <xf numFmtId="49" fontId="60" fillId="0" borderId="14" xfId="1" applyNumberFormat="1" applyFont="1" applyBorder="1" applyAlignment="1">
      <alignment horizontal="left" vertical="top"/>
    </xf>
    <xf numFmtId="0" fontId="58" fillId="0" borderId="3" xfId="1" applyFont="1" applyBorder="1"/>
    <xf numFmtId="0" fontId="58" fillId="0" borderId="0" xfId="1" applyFont="1"/>
    <xf numFmtId="0" fontId="61" fillId="0" borderId="0" xfId="0" applyFont="1"/>
    <xf numFmtId="14" fontId="8" fillId="5" borderId="21" xfId="1" applyNumberFormat="1" applyFont="1" applyFill="1" applyBorder="1"/>
    <xf numFmtId="0" fontId="63" fillId="0" borderId="0" xfId="0" applyFont="1"/>
    <xf numFmtId="0" fontId="39" fillId="0" borderId="0" xfId="0" applyFont="1" applyAlignment="1">
      <alignment horizontal="center"/>
    </xf>
    <xf numFmtId="49" fontId="64" fillId="0" borderId="3" xfId="4" applyNumberFormat="1" applyFont="1" applyBorder="1" applyAlignment="1" applyProtection="1"/>
    <xf numFmtId="0" fontId="41" fillId="0" borderId="15" xfId="4" applyBorder="1" applyAlignment="1" applyProtection="1"/>
    <xf numFmtId="49" fontId="15" fillId="0" borderId="0" xfId="1" applyNumberFormat="1" applyFont="1" applyAlignment="1">
      <alignment horizontal="left" vertical="top"/>
    </xf>
    <xf numFmtId="14" fontId="8" fillId="5" borderId="3" xfId="1" applyNumberFormat="1" applyFont="1" applyFill="1" applyBorder="1" applyAlignment="1">
      <alignment horizontal="right"/>
    </xf>
    <xf numFmtId="0" fontId="2" fillId="0" borderId="21" xfId="1" applyBorder="1" applyAlignment="1">
      <alignment horizontal="center"/>
    </xf>
    <xf numFmtId="49" fontId="15" fillId="6" borderId="21" xfId="1" applyNumberFormat="1" applyFont="1" applyFill="1" applyBorder="1" applyAlignment="1">
      <alignment horizontal="left" vertical="top"/>
    </xf>
    <xf numFmtId="0" fontId="23" fillId="0" borderId="15" xfId="1" applyFont="1" applyBorder="1"/>
    <xf numFmtId="0" fontId="24" fillId="2" borderId="16" xfId="1" applyFont="1" applyFill="1" applyBorder="1"/>
  </cellXfs>
  <cellStyles count="5">
    <cellStyle name="Erklärender Text" xfId="1" builtinId="53" customBuiltin="1"/>
    <cellStyle name="Excel Built-in Normal" xfId="3" xr:uid="{00000000-0005-0000-0000-000001000000}"/>
    <cellStyle name="Gut" xfId="2" builtinId="26"/>
    <cellStyle name="Link" xfId="4" builtinId="8"/>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BFBFBF"/>
      <rgbColor rgb="FF808080"/>
      <rgbColor rgb="FFA6A6A6"/>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70C0"/>
      <rgbColor rgb="FF0000FF"/>
      <rgbColor rgb="FF00CCFF"/>
      <rgbColor rgb="FFF0F0F0"/>
      <rgbColor rgb="FFCCFFCC"/>
      <rgbColor rgb="FFF2F2F2"/>
      <rgbColor rgb="FF8EB4E3"/>
      <rgbColor rgb="FFDDDDDD"/>
      <rgbColor rgb="FFA0A0A0"/>
      <rgbColor rgb="FFFFCCCC"/>
      <rgbColor rgb="FF558ED5"/>
      <rgbColor rgb="FF33CCCC"/>
      <rgbColor rgb="FF92D050"/>
      <rgbColor rgb="FFFFCC00"/>
      <rgbColor rgb="FFFF9900"/>
      <rgbColor rgb="FFFF6600"/>
      <rgbColor rgb="FF7F7F7F"/>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247650</xdr:colOff>
      <xdr:row>43</xdr:row>
      <xdr:rowOff>123825</xdr:rowOff>
    </xdr:to>
    <xdr:sp macro="" textlink="">
      <xdr:nvSpPr>
        <xdr:cNvPr id="2108" name="shapetype_202" hidden="1">
          <a:extLst>
            <a:ext uri="{FF2B5EF4-FFF2-40B4-BE49-F238E27FC236}">
              <a16:creationId xmlns:a16="http://schemas.microsoft.com/office/drawing/2014/main" id="{80F17135-2950-4782-A0AE-CA0AD853951F}"/>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106" name="Text Box 58" hidden="1">
          <a:extLst>
            <a:ext uri="{FF2B5EF4-FFF2-40B4-BE49-F238E27FC236}">
              <a16:creationId xmlns:a16="http://schemas.microsoft.com/office/drawing/2014/main" id="{EF46ED94-923E-40D5-9335-DFB2F245B38D}"/>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104" name="Text Box 56" hidden="1">
          <a:extLst>
            <a:ext uri="{FF2B5EF4-FFF2-40B4-BE49-F238E27FC236}">
              <a16:creationId xmlns:a16="http://schemas.microsoft.com/office/drawing/2014/main" id="{B5CE4562-2CBF-43B2-BA46-54F263E8FCB4}"/>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102" name="Text Box 54" hidden="1">
          <a:extLst>
            <a:ext uri="{FF2B5EF4-FFF2-40B4-BE49-F238E27FC236}">
              <a16:creationId xmlns:a16="http://schemas.microsoft.com/office/drawing/2014/main" id="{A6960FE7-DC44-402F-AEDB-BC6F4E10CF12}"/>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100" name="Text Box 52" hidden="1">
          <a:extLst>
            <a:ext uri="{FF2B5EF4-FFF2-40B4-BE49-F238E27FC236}">
              <a16:creationId xmlns:a16="http://schemas.microsoft.com/office/drawing/2014/main" id="{38848DC5-BC9F-469D-A260-6F47BB5711E6}"/>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98" name="Text Box 50" hidden="1">
          <a:extLst>
            <a:ext uri="{FF2B5EF4-FFF2-40B4-BE49-F238E27FC236}">
              <a16:creationId xmlns:a16="http://schemas.microsoft.com/office/drawing/2014/main" id="{98446D45-574B-42B9-B814-7BB0219D9F15}"/>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96" name="Text Box 48" hidden="1">
          <a:extLst>
            <a:ext uri="{FF2B5EF4-FFF2-40B4-BE49-F238E27FC236}">
              <a16:creationId xmlns:a16="http://schemas.microsoft.com/office/drawing/2014/main" id="{7547F625-7F0D-4C15-9BB8-3B3FC6F3D1C4}"/>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94" name="Text Box 46" hidden="1">
          <a:extLst>
            <a:ext uri="{FF2B5EF4-FFF2-40B4-BE49-F238E27FC236}">
              <a16:creationId xmlns:a16="http://schemas.microsoft.com/office/drawing/2014/main" id="{CF6C95F7-57FA-4A04-874D-FECE1893DE78}"/>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92" name="Text Box 44" hidden="1">
          <a:extLst>
            <a:ext uri="{FF2B5EF4-FFF2-40B4-BE49-F238E27FC236}">
              <a16:creationId xmlns:a16="http://schemas.microsoft.com/office/drawing/2014/main" id="{70B1A1B0-9D2C-408A-8757-EBFF4185B50B}"/>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90" name="Text Box 42" hidden="1">
          <a:extLst>
            <a:ext uri="{FF2B5EF4-FFF2-40B4-BE49-F238E27FC236}">
              <a16:creationId xmlns:a16="http://schemas.microsoft.com/office/drawing/2014/main" id="{70207384-C978-42D1-BAA4-493062E67175}"/>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88" name="Text Box 40" hidden="1">
          <a:extLst>
            <a:ext uri="{FF2B5EF4-FFF2-40B4-BE49-F238E27FC236}">
              <a16:creationId xmlns:a16="http://schemas.microsoft.com/office/drawing/2014/main" id="{9DA8D0C6-A2DF-469A-AAFD-5FA82608B36C}"/>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86" name="Text Box 38" hidden="1">
          <a:extLst>
            <a:ext uri="{FF2B5EF4-FFF2-40B4-BE49-F238E27FC236}">
              <a16:creationId xmlns:a16="http://schemas.microsoft.com/office/drawing/2014/main" id="{D10412BD-7544-4103-8EB6-D1040040A18F}"/>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84" name="Text Box 36" hidden="1">
          <a:extLst>
            <a:ext uri="{FF2B5EF4-FFF2-40B4-BE49-F238E27FC236}">
              <a16:creationId xmlns:a16="http://schemas.microsoft.com/office/drawing/2014/main" id="{03A000DB-0BD4-4310-AAE9-2CFC0DD37677}"/>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82" name="Text Box 34" hidden="1">
          <a:extLst>
            <a:ext uri="{FF2B5EF4-FFF2-40B4-BE49-F238E27FC236}">
              <a16:creationId xmlns:a16="http://schemas.microsoft.com/office/drawing/2014/main" id="{29FA15EF-774B-4D9A-9828-6E9D5833F2D8}"/>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80" name="Text Box 32" hidden="1">
          <a:extLst>
            <a:ext uri="{FF2B5EF4-FFF2-40B4-BE49-F238E27FC236}">
              <a16:creationId xmlns:a16="http://schemas.microsoft.com/office/drawing/2014/main" id="{D78933BB-062C-4C39-807A-A7269A8E9D56}"/>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78" name="Text Box 30" hidden="1">
          <a:extLst>
            <a:ext uri="{FF2B5EF4-FFF2-40B4-BE49-F238E27FC236}">
              <a16:creationId xmlns:a16="http://schemas.microsoft.com/office/drawing/2014/main" id="{93A10897-AE3C-421D-8D8B-BB1A8DBAD77F}"/>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76" name="Text Box 28" hidden="1">
          <a:extLst>
            <a:ext uri="{FF2B5EF4-FFF2-40B4-BE49-F238E27FC236}">
              <a16:creationId xmlns:a16="http://schemas.microsoft.com/office/drawing/2014/main" id="{97037C9C-9626-490E-BA2D-C54A1CEAD955}"/>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74" name="Text Box 26" hidden="1">
          <a:extLst>
            <a:ext uri="{FF2B5EF4-FFF2-40B4-BE49-F238E27FC236}">
              <a16:creationId xmlns:a16="http://schemas.microsoft.com/office/drawing/2014/main" id="{7B616AE7-B2DB-42EB-893E-EECE9A48B349}"/>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72" name="Text Box 24" hidden="1">
          <a:extLst>
            <a:ext uri="{FF2B5EF4-FFF2-40B4-BE49-F238E27FC236}">
              <a16:creationId xmlns:a16="http://schemas.microsoft.com/office/drawing/2014/main" id="{295A2FE1-A98F-493D-9A7C-D6FCEBDE49B7}"/>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70" name="Text Box 22" hidden="1">
          <a:extLst>
            <a:ext uri="{FF2B5EF4-FFF2-40B4-BE49-F238E27FC236}">
              <a16:creationId xmlns:a16="http://schemas.microsoft.com/office/drawing/2014/main" id="{1C67B90E-A1F6-4BAE-AB75-463A22BADFC3}"/>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68" name="Text Box 20" hidden="1">
          <a:extLst>
            <a:ext uri="{FF2B5EF4-FFF2-40B4-BE49-F238E27FC236}">
              <a16:creationId xmlns:a16="http://schemas.microsoft.com/office/drawing/2014/main" id="{25695B5C-E842-4647-8887-4C5FB6A3C844}"/>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66" name="Text Box 18" hidden="1">
          <a:extLst>
            <a:ext uri="{FF2B5EF4-FFF2-40B4-BE49-F238E27FC236}">
              <a16:creationId xmlns:a16="http://schemas.microsoft.com/office/drawing/2014/main" id="{8947F224-7BFC-4BCF-B467-715BD46BFC3D}"/>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64" name="Text Box 16" hidden="1">
          <a:extLst>
            <a:ext uri="{FF2B5EF4-FFF2-40B4-BE49-F238E27FC236}">
              <a16:creationId xmlns:a16="http://schemas.microsoft.com/office/drawing/2014/main" id="{2CA81540-913B-4C1F-8E44-12644CDA4FB2}"/>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62" name="Text Box 14" hidden="1">
          <a:extLst>
            <a:ext uri="{FF2B5EF4-FFF2-40B4-BE49-F238E27FC236}">
              <a16:creationId xmlns:a16="http://schemas.microsoft.com/office/drawing/2014/main" id="{851053F9-D94F-46DF-9B80-29C3ABDE565E}"/>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60" name="Text Box 12" hidden="1">
          <a:extLst>
            <a:ext uri="{FF2B5EF4-FFF2-40B4-BE49-F238E27FC236}">
              <a16:creationId xmlns:a16="http://schemas.microsoft.com/office/drawing/2014/main" id="{64643BA7-4EF2-47F0-93B9-59BC87549165}"/>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58" name="Text Box 10" hidden="1">
          <a:extLst>
            <a:ext uri="{FF2B5EF4-FFF2-40B4-BE49-F238E27FC236}">
              <a16:creationId xmlns:a16="http://schemas.microsoft.com/office/drawing/2014/main" id="{099D923C-ABC7-4005-8D94-329B3586BCD6}"/>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56" name="Text Box 8" hidden="1">
          <a:extLst>
            <a:ext uri="{FF2B5EF4-FFF2-40B4-BE49-F238E27FC236}">
              <a16:creationId xmlns:a16="http://schemas.microsoft.com/office/drawing/2014/main" id="{CE30BB64-D563-44FF-B02C-BCA0D9527D94}"/>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54" name="Text Box 6" hidden="1">
          <a:extLst>
            <a:ext uri="{FF2B5EF4-FFF2-40B4-BE49-F238E27FC236}">
              <a16:creationId xmlns:a16="http://schemas.microsoft.com/office/drawing/2014/main" id="{17815981-235F-4254-8351-27854E13E13C}"/>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52" name="Text Box 4" hidden="1">
          <a:extLst>
            <a:ext uri="{FF2B5EF4-FFF2-40B4-BE49-F238E27FC236}">
              <a16:creationId xmlns:a16="http://schemas.microsoft.com/office/drawing/2014/main" id="{5DE648D3-6063-4AD8-B0FB-0C24A6314893}"/>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247650</xdr:colOff>
      <xdr:row>43</xdr:row>
      <xdr:rowOff>123825</xdr:rowOff>
    </xdr:to>
    <xdr:sp macro="" textlink="">
      <xdr:nvSpPr>
        <xdr:cNvPr id="2050" name="Text Box 2" hidden="1">
          <a:extLst>
            <a:ext uri="{FF2B5EF4-FFF2-40B4-BE49-F238E27FC236}">
              <a16:creationId xmlns:a16="http://schemas.microsoft.com/office/drawing/2014/main" id="{0885D364-CF4E-44BF-ABDC-15EE92129609}"/>
            </a:ext>
          </a:extLst>
        </xdr:cNvPr>
        <xdr:cNvSpPr txBox="1">
          <a:spLocks noSelect="1" noChangeArrowheads="1"/>
        </xdr:cNvSpPr>
      </xdr:nvSpPr>
      <xdr:spPr bwMode="auto">
        <a:xfrm>
          <a:off x="0" y="0"/>
          <a:ext cx="7991475" cy="832485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1030" name="shapetype_202" hidden="1">
          <a:extLst>
            <a:ext uri="{FF2B5EF4-FFF2-40B4-BE49-F238E27FC236}">
              <a16:creationId xmlns:a16="http://schemas.microsoft.com/office/drawing/2014/main" id="{C5CEA1F9-EF95-46B9-887A-C2726DA9C7BE}"/>
            </a:ext>
          </a:extLst>
        </xdr:cNvPr>
        <xdr:cNvSpPr txBox="1">
          <a:spLocks noSelect="1" noChangeArrowheads="1"/>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0</xdr:col>
      <xdr:colOff>0</xdr:colOff>
      <xdr:row>0</xdr:row>
      <xdr:rowOff>0</xdr:rowOff>
    </xdr:to>
    <xdr:sp macro="" textlink="">
      <xdr:nvSpPr>
        <xdr:cNvPr id="1028" name="Text Box 4" hidden="1">
          <a:extLst>
            <a:ext uri="{FF2B5EF4-FFF2-40B4-BE49-F238E27FC236}">
              <a16:creationId xmlns:a16="http://schemas.microsoft.com/office/drawing/2014/main" id="{C8AC733E-6D3D-4E5B-8A64-61402EEA5321}"/>
            </a:ext>
          </a:extLst>
        </xdr:cNvPr>
        <xdr:cNvSpPr txBox="1">
          <a:spLocks noSelect="1" noChangeArrowheads="1"/>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0</xdr:col>
      <xdr:colOff>0</xdr:colOff>
      <xdr:row>0</xdr:row>
      <xdr:rowOff>0</xdr:rowOff>
    </xdr:to>
    <xdr:sp macro="" textlink="">
      <xdr:nvSpPr>
        <xdr:cNvPr id="1026" name="Text Box 2" hidden="1">
          <a:extLst>
            <a:ext uri="{FF2B5EF4-FFF2-40B4-BE49-F238E27FC236}">
              <a16:creationId xmlns:a16="http://schemas.microsoft.com/office/drawing/2014/main" id="{8EB097B3-69C1-4477-BD9B-09E10F14A09F}"/>
            </a:ext>
          </a:extLst>
        </xdr:cNvPr>
        <xdr:cNvSpPr txBox="1">
          <a:spLocks noSelect="1" noChangeArrowheads="1"/>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dasberaterhaus@gmail.com" TargetMode="Externa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mailto:silke.hengelhaupt@meinberaterhaus.de" TargetMode="External"/><Relationship Id="rId3" Type="http://schemas.openxmlformats.org/officeDocument/2006/relationships/hyperlink" Target="https://entry.axa.de/portalpostfach/" TargetMode="External"/><Relationship Id="rId7" Type="http://schemas.openxmlformats.org/officeDocument/2006/relationships/hyperlink" Target="https://www.aigportal.de/pls/WUEBANET/GDV_DOWNLOAD_PUBLIC.DOWNLOAD_GDV?p_GJG_ID=66077&amp;p_GJL_ID=11700&amp;p_type=FILE" TargetMode="Externa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hyperlink" Target="https://prismavfsprod.generali.de/vfs/" TargetMode="External"/><Relationship Id="rId11" Type="http://schemas.openxmlformats.org/officeDocument/2006/relationships/comments" Target="../comments2.xml"/><Relationship Id="rId5" Type="http://schemas.openxmlformats.org/officeDocument/2006/relationships/hyperlink" Target="https://vema.basler-service.de/" TargetMode="External"/><Relationship Id="rId10" Type="http://schemas.openxmlformats.org/officeDocument/2006/relationships/vmlDrawing" Target="../drawings/vmlDrawing2.vml"/><Relationship Id="rId4" Type="http://schemas.openxmlformats.org/officeDocument/2006/relationships/hyperlink" Target="https://makler.gothaer.de/app/GDV-Online/Start" TargetMode="External"/><Relationship Id="rId9"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8" Type="http://schemas.openxmlformats.org/officeDocument/2006/relationships/hyperlink" Target="mailto:info@suhlfinanz.de" TargetMode="External"/><Relationship Id="rId13" Type="http://schemas.openxmlformats.org/officeDocument/2006/relationships/hyperlink" Target="mailto:info@meinberaterhaus.de" TargetMode="External"/><Relationship Id="rId18" Type="http://schemas.openxmlformats.org/officeDocument/2006/relationships/hyperlink" Target="https://www.mvk-versicherung.de/de/makler" TargetMode="External"/><Relationship Id="rId26" Type="http://schemas.openxmlformats.org/officeDocument/2006/relationships/hyperlink" Target="mailto:info@meinberaterhaus.de" TargetMode="External"/><Relationship Id="rId3" Type="http://schemas.openxmlformats.org/officeDocument/2006/relationships/printerSettings" Target="../printerSettings/printerSettings11.bin"/><Relationship Id="rId21" Type="http://schemas.openxmlformats.org/officeDocument/2006/relationships/hyperlink" Target="https://maklerportal.bhvg.de/" TargetMode="External"/><Relationship Id="rId7" Type="http://schemas.openxmlformats.org/officeDocument/2006/relationships/hyperlink" Target="http://www.carglass4partners.de/" TargetMode="External"/><Relationship Id="rId12" Type="http://schemas.openxmlformats.org/officeDocument/2006/relationships/hyperlink" Target="http://www.aigportal.de/hydra/" TargetMode="External"/><Relationship Id="rId17" Type="http://schemas.openxmlformats.org/officeDocument/2006/relationships/hyperlink" Target="mailto:silke.hengelhaupt@meinberaterhaus.de" TargetMode="External"/><Relationship Id="rId25" Type="http://schemas.openxmlformats.org/officeDocument/2006/relationships/hyperlink" Target="mailto:info@meinberaterhaus.de" TargetMode="External"/><Relationship Id="rId2" Type="http://schemas.openxmlformats.org/officeDocument/2006/relationships/printerSettings" Target="../printerSettings/printerSettings10.bin"/><Relationship Id="rId16" Type="http://schemas.openxmlformats.org/officeDocument/2006/relationships/hyperlink" Target="http://www.maklerweb.de/" TargetMode="External"/><Relationship Id="rId20" Type="http://schemas.openxmlformats.org/officeDocument/2006/relationships/hyperlink" Target="mailto:info@meinberaterhaus.de" TargetMode="External"/><Relationship Id="rId29" Type="http://schemas.openxmlformats.org/officeDocument/2006/relationships/drawing" Target="../drawings/drawing1.xml"/><Relationship Id="rId1" Type="http://schemas.openxmlformats.org/officeDocument/2006/relationships/printerSettings" Target="../printerSettings/printerSettings9.bin"/><Relationship Id="rId6" Type="http://schemas.openxmlformats.org/officeDocument/2006/relationships/hyperlink" Target="mailto:info@meinberaterhaus.de" TargetMode="External"/><Relationship Id="rId11" Type="http://schemas.openxmlformats.org/officeDocument/2006/relationships/hyperlink" Target="https://extranet.interrisk.de/secure/login.do;jsessionid=arnyZKfRXkL6" TargetMode="External"/><Relationship Id="rId24" Type="http://schemas.openxmlformats.org/officeDocument/2006/relationships/hyperlink" Target="http://www.brandgilde-versicherungskontor.de/" TargetMode="External"/><Relationship Id="rId32" Type="http://schemas.microsoft.com/office/2006/relationships/wsSortMap" Target="wsSortMap1.xml"/><Relationship Id="rId5" Type="http://schemas.openxmlformats.org/officeDocument/2006/relationships/hyperlink" Target="mailto:info@meinberaterhaus.de" TargetMode="External"/><Relationship Id="rId15" Type="http://schemas.openxmlformats.org/officeDocument/2006/relationships/hyperlink" Target="mailto:info@meinberaterhaus.de" TargetMode="External"/><Relationship Id="rId23" Type="http://schemas.openxmlformats.org/officeDocument/2006/relationships/hyperlink" Target="https://markelnow.markel.de/" TargetMode="External"/><Relationship Id="rId28" Type="http://schemas.openxmlformats.org/officeDocument/2006/relationships/printerSettings" Target="../printerSettings/printerSettings13.bin"/><Relationship Id="rId10" Type="http://schemas.openxmlformats.org/officeDocument/2006/relationships/hyperlink" Target="https://makler.ergo.de/de-DE/Login/easy%20Login.aspx" TargetMode="External"/><Relationship Id="rId19" Type="http://schemas.openxmlformats.org/officeDocument/2006/relationships/hyperlink" Target="https://www.mvk-versicherung.de/de/makler" TargetMode="External"/><Relationship Id="rId31" Type="http://schemas.openxmlformats.org/officeDocument/2006/relationships/comments" Target="../comments3.xml"/><Relationship Id="rId4" Type="http://schemas.openxmlformats.org/officeDocument/2006/relationships/printerSettings" Target="../printerSettings/printerSettings12.bin"/><Relationship Id="rId9" Type="http://schemas.openxmlformats.org/officeDocument/2006/relationships/hyperlink" Target="https://secure.hmrv.de/rvw-ba/baEingabe.jsf" TargetMode="External"/><Relationship Id="rId14" Type="http://schemas.openxmlformats.org/officeDocument/2006/relationships/hyperlink" Target="mailto:info@meinberaterhaus.de" TargetMode="External"/><Relationship Id="rId22" Type="http://schemas.openxmlformats.org/officeDocument/2006/relationships/hyperlink" Target="mailto:info@meinberaterhaus.de" TargetMode="External"/><Relationship Id="rId27" Type="http://schemas.openxmlformats.org/officeDocument/2006/relationships/hyperlink" Target="http://www.makle.ruv.de/" TargetMode="External"/><Relationship Id="rId30"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hyperlink" Target="mailto:maklerauftraege-b@ergo.de" TargetMode="External"/><Relationship Id="rId13" Type="http://schemas.openxmlformats.org/officeDocument/2006/relationships/hyperlink" Target="mailto:Ronald.Schleicher@nuernberger.de" TargetMode="External"/><Relationship Id="rId18" Type="http://schemas.openxmlformats.org/officeDocument/2006/relationships/vmlDrawing" Target="../drawings/vmlDrawing4.vml"/><Relationship Id="rId3" Type="http://schemas.openxmlformats.org/officeDocument/2006/relationships/hyperlink" Target="mailto:BrmBerlin@axa.de" TargetMode="External"/><Relationship Id="rId7" Type="http://schemas.openxmlformats.org/officeDocument/2006/relationships/hyperlink" Target="mailto:APKV-ZMSB-KUWU@allianz.de" TargetMode="External"/><Relationship Id="rId12" Type="http://schemas.openxmlformats.org/officeDocument/2006/relationships/hyperlink" Target="mailto:G_Vertriebsverwaltung_Makler@ruv.de" TargetMode="External"/><Relationship Id="rId17" Type="http://schemas.openxmlformats.org/officeDocument/2006/relationships/hyperlink" Target="mailto:HK.Vertrag@hdi.de" TargetMode="External"/><Relationship Id="rId2" Type="http://schemas.openxmlformats.org/officeDocument/2006/relationships/hyperlink" Target="mailto:BrmBerlin@axa.de" TargetMode="External"/><Relationship Id="rId16" Type="http://schemas.openxmlformats.org/officeDocument/2006/relationships/hyperlink" Target="mailto:leben.service@hdi.de" TargetMode="External"/><Relationship Id="rId1" Type="http://schemas.openxmlformats.org/officeDocument/2006/relationships/printerSettings" Target="../printerSettings/printerSettings14.bin"/><Relationship Id="rId6" Type="http://schemas.openxmlformats.org/officeDocument/2006/relationships/hyperlink" Target="mailto:lebensversicherung@allianz.de" TargetMode="External"/><Relationship Id="rId11" Type="http://schemas.openxmlformats.org/officeDocument/2006/relationships/hyperlink" Target="mailto:maklerservice@inter.de" TargetMode="External"/><Relationship Id="rId5" Type="http://schemas.openxmlformats.org/officeDocument/2006/relationships/hyperlink" Target="mailto:amvb-uebertragung@allianz.de" TargetMode="External"/><Relationship Id="rId15" Type="http://schemas.openxmlformats.org/officeDocument/2006/relationships/hyperlink" Target="mailto:si-vp.maklerauftrag.hh@signal-iduna.de" TargetMode="External"/><Relationship Id="rId10" Type="http://schemas.openxmlformats.org/officeDocument/2006/relationships/hyperlink" Target="mailto:Heiko.Domigalle@hansemerkur.de" TargetMode="External"/><Relationship Id="rId19" Type="http://schemas.openxmlformats.org/officeDocument/2006/relationships/comments" Target="../comments4.xml"/><Relationship Id="rId4" Type="http://schemas.openxmlformats.org/officeDocument/2006/relationships/hyperlink" Target="mailto:BrmBerlin@axa.de" TargetMode="External"/><Relationship Id="rId9" Type="http://schemas.openxmlformats.org/officeDocument/2006/relationships/hyperlink" Target="mailto:gen-maklerauftrag@generali.de" TargetMode="External"/><Relationship Id="rId14" Type="http://schemas.openxmlformats.org/officeDocument/2006/relationships/hyperlink" Target="mailto:zva@rhion.d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2"/>
  <sheetViews>
    <sheetView workbookViewId="0">
      <selection activeCell="H42" sqref="H42"/>
    </sheetView>
  </sheetViews>
  <sheetFormatPr baseColWidth="10" defaultRowHeight="15" x14ac:dyDescent="0.25"/>
  <cols>
    <col min="1" max="1" width="51.5703125" bestFit="1" customWidth="1"/>
    <col min="8" max="8" width="14" bestFit="1" customWidth="1"/>
  </cols>
  <sheetData>
    <row r="1" spans="1:8" ht="21" x14ac:dyDescent="0.35">
      <c r="A1" t="s">
        <v>1624</v>
      </c>
      <c r="B1" t="s">
        <v>1625</v>
      </c>
      <c r="C1" t="s">
        <v>72</v>
      </c>
      <c r="D1" t="s">
        <v>1626</v>
      </c>
      <c r="E1" s="118" t="s">
        <v>1627</v>
      </c>
      <c r="F1" t="s">
        <v>1628</v>
      </c>
      <c r="G1" s="119" t="s">
        <v>1629</v>
      </c>
      <c r="H1" t="s">
        <v>1659</v>
      </c>
    </row>
    <row r="2" spans="1:8" ht="21" x14ac:dyDescent="0.35">
      <c r="A2" t="s">
        <v>215</v>
      </c>
      <c r="C2" t="s">
        <v>1630</v>
      </c>
      <c r="D2" s="120"/>
      <c r="E2" s="118" t="s">
        <v>1630</v>
      </c>
      <c r="F2" s="120"/>
      <c r="G2" s="119"/>
    </row>
    <row r="3" spans="1:8" ht="21" x14ac:dyDescent="0.35">
      <c r="A3" t="s">
        <v>219</v>
      </c>
      <c r="D3" s="120"/>
      <c r="E3" s="118"/>
      <c r="F3" s="120"/>
      <c r="G3" s="119"/>
    </row>
    <row r="4" spans="1:8" ht="21" x14ac:dyDescent="0.35">
      <c r="A4" t="s">
        <v>223</v>
      </c>
      <c r="D4" s="120"/>
      <c r="E4" s="118"/>
      <c r="F4" s="120"/>
      <c r="G4" s="119"/>
    </row>
    <row r="5" spans="1:8" ht="21" x14ac:dyDescent="0.35">
      <c r="A5" t="s">
        <v>228</v>
      </c>
      <c r="D5" s="120"/>
      <c r="E5" s="118"/>
      <c r="F5" s="120"/>
      <c r="G5" s="119"/>
    </row>
    <row r="6" spans="1:8" ht="21" x14ac:dyDescent="0.35">
      <c r="A6" t="s">
        <v>232</v>
      </c>
      <c r="B6" t="s">
        <v>1630</v>
      </c>
      <c r="C6" t="s">
        <v>1630</v>
      </c>
      <c r="D6" s="120" t="s">
        <v>1630</v>
      </c>
      <c r="E6" s="121" t="s">
        <v>1630</v>
      </c>
      <c r="F6" s="120"/>
      <c r="G6" s="119" t="s">
        <v>1630</v>
      </c>
      <c r="H6" s="84"/>
    </row>
    <row r="7" spans="1:8" ht="21" x14ac:dyDescent="0.35">
      <c r="A7" t="s">
        <v>1563</v>
      </c>
      <c r="B7" t="s">
        <v>1630</v>
      </c>
      <c r="D7" s="120"/>
      <c r="E7" s="121" t="s">
        <v>1630</v>
      </c>
      <c r="F7" s="120"/>
      <c r="G7" s="119"/>
    </row>
    <row r="8" spans="1:8" ht="21" x14ac:dyDescent="0.35">
      <c r="A8" t="s">
        <v>244</v>
      </c>
      <c r="B8" t="s">
        <v>1630</v>
      </c>
      <c r="C8" t="s">
        <v>1630</v>
      </c>
      <c r="D8" s="120" t="s">
        <v>1630</v>
      </c>
      <c r="E8" s="121" t="s">
        <v>1630</v>
      </c>
      <c r="F8" t="s">
        <v>1631</v>
      </c>
      <c r="G8" s="119"/>
    </row>
    <row r="9" spans="1:8" ht="21" x14ac:dyDescent="0.35">
      <c r="A9" t="s">
        <v>248</v>
      </c>
      <c r="B9" t="s">
        <v>1630</v>
      </c>
      <c r="D9" s="120"/>
      <c r="E9" s="118"/>
      <c r="F9" s="120"/>
      <c r="G9" s="119"/>
    </row>
    <row r="10" spans="1:8" ht="21" x14ac:dyDescent="0.35">
      <c r="A10" t="s">
        <v>255</v>
      </c>
      <c r="B10" t="s">
        <v>1630</v>
      </c>
      <c r="C10" t="s">
        <v>1630</v>
      </c>
      <c r="D10" s="120"/>
      <c r="E10" s="121" t="s">
        <v>1630</v>
      </c>
      <c r="F10" s="120"/>
      <c r="G10" s="119" t="s">
        <v>1630</v>
      </c>
      <c r="H10" s="84"/>
    </row>
    <row r="11" spans="1:8" ht="21" x14ac:dyDescent="0.35">
      <c r="A11" t="s">
        <v>257</v>
      </c>
      <c r="C11" t="s">
        <v>1630</v>
      </c>
      <c r="D11" s="120"/>
      <c r="E11" s="121" t="s">
        <v>1630</v>
      </c>
      <c r="F11" s="120"/>
      <c r="G11" s="119" t="s">
        <v>1630</v>
      </c>
    </row>
    <row r="12" spans="1:8" ht="21" x14ac:dyDescent="0.35">
      <c r="A12" t="s">
        <v>261</v>
      </c>
      <c r="B12" t="s">
        <v>1630</v>
      </c>
      <c r="D12" s="120"/>
      <c r="E12" s="121" t="s">
        <v>1630</v>
      </c>
      <c r="F12" s="120"/>
      <c r="G12" s="119" t="s">
        <v>1630</v>
      </c>
    </row>
    <row r="13" spans="1:8" ht="21" x14ac:dyDescent="0.35">
      <c r="A13" t="s">
        <v>267</v>
      </c>
      <c r="D13" s="120"/>
      <c r="E13" s="118" t="s">
        <v>1632</v>
      </c>
      <c r="F13" s="120"/>
      <c r="G13" s="119"/>
    </row>
    <row r="14" spans="1:8" ht="21" x14ac:dyDescent="0.35">
      <c r="A14" t="s">
        <v>1614</v>
      </c>
      <c r="B14" t="s">
        <v>1630</v>
      </c>
      <c r="C14" t="s">
        <v>1630</v>
      </c>
      <c r="D14" s="120"/>
      <c r="E14" s="118"/>
      <c r="F14" s="120"/>
      <c r="G14" s="119" t="s">
        <v>1630</v>
      </c>
    </row>
    <row r="15" spans="1:8" ht="21" x14ac:dyDescent="0.35">
      <c r="A15" t="s">
        <v>272</v>
      </c>
      <c r="C15" t="s">
        <v>1630</v>
      </c>
      <c r="D15" s="120"/>
      <c r="E15" s="118"/>
      <c r="F15" s="120"/>
      <c r="G15" s="119" t="s">
        <v>1630</v>
      </c>
    </row>
    <row r="16" spans="1:8" ht="21" x14ac:dyDescent="0.35">
      <c r="A16" t="s">
        <v>1553</v>
      </c>
      <c r="D16" s="120"/>
      <c r="E16" s="118"/>
      <c r="F16" s="120"/>
      <c r="G16" s="119"/>
    </row>
    <row r="17" spans="1:8" ht="21" x14ac:dyDescent="0.35">
      <c r="A17" t="s">
        <v>1557</v>
      </c>
      <c r="B17" t="s">
        <v>1630</v>
      </c>
      <c r="C17" t="s">
        <v>1630</v>
      </c>
      <c r="D17" s="120" t="s">
        <v>1630</v>
      </c>
      <c r="E17" s="118"/>
      <c r="F17" s="120"/>
      <c r="G17" s="119"/>
    </row>
    <row r="18" spans="1:8" ht="21" x14ac:dyDescent="0.35">
      <c r="A18" t="s">
        <v>58</v>
      </c>
      <c r="D18" s="120"/>
      <c r="E18" s="118"/>
      <c r="F18" s="120"/>
      <c r="G18" s="119"/>
      <c r="H18" s="84"/>
    </row>
    <row r="19" spans="1:8" ht="21" x14ac:dyDescent="0.35">
      <c r="A19" t="s">
        <v>282</v>
      </c>
      <c r="D19" s="120"/>
      <c r="E19" s="118" t="s">
        <v>1633</v>
      </c>
      <c r="F19" s="120"/>
      <c r="G19" s="119"/>
    </row>
    <row r="20" spans="1:8" ht="21" x14ac:dyDescent="0.35">
      <c r="A20" t="s">
        <v>290</v>
      </c>
      <c r="D20" s="120"/>
      <c r="E20" s="118"/>
      <c r="F20" s="120"/>
      <c r="G20" s="119"/>
    </row>
    <row r="21" spans="1:8" ht="21" x14ac:dyDescent="0.35">
      <c r="A21" t="s">
        <v>297</v>
      </c>
      <c r="B21" t="s">
        <v>1630</v>
      </c>
      <c r="C21" t="s">
        <v>1630</v>
      </c>
      <c r="D21" s="120"/>
      <c r="E21" s="121" t="s">
        <v>1630</v>
      </c>
      <c r="F21" s="120"/>
      <c r="G21" s="119" t="s">
        <v>1630</v>
      </c>
    </row>
    <row r="22" spans="1:8" ht="21" x14ac:dyDescent="0.35">
      <c r="A22" t="s">
        <v>306</v>
      </c>
      <c r="D22" s="120"/>
      <c r="E22" s="118"/>
      <c r="F22" s="120"/>
      <c r="G22" s="119"/>
    </row>
    <row r="23" spans="1:8" ht="21" x14ac:dyDescent="0.35">
      <c r="A23" t="s">
        <v>309</v>
      </c>
      <c r="B23" t="s">
        <v>1630</v>
      </c>
      <c r="C23" t="s">
        <v>1630</v>
      </c>
      <c r="D23" s="120" t="s">
        <v>1630</v>
      </c>
      <c r="E23" s="121" t="s">
        <v>1634</v>
      </c>
      <c r="F23" s="120"/>
      <c r="G23" s="119"/>
      <c r="H23" s="84"/>
    </row>
    <row r="24" spans="1:8" ht="21" x14ac:dyDescent="0.35">
      <c r="A24" t="s">
        <v>126</v>
      </c>
      <c r="C24" t="s">
        <v>1630</v>
      </c>
      <c r="D24" s="120"/>
      <c r="E24" s="118"/>
      <c r="F24" s="120"/>
      <c r="G24" s="119" t="s">
        <v>1630</v>
      </c>
      <c r="H24" s="84" t="s">
        <v>8</v>
      </c>
    </row>
    <row r="25" spans="1:8" ht="21" x14ac:dyDescent="0.35">
      <c r="A25" t="s">
        <v>128</v>
      </c>
      <c r="B25" t="s">
        <v>1630</v>
      </c>
      <c r="C25" t="s">
        <v>1630</v>
      </c>
      <c r="D25" s="120" t="s">
        <v>1630</v>
      </c>
      <c r="E25" s="118"/>
      <c r="F25" s="120"/>
      <c r="G25" s="119"/>
    </row>
    <row r="26" spans="1:8" ht="21" x14ac:dyDescent="0.35">
      <c r="A26" t="s">
        <v>1534</v>
      </c>
      <c r="B26" t="s">
        <v>1630</v>
      </c>
      <c r="C26" t="s">
        <v>1630</v>
      </c>
      <c r="D26" s="120"/>
      <c r="E26" s="118"/>
      <c r="F26" s="120"/>
      <c r="G26" s="119" t="s">
        <v>1630</v>
      </c>
    </row>
    <row r="27" spans="1:8" ht="21" x14ac:dyDescent="0.35">
      <c r="A27" t="s">
        <v>1635</v>
      </c>
      <c r="B27" t="s">
        <v>1630</v>
      </c>
      <c r="C27" t="s">
        <v>1630</v>
      </c>
      <c r="D27" s="120" t="s">
        <v>1630</v>
      </c>
      <c r="E27" s="118"/>
      <c r="F27" s="120"/>
      <c r="G27" s="119" t="s">
        <v>1630</v>
      </c>
    </row>
    <row r="28" spans="1:8" ht="21" x14ac:dyDescent="0.35">
      <c r="A28" t="s">
        <v>1523</v>
      </c>
      <c r="B28" t="s">
        <v>1630</v>
      </c>
      <c r="D28" s="120"/>
      <c r="E28" s="118"/>
      <c r="F28" s="120"/>
      <c r="G28" s="119"/>
    </row>
    <row r="29" spans="1:8" ht="21" x14ac:dyDescent="0.35">
      <c r="A29" t="s">
        <v>379</v>
      </c>
      <c r="B29" t="s">
        <v>1630</v>
      </c>
      <c r="C29" t="s">
        <v>1630</v>
      </c>
      <c r="D29" s="120" t="s">
        <v>1630</v>
      </c>
      <c r="E29" s="121" t="s">
        <v>1630</v>
      </c>
      <c r="F29" s="120"/>
      <c r="G29" s="119"/>
    </row>
    <row r="30" spans="1:8" ht="21" x14ac:dyDescent="0.35">
      <c r="A30" t="s">
        <v>383</v>
      </c>
      <c r="C30" t="s">
        <v>1630</v>
      </c>
      <c r="D30" s="120"/>
      <c r="E30" s="118"/>
      <c r="F30" s="120"/>
      <c r="G30" s="119" t="s">
        <v>1630</v>
      </c>
    </row>
    <row r="31" spans="1:8" ht="21" x14ac:dyDescent="0.35">
      <c r="A31" t="s">
        <v>50</v>
      </c>
      <c r="D31" s="120"/>
      <c r="E31" s="118"/>
      <c r="F31" s="120"/>
      <c r="G31" s="119"/>
    </row>
    <row r="32" spans="1:8" ht="21" x14ac:dyDescent="0.35">
      <c r="A32" t="s">
        <v>136</v>
      </c>
      <c r="B32" t="s">
        <v>1630</v>
      </c>
      <c r="C32" t="s">
        <v>1630</v>
      </c>
      <c r="D32" s="120"/>
      <c r="E32" s="121" t="s">
        <v>1630</v>
      </c>
      <c r="F32" s="120"/>
      <c r="G32" s="119" t="s">
        <v>1630</v>
      </c>
    </row>
    <row r="33" spans="1:8" ht="21" x14ac:dyDescent="0.35">
      <c r="A33" t="s">
        <v>1607</v>
      </c>
      <c r="C33" t="s">
        <v>1630</v>
      </c>
      <c r="D33" s="120"/>
      <c r="E33" s="118"/>
      <c r="F33" s="120"/>
      <c r="G33" s="119"/>
    </row>
    <row r="34" spans="1:8" ht="21" x14ac:dyDescent="0.35">
      <c r="A34" t="s">
        <v>405</v>
      </c>
      <c r="B34" t="s">
        <v>1630</v>
      </c>
      <c r="D34" s="120" t="s">
        <v>1630</v>
      </c>
      <c r="E34" s="118"/>
      <c r="F34" s="120"/>
      <c r="G34" s="119"/>
      <c r="H34" s="84"/>
    </row>
    <row r="35" spans="1:8" ht="21" x14ac:dyDescent="0.35">
      <c r="A35" t="s">
        <v>129</v>
      </c>
      <c r="B35" t="s">
        <v>1630</v>
      </c>
      <c r="C35" t="s">
        <v>1630</v>
      </c>
      <c r="D35" s="120" t="s">
        <v>1630</v>
      </c>
      <c r="E35" s="118"/>
      <c r="F35" s="120"/>
      <c r="G35" s="119" t="s">
        <v>1630</v>
      </c>
      <c r="H35" s="84"/>
    </row>
    <row r="36" spans="1:8" ht="21" x14ac:dyDescent="0.35">
      <c r="A36" t="s">
        <v>416</v>
      </c>
      <c r="B36" t="s">
        <v>1630</v>
      </c>
      <c r="C36" t="s">
        <v>1630</v>
      </c>
      <c r="D36" s="120"/>
      <c r="E36" s="118"/>
      <c r="F36" s="120"/>
      <c r="G36" s="119" t="s">
        <v>1630</v>
      </c>
    </row>
    <row r="37" spans="1:8" ht="21" x14ac:dyDescent="0.35">
      <c r="A37" t="s">
        <v>421</v>
      </c>
      <c r="C37" t="s">
        <v>1630</v>
      </c>
      <c r="D37" s="120" t="s">
        <v>1630</v>
      </c>
      <c r="E37" s="118" t="s">
        <v>1630</v>
      </c>
      <c r="F37" s="120"/>
      <c r="G37" s="119"/>
    </row>
    <row r="38" spans="1:8" ht="21" x14ac:dyDescent="0.35">
      <c r="A38" t="s">
        <v>23</v>
      </c>
      <c r="B38" t="s">
        <v>1630</v>
      </c>
      <c r="C38" t="s">
        <v>1630</v>
      </c>
      <c r="D38" s="120" t="s">
        <v>1630</v>
      </c>
      <c r="E38" s="118"/>
      <c r="F38" s="120"/>
      <c r="G38" s="119" t="s">
        <v>1630</v>
      </c>
      <c r="H38" s="84"/>
    </row>
    <row r="39" spans="1:8" ht="21" x14ac:dyDescent="0.35">
      <c r="A39" t="s">
        <v>441</v>
      </c>
      <c r="D39" s="120"/>
      <c r="E39" s="118"/>
      <c r="F39" s="120"/>
      <c r="G39" s="119"/>
    </row>
    <row r="40" spans="1:8" ht="21" x14ac:dyDescent="0.35">
      <c r="A40" t="s">
        <v>445</v>
      </c>
      <c r="D40" s="120" t="s">
        <v>1630</v>
      </c>
      <c r="E40" s="118" t="s">
        <v>1630</v>
      </c>
      <c r="F40" t="s">
        <v>1631</v>
      </c>
      <c r="G40" s="119"/>
    </row>
    <row r="41" spans="1:8" ht="21" x14ac:dyDescent="0.35">
      <c r="A41" t="s">
        <v>451</v>
      </c>
      <c r="D41" s="120"/>
      <c r="E41" s="118" t="s">
        <v>1630</v>
      </c>
      <c r="F41" s="120"/>
      <c r="G41" s="119" t="s">
        <v>1630</v>
      </c>
    </row>
    <row r="42" spans="1:8" ht="21" x14ac:dyDescent="0.35">
      <c r="A42" t="s">
        <v>455</v>
      </c>
      <c r="D42" s="120"/>
      <c r="E42" s="118"/>
      <c r="F42" s="120"/>
      <c r="G42" s="119"/>
    </row>
    <row r="43" spans="1:8" ht="21" x14ac:dyDescent="0.35">
      <c r="A43" t="s">
        <v>461</v>
      </c>
      <c r="C43" t="s">
        <v>1630</v>
      </c>
      <c r="D43" s="120"/>
      <c r="E43" s="118"/>
      <c r="F43" s="120"/>
      <c r="G43" s="119" t="s">
        <v>1630</v>
      </c>
    </row>
    <row r="44" spans="1:8" ht="21" x14ac:dyDescent="0.35">
      <c r="A44" t="s">
        <v>465</v>
      </c>
      <c r="D44" s="120"/>
      <c r="E44" s="118"/>
      <c r="F44" s="120"/>
      <c r="G44" s="119"/>
    </row>
    <row r="45" spans="1:8" ht="21" x14ac:dyDescent="0.35">
      <c r="A45" t="s">
        <v>470</v>
      </c>
      <c r="B45" t="s">
        <v>1630</v>
      </c>
      <c r="D45" s="120"/>
      <c r="E45" s="118"/>
      <c r="F45" s="120"/>
      <c r="G45" s="119" t="s">
        <v>1630</v>
      </c>
    </row>
    <row r="46" spans="1:8" ht="21" x14ac:dyDescent="0.35">
      <c r="A46" t="s">
        <v>473</v>
      </c>
      <c r="B46" t="s">
        <v>1630</v>
      </c>
      <c r="C46" t="s">
        <v>1630</v>
      </c>
      <c r="D46" s="120"/>
      <c r="E46" s="118"/>
      <c r="F46" s="120"/>
      <c r="G46" s="119"/>
    </row>
    <row r="47" spans="1:8" ht="21" x14ac:dyDescent="0.35">
      <c r="A47" t="s">
        <v>479</v>
      </c>
      <c r="D47" s="120"/>
      <c r="E47" s="118"/>
      <c r="F47" s="120"/>
      <c r="G47" s="119"/>
    </row>
    <row r="48" spans="1:8" ht="21" x14ac:dyDescent="0.35">
      <c r="A48" t="s">
        <v>484</v>
      </c>
      <c r="D48" s="120"/>
      <c r="E48" s="118"/>
      <c r="F48" s="120"/>
      <c r="G48" s="119"/>
    </row>
    <row r="49" spans="1:8" ht="21" x14ac:dyDescent="0.35">
      <c r="A49" t="s">
        <v>488</v>
      </c>
      <c r="D49" s="120"/>
      <c r="E49" s="118"/>
      <c r="F49" s="120"/>
      <c r="G49" s="119"/>
    </row>
    <row r="50" spans="1:8" ht="21" x14ac:dyDescent="0.35">
      <c r="A50" t="s">
        <v>134</v>
      </c>
      <c r="C50" t="s">
        <v>1630</v>
      </c>
      <c r="D50" s="120"/>
      <c r="E50" s="118"/>
      <c r="F50" s="120"/>
      <c r="G50" s="119" t="s">
        <v>1630</v>
      </c>
      <c r="H50" s="84"/>
    </row>
    <row r="51" spans="1:8" ht="21" x14ac:dyDescent="0.35">
      <c r="A51" t="s">
        <v>498</v>
      </c>
      <c r="D51" s="120"/>
      <c r="E51" s="118"/>
      <c r="F51" s="120"/>
      <c r="G51" s="119"/>
    </row>
    <row r="52" spans="1:8" ht="21" x14ac:dyDescent="0.35">
      <c r="A52" t="s">
        <v>504</v>
      </c>
      <c r="B52" t="s">
        <v>1630</v>
      </c>
      <c r="D52" s="120" t="s">
        <v>1630</v>
      </c>
      <c r="E52" s="118"/>
      <c r="F52" s="120"/>
      <c r="G52" s="119" t="s">
        <v>1630</v>
      </c>
    </row>
    <row r="53" spans="1:8" ht="21" x14ac:dyDescent="0.35">
      <c r="A53" t="s">
        <v>507</v>
      </c>
      <c r="C53" t="s">
        <v>1630</v>
      </c>
      <c r="D53" s="120"/>
      <c r="E53" s="118" t="s">
        <v>1630</v>
      </c>
      <c r="F53" s="120"/>
      <c r="G53" s="119" t="s">
        <v>1630</v>
      </c>
    </row>
    <row r="54" spans="1:8" ht="21" x14ac:dyDescent="0.35">
      <c r="A54" t="s">
        <v>510</v>
      </c>
      <c r="B54" t="s">
        <v>1630</v>
      </c>
      <c r="D54" s="120"/>
      <c r="E54" s="121" t="s">
        <v>1630</v>
      </c>
      <c r="F54" s="120"/>
      <c r="G54" s="119"/>
    </row>
    <row r="55" spans="1:8" ht="21" x14ac:dyDescent="0.35">
      <c r="A55" t="s">
        <v>515</v>
      </c>
      <c r="B55" t="s">
        <v>1630</v>
      </c>
      <c r="C55" t="s">
        <v>1630</v>
      </c>
      <c r="D55" s="120" t="s">
        <v>1630</v>
      </c>
      <c r="E55" s="118"/>
      <c r="F55" s="120"/>
      <c r="G55" s="119" t="s">
        <v>1630</v>
      </c>
    </row>
    <row r="56" spans="1:8" ht="21" x14ac:dyDescent="0.35">
      <c r="A56" t="s">
        <v>1559</v>
      </c>
      <c r="B56" t="s">
        <v>1630</v>
      </c>
      <c r="D56" s="120"/>
      <c r="E56" s="118"/>
      <c r="F56" s="120"/>
      <c r="G56" s="119" t="s">
        <v>1630</v>
      </c>
    </row>
    <row r="57" spans="1:8" ht="21" x14ac:dyDescent="0.35">
      <c r="A57" t="s">
        <v>525</v>
      </c>
      <c r="B57" t="s">
        <v>1630</v>
      </c>
      <c r="D57" s="120"/>
      <c r="E57" s="118"/>
      <c r="F57" t="s">
        <v>1631</v>
      </c>
      <c r="G57" s="119" t="s">
        <v>1630</v>
      </c>
    </row>
    <row r="58" spans="1:8" ht="21" x14ac:dyDescent="0.35">
      <c r="A58" t="s">
        <v>530</v>
      </c>
      <c r="B58" t="s">
        <v>1630</v>
      </c>
      <c r="D58" s="120" t="s">
        <v>1630</v>
      </c>
      <c r="E58" s="118"/>
      <c r="F58" s="120"/>
      <c r="G58" s="119" t="s">
        <v>1630</v>
      </c>
    </row>
    <row r="59" spans="1:8" ht="21" x14ac:dyDescent="0.35">
      <c r="A59" t="s">
        <v>535</v>
      </c>
      <c r="D59" s="120"/>
      <c r="E59" s="121" t="s">
        <v>1630</v>
      </c>
      <c r="F59" s="120"/>
      <c r="G59" s="119" t="s">
        <v>1630</v>
      </c>
    </row>
    <row r="60" spans="1:8" ht="21" x14ac:dyDescent="0.35">
      <c r="A60" t="s">
        <v>540</v>
      </c>
      <c r="D60" s="120"/>
      <c r="E60" s="121" t="s">
        <v>1630</v>
      </c>
      <c r="F60" t="s">
        <v>1631</v>
      </c>
      <c r="G60" s="119"/>
    </row>
    <row r="61" spans="1:8" ht="21" x14ac:dyDescent="0.35">
      <c r="A61" t="s">
        <v>556</v>
      </c>
      <c r="D61" s="120"/>
      <c r="E61" s="118"/>
      <c r="F61" s="120"/>
      <c r="G61" s="119"/>
      <c r="H61" s="84"/>
    </row>
    <row r="62" spans="1:8" ht="21" x14ac:dyDescent="0.35">
      <c r="A62" t="s">
        <v>564</v>
      </c>
      <c r="B62" t="s">
        <v>1630</v>
      </c>
      <c r="D62" s="120"/>
      <c r="E62" s="118"/>
      <c r="F62" s="120"/>
      <c r="G62" s="119" t="s">
        <v>1630</v>
      </c>
    </row>
    <row r="63" spans="1:8" ht="21" x14ac:dyDescent="0.35">
      <c r="A63" t="s">
        <v>569</v>
      </c>
      <c r="D63" s="120"/>
      <c r="E63" s="118"/>
      <c r="F63" s="120"/>
      <c r="G63" s="119"/>
    </row>
    <row r="64" spans="1:8" ht="21" x14ac:dyDescent="0.35">
      <c r="A64" t="s">
        <v>574</v>
      </c>
      <c r="D64" s="120"/>
      <c r="E64" s="118"/>
      <c r="F64" s="120"/>
      <c r="G64" s="119"/>
    </row>
    <row r="65" spans="1:8" ht="21" x14ac:dyDescent="0.35">
      <c r="A65" t="s">
        <v>1530</v>
      </c>
      <c r="B65" t="s">
        <v>1630</v>
      </c>
      <c r="D65" s="120"/>
      <c r="E65" s="118"/>
      <c r="F65" s="120"/>
      <c r="G65" s="119"/>
    </row>
    <row r="66" spans="1:8" ht="21" x14ac:dyDescent="0.35">
      <c r="A66" t="s">
        <v>577</v>
      </c>
      <c r="D66" s="120"/>
      <c r="E66" s="118"/>
      <c r="F66" s="120"/>
      <c r="G66" s="119"/>
    </row>
    <row r="67" spans="1:8" ht="21" x14ac:dyDescent="0.35">
      <c r="A67" t="s">
        <v>580</v>
      </c>
      <c r="C67" t="s">
        <v>1630</v>
      </c>
      <c r="D67" s="120"/>
      <c r="E67" s="118"/>
      <c r="F67" t="s">
        <v>1631</v>
      </c>
      <c r="G67" s="119"/>
    </row>
    <row r="68" spans="1:8" ht="21" x14ac:dyDescent="0.35">
      <c r="A68" t="s">
        <v>592</v>
      </c>
      <c r="D68" s="120"/>
      <c r="E68" s="118"/>
      <c r="F68" s="120"/>
      <c r="G68" s="119"/>
    </row>
    <row r="69" spans="1:8" ht="21" x14ac:dyDescent="0.35">
      <c r="A69" t="s">
        <v>598</v>
      </c>
      <c r="D69" s="120"/>
      <c r="E69" s="118"/>
      <c r="F69" s="120"/>
      <c r="G69" s="119"/>
    </row>
    <row r="70" spans="1:8" ht="21" x14ac:dyDescent="0.35">
      <c r="A70" t="s">
        <v>37</v>
      </c>
      <c r="B70" t="s">
        <v>1630</v>
      </c>
      <c r="C70" t="s">
        <v>1630</v>
      </c>
      <c r="D70" s="120" t="s">
        <v>1630</v>
      </c>
      <c r="E70" s="118"/>
      <c r="F70" s="120"/>
      <c r="G70" s="119"/>
    </row>
    <row r="71" spans="1:8" ht="21" x14ac:dyDescent="0.35">
      <c r="A71" t="s">
        <v>610</v>
      </c>
      <c r="D71" s="120"/>
      <c r="E71" s="121" t="s">
        <v>1630</v>
      </c>
      <c r="F71" t="s">
        <v>1631</v>
      </c>
      <c r="G71" s="119"/>
    </row>
    <row r="72" spans="1:8" ht="21" x14ac:dyDescent="0.35">
      <c r="A72" t="s">
        <v>617</v>
      </c>
      <c r="D72" s="120"/>
      <c r="E72" s="118"/>
      <c r="F72" s="120"/>
      <c r="G72" s="119"/>
    </row>
    <row r="73" spans="1:8" ht="21" x14ac:dyDescent="0.35">
      <c r="A73" t="s">
        <v>103</v>
      </c>
      <c r="D73" s="120"/>
      <c r="E73" s="118"/>
      <c r="F73" s="120"/>
      <c r="G73" s="119"/>
    </row>
    <row r="74" spans="1:8" ht="21" x14ac:dyDescent="0.35">
      <c r="A74" t="s">
        <v>141</v>
      </c>
      <c r="B74" t="s">
        <v>1630</v>
      </c>
      <c r="C74" t="s">
        <v>1630</v>
      </c>
      <c r="D74" s="120" t="s">
        <v>1630</v>
      </c>
      <c r="E74" s="118"/>
      <c r="F74" s="120"/>
      <c r="G74" s="119" t="s">
        <v>1630</v>
      </c>
    </row>
    <row r="75" spans="1:8" ht="21" x14ac:dyDescent="0.35">
      <c r="A75" t="s">
        <v>633</v>
      </c>
      <c r="D75" s="120"/>
      <c r="E75" s="118"/>
      <c r="F75" s="120"/>
      <c r="G75" s="119"/>
    </row>
    <row r="76" spans="1:8" ht="21" x14ac:dyDescent="0.35">
      <c r="A76" t="s">
        <v>636</v>
      </c>
      <c r="D76" s="120"/>
      <c r="E76" s="118"/>
      <c r="F76" s="120"/>
      <c r="G76" s="119"/>
    </row>
    <row r="77" spans="1:8" ht="21" x14ac:dyDescent="0.35">
      <c r="A77" t="s">
        <v>641</v>
      </c>
      <c r="D77" s="120"/>
      <c r="E77" s="118"/>
      <c r="F77" s="120"/>
      <c r="G77" s="119"/>
      <c r="H77" s="84"/>
    </row>
    <row r="78" spans="1:8" ht="21" x14ac:dyDescent="0.35">
      <c r="A78" t="s">
        <v>645</v>
      </c>
      <c r="B78" t="s">
        <v>1630</v>
      </c>
      <c r="D78" s="120"/>
      <c r="E78" s="121" t="s">
        <v>1630</v>
      </c>
      <c r="F78" s="120"/>
      <c r="G78" s="119"/>
      <c r="H78" s="84"/>
    </row>
    <row r="79" spans="1:8" ht="21" x14ac:dyDescent="0.35">
      <c r="A79" t="s">
        <v>1527</v>
      </c>
      <c r="B79" t="s">
        <v>1630</v>
      </c>
      <c r="D79" s="120"/>
      <c r="E79" s="118" t="s">
        <v>1630</v>
      </c>
      <c r="F79" s="120"/>
      <c r="G79" s="119"/>
    </row>
    <row r="80" spans="1:8" ht="21" x14ac:dyDescent="0.35">
      <c r="A80" t="s">
        <v>651</v>
      </c>
      <c r="B80" t="s">
        <v>1630</v>
      </c>
      <c r="D80" s="120" t="s">
        <v>1630</v>
      </c>
      <c r="E80" s="118"/>
      <c r="F80" s="120"/>
      <c r="G80" s="119"/>
    </row>
    <row r="81" spans="1:7" ht="21" x14ac:dyDescent="0.35">
      <c r="A81" t="s">
        <v>655</v>
      </c>
      <c r="B81" t="s">
        <v>1630</v>
      </c>
      <c r="C81" t="s">
        <v>1630</v>
      </c>
      <c r="D81" s="120" t="s">
        <v>1630</v>
      </c>
      <c r="E81" s="121" t="s">
        <v>1630</v>
      </c>
      <c r="F81" s="120"/>
      <c r="G81" s="119" t="s">
        <v>1630</v>
      </c>
    </row>
    <row r="82" spans="1:7" ht="21" x14ac:dyDescent="0.35">
      <c r="A82" t="s">
        <v>661</v>
      </c>
      <c r="B82" t="s">
        <v>1630</v>
      </c>
      <c r="D82" s="120"/>
      <c r="E82" s="118"/>
      <c r="F82" s="120"/>
      <c r="G82" s="119" t="s">
        <v>1630</v>
      </c>
    </row>
    <row r="83" spans="1:7" ht="21" x14ac:dyDescent="0.35">
      <c r="A83" t="s">
        <v>664</v>
      </c>
      <c r="D83" s="120"/>
      <c r="E83" s="118" t="s">
        <v>1630</v>
      </c>
      <c r="F83" s="120"/>
      <c r="G83" s="119"/>
    </row>
    <row r="84" spans="1:7" ht="21" x14ac:dyDescent="0.35">
      <c r="A84" t="s">
        <v>1613</v>
      </c>
      <c r="B84" t="s">
        <v>1630</v>
      </c>
      <c r="D84" s="120"/>
      <c r="E84" s="118" t="s">
        <v>1630</v>
      </c>
      <c r="F84" s="120"/>
      <c r="G84" s="119"/>
    </row>
    <row r="85" spans="1:7" ht="21" x14ac:dyDescent="0.35">
      <c r="A85" t="s">
        <v>670</v>
      </c>
      <c r="B85" t="s">
        <v>1630</v>
      </c>
      <c r="C85" t="s">
        <v>1630</v>
      </c>
      <c r="D85" s="120" t="s">
        <v>1630</v>
      </c>
      <c r="E85" s="121" t="s">
        <v>1630</v>
      </c>
      <c r="F85" s="120"/>
      <c r="G85" s="119" t="s">
        <v>1630</v>
      </c>
    </row>
    <row r="86" spans="1:7" ht="21" x14ac:dyDescent="0.35">
      <c r="A86" t="s">
        <v>672</v>
      </c>
      <c r="B86" t="s">
        <v>1630</v>
      </c>
      <c r="C86" t="s">
        <v>1630</v>
      </c>
      <c r="D86" s="120" t="s">
        <v>1630</v>
      </c>
      <c r="E86" s="121" t="s">
        <v>1630</v>
      </c>
      <c r="F86" s="120"/>
      <c r="G86" s="119"/>
    </row>
    <row r="87" spans="1:7" ht="21" x14ac:dyDescent="0.35">
      <c r="A87" t="s">
        <v>676</v>
      </c>
      <c r="B87" t="s">
        <v>1630</v>
      </c>
      <c r="D87" s="120" t="s">
        <v>1630</v>
      </c>
      <c r="E87" s="121" t="s">
        <v>1630</v>
      </c>
      <c r="F87" s="120"/>
      <c r="G87" s="119"/>
    </row>
    <row r="88" spans="1:7" ht="21" x14ac:dyDescent="0.35">
      <c r="A88" t="s">
        <v>680</v>
      </c>
      <c r="D88" s="120"/>
      <c r="E88" s="118"/>
      <c r="F88" s="120"/>
      <c r="G88" s="119"/>
    </row>
    <row r="89" spans="1:7" ht="21" x14ac:dyDescent="0.35">
      <c r="A89" t="s">
        <v>1636</v>
      </c>
      <c r="B89" t="s">
        <v>1630</v>
      </c>
      <c r="D89" s="120"/>
      <c r="E89" s="118"/>
      <c r="F89" s="120"/>
      <c r="G89" s="119"/>
    </row>
    <row r="90" spans="1:7" ht="21" x14ac:dyDescent="0.35">
      <c r="A90" t="s">
        <v>687</v>
      </c>
      <c r="B90" t="s">
        <v>1630</v>
      </c>
      <c r="C90" t="s">
        <v>1630</v>
      </c>
      <c r="D90" s="120" t="s">
        <v>1630</v>
      </c>
      <c r="E90" s="118"/>
      <c r="F90" s="120"/>
      <c r="G90" s="119" t="s">
        <v>1630</v>
      </c>
    </row>
    <row r="91" spans="1:7" ht="21" x14ac:dyDescent="0.35">
      <c r="A91" t="s">
        <v>692</v>
      </c>
      <c r="B91" t="s">
        <v>1630</v>
      </c>
      <c r="D91" s="120"/>
      <c r="E91" s="118"/>
      <c r="F91" s="120"/>
      <c r="G91" s="119"/>
    </row>
    <row r="92" spans="1:7" ht="21" x14ac:dyDescent="0.35">
      <c r="A92" t="s">
        <v>696</v>
      </c>
      <c r="B92" t="s">
        <v>1630</v>
      </c>
      <c r="C92" t="s">
        <v>1630</v>
      </c>
      <c r="D92" s="120"/>
      <c r="E92" s="118"/>
      <c r="F92" s="120"/>
      <c r="G92" s="119"/>
    </row>
    <row r="93" spans="1:7" ht="21" x14ac:dyDescent="0.35">
      <c r="A93" t="s">
        <v>700</v>
      </c>
      <c r="B93" t="s">
        <v>1630</v>
      </c>
      <c r="D93" s="120"/>
      <c r="E93" s="118"/>
      <c r="F93" s="120"/>
      <c r="G93" s="119" t="s">
        <v>1630</v>
      </c>
    </row>
    <row r="94" spans="1:7" ht="21" x14ac:dyDescent="0.35">
      <c r="A94" t="s">
        <v>151</v>
      </c>
      <c r="B94" t="s">
        <v>1630</v>
      </c>
      <c r="C94" t="s">
        <v>1630</v>
      </c>
      <c r="D94" s="120"/>
      <c r="E94" s="118" t="s">
        <v>1630</v>
      </c>
      <c r="F94" t="s">
        <v>1631</v>
      </c>
      <c r="G94" s="119" t="s">
        <v>1630</v>
      </c>
    </row>
    <row r="95" spans="1:7" ht="21" x14ac:dyDescent="0.35">
      <c r="A95" t="s">
        <v>703</v>
      </c>
      <c r="B95" t="s">
        <v>1630</v>
      </c>
      <c r="D95" s="120"/>
      <c r="E95" s="118" t="s">
        <v>1630</v>
      </c>
      <c r="F95" s="120"/>
      <c r="G95" s="119"/>
    </row>
    <row r="96" spans="1:7" ht="21" x14ac:dyDescent="0.35">
      <c r="A96" t="s">
        <v>154</v>
      </c>
      <c r="B96" t="s">
        <v>1630</v>
      </c>
      <c r="D96" s="120" t="s">
        <v>1630</v>
      </c>
      <c r="E96" s="121" t="s">
        <v>1630</v>
      </c>
      <c r="F96" s="120"/>
      <c r="G96" s="119" t="s">
        <v>1630</v>
      </c>
    </row>
    <row r="97" spans="1:8" ht="21" x14ac:dyDescent="0.35">
      <c r="A97" t="s">
        <v>1546</v>
      </c>
      <c r="D97" s="120"/>
      <c r="E97" s="121" t="s">
        <v>1630</v>
      </c>
      <c r="F97" s="120"/>
      <c r="G97" s="119"/>
    </row>
    <row r="98" spans="1:8" ht="21" x14ac:dyDescent="0.35">
      <c r="A98" t="s">
        <v>156</v>
      </c>
      <c r="D98" s="120"/>
      <c r="E98" s="118"/>
      <c r="F98" s="120"/>
      <c r="G98" s="119"/>
    </row>
    <row r="99" spans="1:8" ht="21" x14ac:dyDescent="0.35">
      <c r="A99" t="s">
        <v>158</v>
      </c>
      <c r="B99" t="s">
        <v>1630</v>
      </c>
      <c r="C99" t="s">
        <v>1630</v>
      </c>
      <c r="D99" s="120"/>
      <c r="E99" s="118"/>
      <c r="F99" s="120"/>
      <c r="G99" s="119" t="s">
        <v>1630</v>
      </c>
    </row>
    <row r="100" spans="1:8" ht="21" x14ac:dyDescent="0.35">
      <c r="A100" t="s">
        <v>721</v>
      </c>
      <c r="D100" s="120"/>
      <c r="E100" s="118"/>
      <c r="F100" s="120"/>
      <c r="G100" s="119" t="s">
        <v>1630</v>
      </c>
    </row>
    <row r="101" spans="1:8" ht="21" x14ac:dyDescent="0.35">
      <c r="A101" t="s">
        <v>727</v>
      </c>
      <c r="B101" t="s">
        <v>1630</v>
      </c>
      <c r="C101" t="s">
        <v>1630</v>
      </c>
      <c r="D101" s="120"/>
      <c r="E101" s="121" t="s">
        <v>1630</v>
      </c>
      <c r="F101" s="120"/>
      <c r="G101" s="119"/>
    </row>
    <row r="102" spans="1:8" ht="21" x14ac:dyDescent="0.35">
      <c r="A102" t="s">
        <v>733</v>
      </c>
      <c r="D102" s="120"/>
      <c r="E102" s="121" t="s">
        <v>1630</v>
      </c>
      <c r="F102" s="120"/>
      <c r="G102" s="119"/>
      <c r="H102" s="84"/>
    </row>
    <row r="103" spans="1:8" ht="21" x14ac:dyDescent="0.35">
      <c r="A103" t="s">
        <v>744</v>
      </c>
      <c r="D103" s="120"/>
      <c r="E103" s="118"/>
      <c r="F103" s="120"/>
      <c r="G103" s="119"/>
      <c r="H103" s="84"/>
    </row>
    <row r="104" spans="1:8" ht="21" x14ac:dyDescent="0.35">
      <c r="A104" t="s">
        <v>749</v>
      </c>
      <c r="D104" s="120"/>
      <c r="E104" s="118"/>
      <c r="F104" s="120"/>
      <c r="G104" s="119"/>
      <c r="H104" s="84"/>
    </row>
    <row r="105" spans="1:8" ht="21" x14ac:dyDescent="0.35">
      <c r="A105" t="s">
        <v>159</v>
      </c>
      <c r="B105" t="s">
        <v>1630</v>
      </c>
      <c r="C105" t="s">
        <v>1630</v>
      </c>
      <c r="D105" s="120" t="s">
        <v>1630</v>
      </c>
      <c r="E105" s="118"/>
      <c r="F105" s="120"/>
      <c r="G105" s="119" t="s">
        <v>1630</v>
      </c>
      <c r="H105" s="84"/>
    </row>
    <row r="106" spans="1:8" ht="21" x14ac:dyDescent="0.35">
      <c r="A106" t="s">
        <v>1598</v>
      </c>
      <c r="D106" s="120"/>
      <c r="E106" s="121" t="s">
        <v>1630</v>
      </c>
      <c r="F106" s="120"/>
      <c r="G106" s="119"/>
    </row>
    <row r="107" spans="1:8" ht="21" x14ac:dyDescent="0.35">
      <c r="A107" t="s">
        <v>770</v>
      </c>
      <c r="D107" s="120"/>
      <c r="E107" s="118"/>
      <c r="F107" s="120"/>
      <c r="G107" s="119" t="s">
        <v>1630</v>
      </c>
    </row>
    <row r="108" spans="1:8" ht="21" x14ac:dyDescent="0.35">
      <c r="A108" t="s">
        <v>194</v>
      </c>
      <c r="B108" t="s">
        <v>1630</v>
      </c>
      <c r="D108" s="120"/>
      <c r="E108" s="118"/>
      <c r="F108" t="s">
        <v>1631</v>
      </c>
      <c r="G108" s="119"/>
    </row>
    <row r="109" spans="1:8" ht="21" x14ac:dyDescent="0.35">
      <c r="A109" t="s">
        <v>41</v>
      </c>
      <c r="C109" t="s">
        <v>1630</v>
      </c>
      <c r="D109" s="120"/>
      <c r="E109" s="118"/>
      <c r="F109" s="120"/>
      <c r="G109" s="119"/>
    </row>
    <row r="110" spans="1:8" ht="21" x14ac:dyDescent="0.35">
      <c r="A110" t="s">
        <v>799</v>
      </c>
      <c r="D110" s="120"/>
      <c r="E110" s="118"/>
      <c r="F110" s="120"/>
      <c r="G110" s="119" t="s">
        <v>1630</v>
      </c>
    </row>
    <row r="111" spans="1:8" ht="21" x14ac:dyDescent="0.35">
      <c r="A111" t="s">
        <v>802</v>
      </c>
      <c r="B111" t="s">
        <v>1630</v>
      </c>
      <c r="D111" s="120" t="s">
        <v>1630</v>
      </c>
      <c r="E111" s="118"/>
      <c r="F111" s="120"/>
      <c r="G111" s="119" t="s">
        <v>1630</v>
      </c>
      <c r="H111" s="84"/>
    </row>
    <row r="112" spans="1:8" ht="21" x14ac:dyDescent="0.35">
      <c r="A112" t="s">
        <v>1637</v>
      </c>
      <c r="D112" s="120"/>
      <c r="E112" s="121" t="s">
        <v>1630</v>
      </c>
      <c r="F112" s="120"/>
      <c r="G112" s="119"/>
    </row>
    <row r="113" spans="1:7" ht="21" x14ac:dyDescent="0.35">
      <c r="A113" t="s">
        <v>818</v>
      </c>
      <c r="D113" s="120"/>
      <c r="E113" s="118"/>
      <c r="F113" s="120"/>
      <c r="G113" s="119"/>
    </row>
    <row r="114" spans="1:7" ht="21" x14ac:dyDescent="0.35">
      <c r="A114" t="s">
        <v>821</v>
      </c>
      <c r="D114" s="120" t="s">
        <v>1630</v>
      </c>
      <c r="E114" s="118"/>
      <c r="F114" s="120"/>
      <c r="G114" s="119"/>
    </row>
    <row r="115" spans="1:7" ht="21" x14ac:dyDescent="0.35">
      <c r="A115" t="s">
        <v>827</v>
      </c>
      <c r="B115" t="s">
        <v>1630</v>
      </c>
      <c r="D115" s="120"/>
      <c r="E115" s="118"/>
      <c r="F115" s="120"/>
      <c r="G115" s="119"/>
    </row>
    <row r="116" spans="1:7" ht="21" x14ac:dyDescent="0.35">
      <c r="A116" t="s">
        <v>836</v>
      </c>
      <c r="C116" t="s">
        <v>1630</v>
      </c>
      <c r="D116" s="120" t="s">
        <v>1630</v>
      </c>
      <c r="E116" s="118"/>
      <c r="F116" s="120"/>
      <c r="G116" s="119"/>
    </row>
    <row r="117" spans="1:7" ht="21" x14ac:dyDescent="0.35">
      <c r="A117" t="s">
        <v>840</v>
      </c>
      <c r="D117" s="120"/>
      <c r="E117" s="118" t="s">
        <v>1630</v>
      </c>
      <c r="F117" s="120"/>
      <c r="G117" s="119"/>
    </row>
    <row r="118" spans="1:7" ht="21" x14ac:dyDescent="0.35">
      <c r="A118" t="s">
        <v>844</v>
      </c>
      <c r="D118" s="120"/>
      <c r="E118" s="118"/>
      <c r="F118" s="120"/>
      <c r="G118" s="119"/>
    </row>
    <row r="119" spans="1:7" ht="21" x14ac:dyDescent="0.35">
      <c r="A119" t="s">
        <v>849</v>
      </c>
      <c r="B119" t="s">
        <v>1630</v>
      </c>
      <c r="D119" s="120" t="s">
        <v>1630</v>
      </c>
      <c r="E119" s="118"/>
      <c r="F119" s="120"/>
      <c r="G119" s="119" t="s">
        <v>1630</v>
      </c>
    </row>
    <row r="120" spans="1:7" ht="21" x14ac:dyDescent="0.35">
      <c r="A120" t="s">
        <v>856</v>
      </c>
      <c r="D120" s="120"/>
      <c r="E120" s="118"/>
      <c r="F120" s="120"/>
      <c r="G120" s="119"/>
    </row>
    <row r="121" spans="1:7" ht="21" x14ac:dyDescent="0.35">
      <c r="A121" t="s">
        <v>861</v>
      </c>
      <c r="D121" s="120"/>
      <c r="E121" s="118"/>
      <c r="F121" s="120"/>
      <c r="G121" s="119"/>
    </row>
    <row r="122" spans="1:7" ht="21" x14ac:dyDescent="0.35">
      <c r="A122" t="s">
        <v>867</v>
      </c>
      <c r="B122" t="s">
        <v>1630</v>
      </c>
      <c r="C122" t="s">
        <v>1630</v>
      </c>
      <c r="D122" s="120"/>
      <c r="E122" s="118"/>
      <c r="F122" s="120"/>
      <c r="G122" s="119"/>
    </row>
    <row r="123" spans="1:7" ht="21" x14ac:dyDescent="0.35">
      <c r="A123" t="s">
        <v>872</v>
      </c>
      <c r="D123" s="120"/>
      <c r="E123" s="118"/>
      <c r="F123" s="120"/>
      <c r="G123" s="119"/>
    </row>
    <row r="124" spans="1:7" ht="21" x14ac:dyDescent="0.35">
      <c r="A124" t="s">
        <v>876</v>
      </c>
      <c r="D124" s="120"/>
      <c r="E124" s="118"/>
      <c r="F124" s="120"/>
      <c r="G124" s="119"/>
    </row>
    <row r="125" spans="1:7" ht="21" x14ac:dyDescent="0.35">
      <c r="A125" t="s">
        <v>880</v>
      </c>
      <c r="D125" s="120"/>
      <c r="E125" s="118"/>
      <c r="F125" s="120"/>
      <c r="G125" s="119"/>
    </row>
    <row r="126" spans="1:7" ht="21" x14ac:dyDescent="0.35">
      <c r="A126" t="s">
        <v>884</v>
      </c>
      <c r="D126" s="120"/>
      <c r="E126" s="118"/>
      <c r="F126" s="120"/>
      <c r="G126" s="119"/>
    </row>
    <row r="127" spans="1:7" ht="21" x14ac:dyDescent="0.35">
      <c r="A127" t="s">
        <v>170</v>
      </c>
      <c r="B127" t="s">
        <v>1630</v>
      </c>
      <c r="D127" s="120"/>
      <c r="E127" s="118"/>
      <c r="F127" s="120"/>
      <c r="G127" s="119"/>
    </row>
    <row r="128" spans="1:7" ht="21" x14ac:dyDescent="0.35">
      <c r="A128" t="s">
        <v>892</v>
      </c>
      <c r="D128" s="120"/>
      <c r="E128" s="118"/>
      <c r="F128" s="120"/>
      <c r="G128" s="119" t="s">
        <v>1630</v>
      </c>
    </row>
    <row r="129" spans="1:8" ht="21" x14ac:dyDescent="0.35">
      <c r="A129" t="s">
        <v>901</v>
      </c>
      <c r="D129" s="120"/>
      <c r="E129" s="121" t="s">
        <v>1630</v>
      </c>
      <c r="F129" s="120"/>
      <c r="G129" s="119"/>
    </row>
    <row r="130" spans="1:8" ht="21" x14ac:dyDescent="0.35">
      <c r="A130" t="s">
        <v>905</v>
      </c>
      <c r="D130" s="120"/>
      <c r="E130" s="118"/>
      <c r="F130" s="120"/>
      <c r="G130" s="119"/>
    </row>
    <row r="131" spans="1:8" ht="21" x14ac:dyDescent="0.35">
      <c r="A131" t="s">
        <v>910</v>
      </c>
      <c r="D131" s="120"/>
      <c r="E131" s="118"/>
      <c r="F131" s="120"/>
      <c r="G131" s="119"/>
    </row>
    <row r="132" spans="1:8" ht="21" x14ac:dyDescent="0.35">
      <c r="A132" t="s">
        <v>913</v>
      </c>
      <c r="D132" s="120"/>
      <c r="E132" s="118"/>
      <c r="F132" s="120"/>
      <c r="G132" s="119"/>
    </row>
    <row r="133" spans="1:8" ht="21" x14ac:dyDescent="0.35">
      <c r="A133" t="s">
        <v>919</v>
      </c>
      <c r="B133" t="s">
        <v>1630</v>
      </c>
      <c r="D133" s="120" t="s">
        <v>1630</v>
      </c>
      <c r="E133" s="121" t="s">
        <v>1630</v>
      </c>
      <c r="F133" s="120"/>
      <c r="G133" s="119" t="s">
        <v>1630</v>
      </c>
    </row>
    <row r="134" spans="1:8" ht="21" x14ac:dyDescent="0.35">
      <c r="A134" t="s">
        <v>927</v>
      </c>
      <c r="B134" t="s">
        <v>1630</v>
      </c>
      <c r="C134" t="s">
        <v>1630</v>
      </c>
      <c r="D134" s="120"/>
      <c r="E134" s="118"/>
      <c r="F134" s="120"/>
      <c r="G134" s="119"/>
    </row>
    <row r="135" spans="1:8" ht="21" x14ac:dyDescent="0.35">
      <c r="A135" t="s">
        <v>933</v>
      </c>
      <c r="D135" s="120" t="s">
        <v>1630</v>
      </c>
      <c r="E135" s="118" t="s">
        <v>1630</v>
      </c>
      <c r="F135" s="120"/>
      <c r="G135" s="119"/>
    </row>
    <row r="136" spans="1:8" ht="21" x14ac:dyDescent="0.35">
      <c r="A136" t="s">
        <v>1541</v>
      </c>
      <c r="D136" s="120"/>
      <c r="E136" s="118"/>
      <c r="F136" s="120"/>
      <c r="G136" s="119"/>
    </row>
    <row r="137" spans="1:8" ht="21" x14ac:dyDescent="0.35">
      <c r="A137" t="s">
        <v>939</v>
      </c>
      <c r="B137" t="s">
        <v>1630</v>
      </c>
      <c r="D137" s="120"/>
      <c r="E137" s="118"/>
      <c r="F137" s="120"/>
      <c r="G137" s="119"/>
    </row>
    <row r="138" spans="1:8" ht="21" x14ac:dyDescent="0.35">
      <c r="A138" t="s">
        <v>944</v>
      </c>
      <c r="D138" s="120"/>
      <c r="E138" s="118"/>
      <c r="F138" s="120"/>
      <c r="G138" s="119"/>
    </row>
    <row r="139" spans="1:8" ht="21" x14ac:dyDescent="0.35">
      <c r="A139" t="s">
        <v>954</v>
      </c>
      <c r="C139" t="s">
        <v>1630</v>
      </c>
      <c r="D139" s="120"/>
      <c r="E139" s="118"/>
      <c r="F139" t="s">
        <v>1631</v>
      </c>
      <c r="G139" s="119" t="s">
        <v>1630</v>
      </c>
    </row>
    <row r="140" spans="1:8" ht="21" x14ac:dyDescent="0.35">
      <c r="A140" t="s">
        <v>958</v>
      </c>
      <c r="D140" s="120"/>
      <c r="E140" s="118"/>
      <c r="F140" s="120"/>
      <c r="G140" s="119" t="s">
        <v>1630</v>
      </c>
    </row>
    <row r="141" spans="1:8" ht="21" x14ac:dyDescent="0.35">
      <c r="A141" t="s">
        <v>963</v>
      </c>
      <c r="B141" t="s">
        <v>1630</v>
      </c>
      <c r="D141" s="120" t="s">
        <v>1630</v>
      </c>
      <c r="E141" s="118"/>
      <c r="F141" s="120"/>
      <c r="G141" s="119"/>
      <c r="H141" s="84"/>
    </row>
    <row r="142" spans="1:8" ht="21" x14ac:dyDescent="0.35">
      <c r="A142" t="s">
        <v>973</v>
      </c>
      <c r="B142" t="s">
        <v>1630</v>
      </c>
      <c r="D142" s="120"/>
      <c r="E142" s="121" t="s">
        <v>1630</v>
      </c>
      <c r="F142" s="120"/>
      <c r="G142" s="119"/>
    </row>
    <row r="143" spans="1:8" ht="21" x14ac:dyDescent="0.35">
      <c r="A143" t="s">
        <v>977</v>
      </c>
      <c r="D143" s="120"/>
      <c r="E143" s="121" t="s">
        <v>1630</v>
      </c>
      <c r="F143" s="120"/>
      <c r="G143" s="119"/>
    </row>
    <row r="144" spans="1:8" ht="21" x14ac:dyDescent="0.35">
      <c r="A144" t="s">
        <v>174</v>
      </c>
      <c r="B144" t="s">
        <v>1630</v>
      </c>
      <c r="D144" s="120" t="s">
        <v>1630</v>
      </c>
      <c r="E144" s="118"/>
      <c r="F144" s="120"/>
      <c r="G144" s="119"/>
      <c r="H144" s="84"/>
    </row>
    <row r="145" spans="1:7" ht="21" x14ac:dyDescent="0.35">
      <c r="A145" t="s">
        <v>985</v>
      </c>
      <c r="B145" t="s">
        <v>1630</v>
      </c>
      <c r="D145" s="120"/>
      <c r="E145" s="121" t="s">
        <v>1630</v>
      </c>
      <c r="F145" s="120"/>
      <c r="G145" s="119"/>
    </row>
    <row r="146" spans="1:7" ht="21" x14ac:dyDescent="0.35">
      <c r="A146" t="s">
        <v>989</v>
      </c>
      <c r="D146" s="120"/>
      <c r="E146" s="118"/>
      <c r="F146" s="120"/>
      <c r="G146" s="119"/>
    </row>
    <row r="147" spans="1:7" ht="21" x14ac:dyDescent="0.35">
      <c r="A147" t="s">
        <v>994</v>
      </c>
      <c r="D147" s="120"/>
      <c r="E147" s="118"/>
      <c r="F147" s="120"/>
      <c r="G147" s="119"/>
    </row>
    <row r="148" spans="1:7" ht="21" x14ac:dyDescent="0.35">
      <c r="A148" t="s">
        <v>999</v>
      </c>
      <c r="D148" s="120"/>
      <c r="E148" s="118"/>
      <c r="F148" s="120"/>
      <c r="G148" s="119"/>
    </row>
    <row r="149" spans="1:7" ht="21" x14ac:dyDescent="0.35">
      <c r="A149" t="s">
        <v>1003</v>
      </c>
      <c r="B149" t="s">
        <v>1630</v>
      </c>
      <c r="C149" t="s">
        <v>1630</v>
      </c>
      <c r="D149" s="120"/>
      <c r="E149" s="118"/>
      <c r="F149" s="120"/>
      <c r="G149" s="119" t="s">
        <v>1630</v>
      </c>
    </row>
    <row r="150" spans="1:7" ht="21" x14ac:dyDescent="0.35">
      <c r="A150" t="s">
        <v>1008</v>
      </c>
      <c r="D150" s="120"/>
      <c r="E150" s="121" t="s">
        <v>1630</v>
      </c>
      <c r="F150" s="120"/>
      <c r="G150" s="119"/>
    </row>
    <row r="151" spans="1:7" ht="21" x14ac:dyDescent="0.35">
      <c r="A151" t="s">
        <v>1011</v>
      </c>
      <c r="D151" s="120"/>
      <c r="E151" s="118"/>
      <c r="F151" s="120"/>
      <c r="G151" s="119"/>
    </row>
    <row r="152" spans="1:7" ht="21" x14ac:dyDescent="0.35">
      <c r="A152" t="s">
        <v>1547</v>
      </c>
      <c r="D152" s="120"/>
      <c r="E152" s="118"/>
      <c r="F152" s="120"/>
      <c r="G152" s="119"/>
    </row>
    <row r="153" spans="1:7" ht="21" x14ac:dyDescent="0.35">
      <c r="A153" t="s">
        <v>1018</v>
      </c>
      <c r="D153" s="120"/>
      <c r="E153" s="118" t="s">
        <v>1630</v>
      </c>
      <c r="F153" s="120"/>
      <c r="G153" s="119"/>
    </row>
    <row r="154" spans="1:7" ht="21" x14ac:dyDescent="0.35">
      <c r="A154" t="s">
        <v>1024</v>
      </c>
      <c r="D154" s="120"/>
      <c r="E154" s="118"/>
      <c r="F154" s="120"/>
      <c r="G154" s="119"/>
    </row>
    <row r="155" spans="1:7" ht="21" x14ac:dyDescent="0.35">
      <c r="A155" t="s">
        <v>179</v>
      </c>
      <c r="B155" t="s">
        <v>1630</v>
      </c>
      <c r="C155" t="s">
        <v>1630</v>
      </c>
      <c r="D155" s="120" t="s">
        <v>1630</v>
      </c>
      <c r="E155" s="121" t="s">
        <v>1630</v>
      </c>
      <c r="F155" t="s">
        <v>1631</v>
      </c>
      <c r="G155" s="119"/>
    </row>
    <row r="156" spans="1:7" ht="21" x14ac:dyDescent="0.35">
      <c r="A156" t="s">
        <v>1035</v>
      </c>
      <c r="B156" t="s">
        <v>1630</v>
      </c>
      <c r="C156" t="s">
        <v>1630</v>
      </c>
      <c r="D156" s="120"/>
      <c r="E156" s="121" t="s">
        <v>1630</v>
      </c>
      <c r="F156" t="s">
        <v>1631</v>
      </c>
      <c r="G156" s="119"/>
    </row>
    <row r="157" spans="1:7" ht="21" x14ac:dyDescent="0.35">
      <c r="A157" t="s">
        <v>1041</v>
      </c>
      <c r="B157" t="s">
        <v>1630</v>
      </c>
      <c r="D157" s="120"/>
      <c r="E157" s="118"/>
      <c r="F157" s="120"/>
      <c r="G157" s="119"/>
    </row>
    <row r="158" spans="1:7" ht="21" x14ac:dyDescent="0.35">
      <c r="A158" t="s">
        <v>1044</v>
      </c>
      <c r="D158" s="120"/>
      <c r="E158" s="118"/>
      <c r="F158" s="120"/>
      <c r="G158" s="119"/>
    </row>
    <row r="159" spans="1:7" ht="21" x14ac:dyDescent="0.35">
      <c r="A159" t="s">
        <v>1048</v>
      </c>
      <c r="C159" t="s">
        <v>1630</v>
      </c>
      <c r="D159" s="120" t="s">
        <v>1630</v>
      </c>
      <c r="E159" s="118"/>
      <c r="F159" s="120"/>
      <c r="G159" s="119"/>
    </row>
    <row r="160" spans="1:7" ht="21" x14ac:dyDescent="0.35">
      <c r="A160" t="s">
        <v>1052</v>
      </c>
      <c r="D160" s="120"/>
      <c r="E160" s="118"/>
      <c r="F160" s="120"/>
      <c r="G160" s="119" t="s">
        <v>1630</v>
      </c>
    </row>
    <row r="161" spans="1:8" ht="21" x14ac:dyDescent="0.35">
      <c r="A161" t="s">
        <v>181</v>
      </c>
      <c r="C161" t="s">
        <v>1630</v>
      </c>
      <c r="D161" s="120"/>
      <c r="E161" s="121" t="s">
        <v>1630</v>
      </c>
      <c r="F161" s="120"/>
      <c r="G161" s="119"/>
    </row>
    <row r="162" spans="1:8" ht="21" x14ac:dyDescent="0.35">
      <c r="A162" t="s">
        <v>68</v>
      </c>
      <c r="B162" t="s">
        <v>1630</v>
      </c>
      <c r="C162" t="s">
        <v>1630</v>
      </c>
      <c r="D162" s="120" t="s">
        <v>1630</v>
      </c>
      <c r="E162" s="118"/>
      <c r="F162" s="120"/>
      <c r="G162" s="119" t="s">
        <v>1630</v>
      </c>
    </row>
    <row r="163" spans="1:8" ht="21" x14ac:dyDescent="0.35">
      <c r="A163" t="s">
        <v>20</v>
      </c>
      <c r="B163" t="s">
        <v>1630</v>
      </c>
      <c r="D163" s="120"/>
      <c r="E163" s="118" t="s">
        <v>1630</v>
      </c>
      <c r="F163" s="120"/>
      <c r="G163" s="119" t="s">
        <v>1630</v>
      </c>
      <c r="H163" s="84"/>
    </row>
    <row r="164" spans="1:8" ht="21" x14ac:dyDescent="0.35">
      <c r="A164" t="s">
        <v>1085</v>
      </c>
      <c r="D164" s="120"/>
      <c r="E164" s="121" t="s">
        <v>1634</v>
      </c>
      <c r="F164" s="120"/>
      <c r="G164" s="119"/>
    </row>
    <row r="165" spans="1:8" ht="21" x14ac:dyDescent="0.35">
      <c r="A165" t="s">
        <v>1091</v>
      </c>
      <c r="B165" t="s">
        <v>1630</v>
      </c>
      <c r="D165" s="120" t="s">
        <v>1630</v>
      </c>
      <c r="E165" s="118"/>
      <c r="F165" s="120"/>
      <c r="G165" s="119"/>
    </row>
    <row r="166" spans="1:8" ht="21" x14ac:dyDescent="0.35">
      <c r="A166" t="s">
        <v>1098</v>
      </c>
      <c r="B166" t="s">
        <v>1630</v>
      </c>
      <c r="D166" s="120"/>
      <c r="E166" s="118" t="s">
        <v>1630</v>
      </c>
      <c r="F166" s="120"/>
      <c r="G166" s="119"/>
    </row>
    <row r="167" spans="1:8" ht="21" x14ac:dyDescent="0.35">
      <c r="A167" t="s">
        <v>1102</v>
      </c>
      <c r="D167" s="120"/>
      <c r="E167" s="118"/>
      <c r="F167" s="120"/>
      <c r="G167" s="119"/>
    </row>
    <row r="168" spans="1:8" ht="21" x14ac:dyDescent="0.35">
      <c r="A168" t="s">
        <v>1106</v>
      </c>
      <c r="D168" s="120" t="s">
        <v>1630</v>
      </c>
      <c r="E168" s="118"/>
      <c r="F168" s="120"/>
      <c r="G168" s="119"/>
      <c r="H168" s="84"/>
    </row>
    <row r="169" spans="1:8" ht="21" x14ac:dyDescent="0.35">
      <c r="A169" t="s">
        <v>1112</v>
      </c>
      <c r="D169" s="120"/>
      <c r="E169" s="118"/>
      <c r="F169" s="120"/>
      <c r="G169" s="119" t="s">
        <v>1630</v>
      </c>
    </row>
    <row r="170" spans="1:8" ht="21" x14ac:dyDescent="0.35">
      <c r="A170" t="s">
        <v>1116</v>
      </c>
      <c r="D170" s="120"/>
      <c r="E170" s="118"/>
      <c r="F170" s="120"/>
      <c r="G170" s="119"/>
    </row>
    <row r="171" spans="1:8" ht="21" x14ac:dyDescent="0.35">
      <c r="A171" t="s">
        <v>1122</v>
      </c>
      <c r="B171" t="s">
        <v>1630</v>
      </c>
      <c r="D171" s="120" t="s">
        <v>1630</v>
      </c>
      <c r="E171" s="121" t="s">
        <v>1630</v>
      </c>
      <c r="F171" s="120"/>
      <c r="G171" s="119"/>
    </row>
    <row r="172" spans="1:8" ht="21" x14ac:dyDescent="0.35">
      <c r="A172" t="s">
        <v>1580</v>
      </c>
      <c r="D172" s="120"/>
      <c r="E172" s="121" t="s">
        <v>1630</v>
      </c>
      <c r="F172" s="120"/>
      <c r="G172" s="119"/>
    </row>
    <row r="173" spans="1:8" ht="21" x14ac:dyDescent="0.35">
      <c r="A173" t="s">
        <v>1579</v>
      </c>
      <c r="D173" s="120"/>
      <c r="E173" s="118"/>
      <c r="F173" s="120"/>
      <c r="G173" s="119"/>
    </row>
    <row r="174" spans="1:8" ht="21" x14ac:dyDescent="0.35">
      <c r="A174" t="s">
        <v>1581</v>
      </c>
      <c r="D174" s="120"/>
      <c r="E174" s="118"/>
      <c r="F174" s="120"/>
      <c r="G174" s="119" t="s">
        <v>1630</v>
      </c>
    </row>
    <row r="175" spans="1:8" ht="21" x14ac:dyDescent="0.35">
      <c r="A175" t="s">
        <v>1130</v>
      </c>
      <c r="C175" t="s">
        <v>1630</v>
      </c>
      <c r="D175" s="120"/>
      <c r="E175" s="118"/>
      <c r="F175" s="120"/>
      <c r="G175" s="119"/>
    </row>
    <row r="176" spans="1:8" ht="21" x14ac:dyDescent="0.35">
      <c r="A176" t="s">
        <v>1136</v>
      </c>
      <c r="D176" s="120"/>
      <c r="E176" s="118"/>
      <c r="F176" s="120"/>
      <c r="G176" s="119"/>
    </row>
    <row r="177" spans="1:7" ht="21" x14ac:dyDescent="0.35">
      <c r="A177" t="s">
        <v>1551</v>
      </c>
      <c r="D177" s="120"/>
      <c r="E177" s="118"/>
      <c r="F177" s="120"/>
      <c r="G177" s="119"/>
    </row>
    <row r="178" spans="1:7" ht="21" x14ac:dyDescent="0.35">
      <c r="A178" t="s">
        <v>187</v>
      </c>
      <c r="D178" s="120"/>
      <c r="E178" s="118"/>
      <c r="F178" s="120"/>
      <c r="G178" s="119"/>
    </row>
    <row r="179" spans="1:7" ht="21" x14ac:dyDescent="0.35">
      <c r="A179" t="s">
        <v>1148</v>
      </c>
      <c r="D179" s="120"/>
      <c r="E179" s="118"/>
      <c r="F179" s="120"/>
      <c r="G179" s="119"/>
    </row>
    <row r="180" spans="1:7" ht="21" x14ac:dyDescent="0.35">
      <c r="A180" t="s">
        <v>1153</v>
      </c>
      <c r="D180" s="120"/>
      <c r="E180" s="118"/>
      <c r="F180" s="120"/>
      <c r="G180" s="119"/>
    </row>
    <row r="181" spans="1:7" ht="21" x14ac:dyDescent="0.35">
      <c r="A181" t="s">
        <v>1551</v>
      </c>
      <c r="D181" s="120"/>
      <c r="E181" s="118"/>
      <c r="F181" s="120"/>
      <c r="G181" s="119"/>
    </row>
    <row r="182" spans="1:7" ht="18" customHeight="1" x14ac:dyDescent="0.25">
      <c r="A182" t="s">
        <v>1638</v>
      </c>
      <c r="C182" t="s">
        <v>1630</v>
      </c>
    </row>
  </sheetData>
  <customSheetViews>
    <customSheetView guid="{EF60762C-634B-4E37-9575-37987277FB5D}" fitToPage="1">
      <selection activeCell="H42" sqref="H42"/>
      <pageMargins left="0.70866141732283472" right="0.19685039370078741" top="0.78740157480314965" bottom="0.78740157480314965" header="0.31496062992125984" footer="0.31496062992125984"/>
      <pageSetup paperSize="9" scale="77" fitToHeight="4" orientation="portrait" r:id="rId1"/>
    </customSheetView>
    <customSheetView guid="{BCD1B658-489F-4064-A696-D5FA21A794F2}" topLeftCell="A151">
      <selection activeCell="A19" sqref="A19"/>
      <pageMargins left="0.7" right="0.7" top="0.78740157499999996" bottom="0.78740157499999996" header="0.3" footer="0.3"/>
    </customSheetView>
    <customSheetView guid="{B17FADA9-6408-445B-BA12-02AB62834AE3}" showPageBreaks="1" fitToPage="1">
      <pane xSplit="1" ySplit="1" topLeftCell="B20" activePane="bottomRight" state="frozen"/>
      <selection pane="bottomRight" activeCell="H42" sqref="H42"/>
      <pageMargins left="0.70866141732283472" right="0.19685039370078741" top="0.78740157480314965" bottom="0.78740157480314965" header="0.31496062992125984" footer="0.31496062992125984"/>
      <pageSetup paperSize="9" scale="69" fitToHeight="4" orientation="portrait" r:id="rId2"/>
    </customSheetView>
    <customSheetView guid="{3306A449-89C6-46B4-ABF7-658F003FF274}" fitToPage="1">
      <selection activeCell="H42" sqref="H42"/>
      <pageMargins left="0.70866141732283472" right="0.19685039370078741" top="0.78740157480314965" bottom="0.78740157480314965" header="0.31496062992125984" footer="0.31496062992125984"/>
      <pageSetup paperSize="9" scale="77" fitToHeight="4" orientation="portrait" r:id="rId3"/>
    </customSheetView>
  </customSheetViews>
  <pageMargins left="0.70866141732283472" right="0.19685039370078741" top="0.78740157480314965" bottom="0.78740157480314965" header="0.31496062992125984" footer="0.31496062992125984"/>
  <pageSetup paperSize="9" scale="77" fitToHeight="4" orientation="portrait"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zoomScaleNormal="100" workbookViewId="0">
      <selection activeCell="B16" sqref="B16"/>
    </sheetView>
  </sheetViews>
  <sheetFormatPr baseColWidth="10" defaultColWidth="8.5703125" defaultRowHeight="15" x14ac:dyDescent="0.25"/>
  <cols>
    <col min="1" max="1" width="17.42578125" customWidth="1"/>
    <col min="2" max="2" width="31.42578125" customWidth="1"/>
    <col min="3" max="3" width="22.42578125" customWidth="1"/>
    <col min="4" max="4" width="29.42578125" customWidth="1"/>
    <col min="5" max="5" width="9.42578125" customWidth="1"/>
    <col min="6" max="6" width="10.42578125" customWidth="1"/>
    <col min="7" max="7" width="29.42578125" customWidth="1"/>
    <col min="8" max="8" width="61.42578125" customWidth="1"/>
    <col min="9" max="1025" width="10.42578125" customWidth="1"/>
  </cols>
  <sheetData>
    <row r="1" spans="1:8" ht="15.75"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G2" t="s">
        <v>13</v>
      </c>
      <c r="H2" t="s">
        <v>14</v>
      </c>
    </row>
    <row r="3" spans="1:8" x14ac:dyDescent="0.25">
      <c r="A3" t="s">
        <v>383</v>
      </c>
      <c r="B3" t="s">
        <v>15</v>
      </c>
      <c r="D3" s="2">
        <v>9900056806314</v>
      </c>
      <c r="E3" t="s">
        <v>16</v>
      </c>
      <c r="F3" t="s">
        <v>17</v>
      </c>
      <c r="G3" t="s">
        <v>18</v>
      </c>
      <c r="H3" t="s">
        <v>19</v>
      </c>
    </row>
    <row r="4" spans="1:8" x14ac:dyDescent="0.25">
      <c r="A4" t="s">
        <v>20</v>
      </c>
      <c r="B4" t="s">
        <v>21</v>
      </c>
    </row>
    <row r="5" spans="1:8" x14ac:dyDescent="0.25">
      <c r="A5" t="s">
        <v>20</v>
      </c>
      <c r="B5" t="s">
        <v>22</v>
      </c>
    </row>
    <row r="6" spans="1:8" x14ac:dyDescent="0.25">
      <c r="A6" t="s">
        <v>23</v>
      </c>
      <c r="B6" t="s">
        <v>24</v>
      </c>
    </row>
    <row r="7" spans="1:8" x14ac:dyDescent="0.25">
      <c r="A7" t="s">
        <v>25</v>
      </c>
      <c r="B7" t="s">
        <v>26</v>
      </c>
      <c r="D7" t="s">
        <v>27</v>
      </c>
      <c r="E7" t="s">
        <v>28</v>
      </c>
      <c r="F7" t="s">
        <v>29</v>
      </c>
      <c r="G7" t="s">
        <v>30</v>
      </c>
    </row>
    <row r="8" spans="1:8" x14ac:dyDescent="0.25">
      <c r="A8" t="s">
        <v>31</v>
      </c>
      <c r="B8" t="s">
        <v>32</v>
      </c>
      <c r="D8" t="s">
        <v>27</v>
      </c>
      <c r="E8" t="s">
        <v>28</v>
      </c>
      <c r="F8" t="s">
        <v>29</v>
      </c>
    </row>
    <row r="9" spans="1:8" x14ac:dyDescent="0.25">
      <c r="A9" t="s">
        <v>33</v>
      </c>
      <c r="B9" t="s">
        <v>34</v>
      </c>
      <c r="D9">
        <v>205703</v>
      </c>
      <c r="E9" t="s">
        <v>35</v>
      </c>
      <c r="G9" t="s">
        <v>36</v>
      </c>
    </row>
    <row r="10" spans="1:8" x14ac:dyDescent="0.25">
      <c r="A10" t="s">
        <v>37</v>
      </c>
      <c r="B10" t="s">
        <v>1654</v>
      </c>
      <c r="D10" t="s">
        <v>38</v>
      </c>
      <c r="E10" t="s">
        <v>39</v>
      </c>
    </row>
    <row r="11" spans="1:8" x14ac:dyDescent="0.25">
      <c r="A11" t="s">
        <v>1189</v>
      </c>
      <c r="B11" t="s">
        <v>1646</v>
      </c>
      <c r="G11" t="s">
        <v>1645</v>
      </c>
    </row>
    <row r="12" spans="1:8" x14ac:dyDescent="0.25">
      <c r="A12" s="84" t="s">
        <v>1546</v>
      </c>
    </row>
    <row r="13" spans="1:8" x14ac:dyDescent="0.25">
      <c r="A13" t="s">
        <v>40</v>
      </c>
    </row>
    <row r="14" spans="1:8" x14ac:dyDescent="0.25">
      <c r="A14" t="s">
        <v>41</v>
      </c>
      <c r="B14" t="s">
        <v>42</v>
      </c>
      <c r="D14" t="s">
        <v>43</v>
      </c>
      <c r="E14">
        <v>98527</v>
      </c>
      <c r="F14">
        <v>2356</v>
      </c>
      <c r="G14" t="s">
        <v>44</v>
      </c>
    </row>
    <row r="15" spans="1:8" x14ac:dyDescent="0.25">
      <c r="A15" t="s">
        <v>45</v>
      </c>
      <c r="B15" t="s">
        <v>46</v>
      </c>
      <c r="D15" t="s">
        <v>448</v>
      </c>
      <c r="E15" t="s">
        <v>294</v>
      </c>
    </row>
    <row r="16" spans="1:8" x14ac:dyDescent="0.25">
      <c r="A16" t="s">
        <v>47</v>
      </c>
    </row>
    <row r="17" spans="1:7" x14ac:dyDescent="0.25">
      <c r="A17" t="s">
        <v>48</v>
      </c>
      <c r="B17" t="s">
        <v>49</v>
      </c>
    </row>
    <row r="18" spans="1:7" x14ac:dyDescent="0.25">
      <c r="A18" t="s">
        <v>50</v>
      </c>
      <c r="B18" t="s">
        <v>51</v>
      </c>
    </row>
    <row r="19" spans="1:7" x14ac:dyDescent="0.25">
      <c r="A19" t="s">
        <v>52</v>
      </c>
      <c r="D19" t="s">
        <v>38</v>
      </c>
      <c r="E19" t="s">
        <v>952</v>
      </c>
    </row>
    <row r="20" spans="1:7" x14ac:dyDescent="0.25">
      <c r="A20" t="s">
        <v>53</v>
      </c>
    </row>
    <row r="21" spans="1:7" x14ac:dyDescent="0.25">
      <c r="A21" t="s">
        <v>54</v>
      </c>
      <c r="B21" t="s">
        <v>55</v>
      </c>
    </row>
    <row r="22" spans="1:7" x14ac:dyDescent="0.25">
      <c r="A22" t="s">
        <v>56</v>
      </c>
      <c r="B22" t="s">
        <v>57</v>
      </c>
    </row>
    <row r="23" spans="1:7" x14ac:dyDescent="0.25">
      <c r="A23" t="s">
        <v>58</v>
      </c>
      <c r="B23" t="s">
        <v>59</v>
      </c>
    </row>
    <row r="24" spans="1:7" x14ac:dyDescent="0.25">
      <c r="A24" t="s">
        <v>60</v>
      </c>
      <c r="B24" t="s">
        <v>61</v>
      </c>
    </row>
    <row r="25" spans="1:7" x14ac:dyDescent="0.25">
      <c r="A25" t="s">
        <v>62</v>
      </c>
      <c r="B25" t="s">
        <v>63</v>
      </c>
      <c r="D25" t="s">
        <v>64</v>
      </c>
      <c r="E25" t="s">
        <v>65</v>
      </c>
    </row>
    <row r="26" spans="1:7" x14ac:dyDescent="0.25">
      <c r="A26" t="s">
        <v>56</v>
      </c>
      <c r="B26" t="s">
        <v>55</v>
      </c>
      <c r="D26" t="s">
        <v>66</v>
      </c>
      <c r="E26" t="s">
        <v>28</v>
      </c>
    </row>
    <row r="27" spans="1:7" x14ac:dyDescent="0.25">
      <c r="A27" t="s">
        <v>1995</v>
      </c>
      <c r="B27" t="s">
        <v>1999</v>
      </c>
      <c r="D27" t="s">
        <v>1997</v>
      </c>
      <c r="E27" t="s">
        <v>1998</v>
      </c>
      <c r="G27" t="s">
        <v>1996</v>
      </c>
    </row>
    <row r="28" spans="1:7" x14ac:dyDescent="0.25">
      <c r="A28" t="s">
        <v>2031</v>
      </c>
      <c r="B28" t="s">
        <v>2032</v>
      </c>
      <c r="D28" t="s">
        <v>2033</v>
      </c>
      <c r="E28" t="s">
        <v>2014</v>
      </c>
      <c r="G28" t="s">
        <v>2034</v>
      </c>
    </row>
    <row r="29" spans="1:7" x14ac:dyDescent="0.25">
      <c r="A29" t="s">
        <v>2046</v>
      </c>
      <c r="B29" t="s">
        <v>2032</v>
      </c>
      <c r="D29" t="s">
        <v>2066</v>
      </c>
      <c r="E29" t="s">
        <v>2067</v>
      </c>
      <c r="G29" t="s">
        <v>2068</v>
      </c>
    </row>
    <row r="30" spans="1:7" x14ac:dyDescent="0.25">
      <c r="A30" t="s">
        <v>1638</v>
      </c>
      <c r="B30" t="s">
        <v>2032</v>
      </c>
      <c r="E30" s="84" t="s">
        <v>2051</v>
      </c>
      <c r="G30" t="s">
        <v>2050</v>
      </c>
    </row>
    <row r="31" spans="1:7" x14ac:dyDescent="0.25">
      <c r="A31" t="s">
        <v>2047</v>
      </c>
      <c r="B31" t="s">
        <v>2049</v>
      </c>
    </row>
    <row r="32" spans="1:7" x14ac:dyDescent="0.25">
      <c r="A32" t="s">
        <v>2112</v>
      </c>
      <c r="B32" t="s">
        <v>2113</v>
      </c>
      <c r="D32" s="241" t="s">
        <v>2114</v>
      </c>
      <c r="E32" t="s">
        <v>2115</v>
      </c>
      <c r="G32" t="s">
        <v>2116</v>
      </c>
    </row>
    <row r="34" spans="1:5" x14ac:dyDescent="0.25">
      <c r="A34" s="3" t="s">
        <v>67</v>
      </c>
    </row>
    <row r="35" spans="1:5" x14ac:dyDescent="0.25">
      <c r="A35" t="s">
        <v>68</v>
      </c>
      <c r="B35" t="s">
        <v>69</v>
      </c>
    </row>
    <row r="36" spans="1:5" x14ac:dyDescent="0.25">
      <c r="A36" t="s">
        <v>70</v>
      </c>
      <c r="B36" t="s">
        <v>71</v>
      </c>
      <c r="D36" t="s">
        <v>72</v>
      </c>
      <c r="E36" t="s">
        <v>73</v>
      </c>
    </row>
    <row r="37" spans="1:5" x14ac:dyDescent="0.25">
      <c r="D37" t="s">
        <v>74</v>
      </c>
      <c r="E37" t="s">
        <v>73</v>
      </c>
    </row>
    <row r="38" spans="1:5" x14ac:dyDescent="0.25">
      <c r="A38" t="s">
        <v>75</v>
      </c>
      <c r="B38" t="s">
        <v>76</v>
      </c>
      <c r="D38" t="s">
        <v>77</v>
      </c>
      <c r="E38" t="s">
        <v>73</v>
      </c>
    </row>
    <row r="39" spans="1:5" x14ac:dyDescent="0.25">
      <c r="A39" t="s">
        <v>78</v>
      </c>
      <c r="B39" t="s">
        <v>79</v>
      </c>
      <c r="D39" t="s">
        <v>80</v>
      </c>
      <c r="E39" t="s">
        <v>81</v>
      </c>
    </row>
    <row r="40" spans="1:5" x14ac:dyDescent="0.25">
      <c r="B40" t="s">
        <v>82</v>
      </c>
      <c r="D40" t="s">
        <v>83</v>
      </c>
      <c r="E40" t="s">
        <v>81</v>
      </c>
    </row>
    <row r="41" spans="1:5" x14ac:dyDescent="0.25">
      <c r="B41" t="s">
        <v>84</v>
      </c>
      <c r="D41" t="s">
        <v>85</v>
      </c>
      <c r="E41" t="s">
        <v>81</v>
      </c>
    </row>
    <row r="42" spans="1:5" x14ac:dyDescent="0.25">
      <c r="B42" t="s">
        <v>86</v>
      </c>
      <c r="D42" t="s">
        <v>87</v>
      </c>
      <c r="E42" t="s">
        <v>73</v>
      </c>
    </row>
    <row r="43" spans="1:5" x14ac:dyDescent="0.25">
      <c r="B43" t="s">
        <v>88</v>
      </c>
      <c r="D43" t="s">
        <v>89</v>
      </c>
      <c r="E43" t="s">
        <v>73</v>
      </c>
    </row>
    <row r="44" spans="1:5" x14ac:dyDescent="0.25">
      <c r="B44" t="s">
        <v>90</v>
      </c>
      <c r="D44" t="s">
        <v>91</v>
      </c>
      <c r="E44" t="s">
        <v>73</v>
      </c>
    </row>
    <row r="45" spans="1:5" x14ac:dyDescent="0.25">
      <c r="B45" t="s">
        <v>92</v>
      </c>
      <c r="D45" t="s">
        <v>93</v>
      </c>
      <c r="E45" t="s">
        <v>73</v>
      </c>
    </row>
    <row r="46" spans="1:5" x14ac:dyDescent="0.25">
      <c r="B46" t="s">
        <v>94</v>
      </c>
      <c r="D46" t="s">
        <v>95</v>
      </c>
      <c r="E46" t="s">
        <v>73</v>
      </c>
    </row>
    <row r="47" spans="1:5" x14ac:dyDescent="0.25">
      <c r="B47" t="s">
        <v>96</v>
      </c>
      <c r="D47" t="s">
        <v>96</v>
      </c>
      <c r="E47" t="s">
        <v>73</v>
      </c>
    </row>
    <row r="57" spans="1:7" x14ac:dyDescent="0.25">
      <c r="A57" t="s">
        <v>1921</v>
      </c>
      <c r="G57" t="s">
        <v>1922</v>
      </c>
    </row>
    <row r="58" spans="1:7" x14ac:dyDescent="0.25">
      <c r="B58" t="s">
        <v>86</v>
      </c>
      <c r="D58" t="s">
        <v>11</v>
      </c>
      <c r="E58" t="s">
        <v>1562</v>
      </c>
    </row>
  </sheetData>
  <customSheetViews>
    <customSheetView guid="{EF60762C-634B-4E37-9575-37987277FB5D}">
      <selection activeCell="G21" sqref="G21"/>
      <pageMargins left="0.7" right="0.7" top="0.78749999999999998" bottom="0.78749999999999998" header="0.51180555555555496" footer="0.51180555555555496"/>
      <pageSetup paperSize="9" firstPageNumber="0" orientation="portrait" horizontalDpi="300" verticalDpi="300"/>
    </customSheetView>
    <customSheetView guid="{BCD1B658-489F-4064-A696-D5FA21A794F2}">
      <selection activeCell="A24" sqref="A24"/>
      <pageMargins left="0.7" right="0.7" top="0.78749999999999998" bottom="0.78749999999999998" header="0.51180555555555496" footer="0.51180555555555496"/>
      <pageSetup paperSize="9" firstPageNumber="0" orientation="portrait" horizontalDpi="300" verticalDpi="300"/>
    </customSheetView>
    <customSheetView guid="{B17FADA9-6408-445B-BA12-02AB62834AE3}" showPageBreaks="1">
      <selection activeCell="J1" sqref="J1"/>
      <pageMargins left="0.7" right="0.7" top="0.78749999999999998" bottom="0.78749999999999998" header="0.51180555555555496" footer="0.51180555555555496"/>
      <pageSetup paperSize="9" firstPageNumber="0" orientation="portrait" horizontalDpi="300" verticalDpi="300" r:id="rId1"/>
    </customSheetView>
    <customSheetView guid="{3306A449-89C6-46B4-ABF7-658F003FF274}">
      <selection activeCell="D30" sqref="D30"/>
      <pageMargins left="0.7" right="0.7" top="0.78749999999999998" bottom="0.78749999999999998" header="0.51180555555555496" footer="0.51180555555555496"/>
      <pageSetup paperSize="9" firstPageNumber="0" orientation="portrait" horizontalDpi="300" verticalDpi="300"/>
    </customSheetView>
  </customSheetViews>
  <hyperlinks>
    <hyperlink ref="D32" r:id="rId2" xr:uid="{EEEEE0AD-C6F1-418E-995B-CC29435B01A2}"/>
  </hyperlinks>
  <pageMargins left="0.7" right="0.7" top="0.78749999999999998" bottom="0.78749999999999998" header="0.51180555555555496" footer="0.51180555555555496"/>
  <pageSetup paperSize="9" firstPageNumber="0" orientation="portrait" horizontalDpi="300" verticalDpi="300"/>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6"/>
  <sheetViews>
    <sheetView zoomScale="85" zoomScaleNormal="85" workbookViewId="0">
      <pane xSplit="1" ySplit="1" topLeftCell="B17" activePane="bottomRight" state="frozen"/>
      <selection pane="topRight" activeCell="B1" sqref="B1"/>
      <selection pane="bottomLeft" activeCell="A2" sqref="A2"/>
      <selection pane="bottomRight" activeCell="C28" sqref="C28"/>
    </sheetView>
  </sheetViews>
  <sheetFormatPr baseColWidth="10" defaultColWidth="8.5703125" defaultRowHeight="15" x14ac:dyDescent="0.25"/>
  <cols>
    <col min="1" max="1" width="24.140625" customWidth="1"/>
    <col min="2" max="2" width="32.7109375" customWidth="1"/>
    <col min="3" max="3" width="18" customWidth="1"/>
    <col min="4" max="4" width="35.5703125" customWidth="1"/>
    <col min="5" max="5" width="10.42578125" customWidth="1"/>
    <col min="6" max="6" width="15.7109375" customWidth="1"/>
    <col min="7" max="7" width="18" customWidth="1"/>
    <col min="8" max="8" width="15.42578125" customWidth="1"/>
    <col min="9" max="9" width="12.28515625" customWidth="1"/>
    <col min="10" max="1025" width="10.42578125" customWidth="1"/>
  </cols>
  <sheetData>
    <row r="1" spans="1:11" ht="18.75" x14ac:dyDescent="0.25">
      <c r="A1" s="90" t="s">
        <v>97</v>
      </c>
      <c r="B1" s="90" t="s">
        <v>98</v>
      </c>
      <c r="C1" s="90" t="s">
        <v>99</v>
      </c>
      <c r="D1" s="90" t="s">
        <v>100</v>
      </c>
      <c r="E1" s="90" t="s">
        <v>101</v>
      </c>
      <c r="F1" s="90" t="s">
        <v>102</v>
      </c>
      <c r="G1" s="90" t="s">
        <v>103</v>
      </c>
      <c r="H1" s="91"/>
    </row>
    <row r="2" spans="1:11" ht="15.75" x14ac:dyDescent="0.25">
      <c r="A2" s="92" t="s">
        <v>1606</v>
      </c>
      <c r="B2" s="92"/>
      <c r="C2" s="93"/>
      <c r="D2" s="239"/>
      <c r="E2" s="92"/>
      <c r="F2" s="94" t="s">
        <v>1583</v>
      </c>
      <c r="G2" s="210"/>
      <c r="H2" s="96"/>
    </row>
    <row r="3" spans="1:11" ht="15.75" x14ac:dyDescent="0.25">
      <c r="A3" s="92" t="s">
        <v>2027</v>
      </c>
      <c r="B3" s="92" t="s">
        <v>1105</v>
      </c>
      <c r="C3" s="93" t="s">
        <v>2087</v>
      </c>
      <c r="D3" s="240" t="s">
        <v>2083</v>
      </c>
      <c r="E3" s="92" t="s">
        <v>104</v>
      </c>
      <c r="F3" s="94"/>
      <c r="G3" s="106">
        <v>44788</v>
      </c>
      <c r="H3" s="96"/>
    </row>
    <row r="4" spans="1:11" ht="15.75" x14ac:dyDescent="0.25">
      <c r="A4" s="92" t="s">
        <v>106</v>
      </c>
      <c r="B4" s="92" t="s">
        <v>107</v>
      </c>
      <c r="C4" s="93" t="s">
        <v>104</v>
      </c>
      <c r="D4" s="92" t="s">
        <v>1616</v>
      </c>
      <c r="E4" s="92" t="s">
        <v>109</v>
      </c>
      <c r="F4" s="94" t="s">
        <v>1583</v>
      </c>
      <c r="G4" s="208">
        <v>43977</v>
      </c>
      <c r="H4" s="96"/>
      <c r="I4" s="96" t="s">
        <v>2008</v>
      </c>
    </row>
    <row r="5" spans="1:11" ht="15.75" customHeight="1" x14ac:dyDescent="0.25">
      <c r="A5" s="97" t="s">
        <v>110</v>
      </c>
      <c r="B5" s="97" t="s">
        <v>252</v>
      </c>
      <c r="C5" s="98" t="s">
        <v>28</v>
      </c>
      <c r="D5" s="97" t="s">
        <v>111</v>
      </c>
      <c r="E5" s="99" t="s">
        <v>109</v>
      </c>
      <c r="F5" s="94" t="s">
        <v>1583</v>
      </c>
      <c r="G5" s="106">
        <v>43731</v>
      </c>
      <c r="H5" s="206">
        <v>43115</v>
      </c>
    </row>
    <row r="6" spans="1:11" ht="15.75" customHeight="1" x14ac:dyDescent="0.25">
      <c r="A6" s="107" t="s">
        <v>1610</v>
      </c>
      <c r="B6" s="107" t="s">
        <v>1566</v>
      </c>
      <c r="C6" s="108"/>
      <c r="D6" s="107" t="s">
        <v>1612</v>
      </c>
      <c r="E6" s="109"/>
      <c r="F6" s="110"/>
      <c r="G6" s="208">
        <v>43928</v>
      </c>
      <c r="H6" s="111"/>
    </row>
    <row r="7" spans="1:11" ht="15.75" x14ac:dyDescent="0.25">
      <c r="A7" s="92" t="s">
        <v>112</v>
      </c>
      <c r="B7" s="92" t="s">
        <v>1955</v>
      </c>
      <c r="C7" s="93">
        <v>98527</v>
      </c>
      <c r="D7" s="92" t="s">
        <v>113</v>
      </c>
      <c r="E7" s="92" t="s">
        <v>114</v>
      </c>
      <c r="F7" s="94"/>
      <c r="G7" s="106">
        <v>43672</v>
      </c>
    </row>
    <row r="8" spans="1:11" ht="15.75" x14ac:dyDescent="0.25">
      <c r="A8" s="92" t="s">
        <v>115</v>
      </c>
      <c r="B8" s="92" t="s">
        <v>116</v>
      </c>
      <c r="C8" s="93" t="s">
        <v>117</v>
      </c>
      <c r="D8" s="92" t="s">
        <v>108</v>
      </c>
      <c r="E8" s="92" t="s">
        <v>109</v>
      </c>
      <c r="F8" s="116"/>
      <c r="G8" s="208">
        <v>43881</v>
      </c>
      <c r="H8" s="96"/>
    </row>
    <row r="9" spans="1:11" ht="15.75" x14ac:dyDescent="0.25">
      <c r="A9" s="245" t="s">
        <v>118</v>
      </c>
      <c r="B9" s="245" t="s">
        <v>116</v>
      </c>
      <c r="C9" s="246" t="s">
        <v>104</v>
      </c>
      <c r="D9" s="245" t="s">
        <v>108</v>
      </c>
      <c r="E9" s="245" t="s">
        <v>119</v>
      </c>
      <c r="F9" s="247"/>
      <c r="G9" s="247">
        <v>43115</v>
      </c>
      <c r="H9" s="248">
        <v>43318</v>
      </c>
    </row>
    <row r="10" spans="1:11" ht="15.75" x14ac:dyDescent="0.25">
      <c r="A10" s="245" t="s">
        <v>120</v>
      </c>
      <c r="B10" s="245" t="s">
        <v>116</v>
      </c>
      <c r="C10" s="246" t="s">
        <v>121</v>
      </c>
      <c r="D10" s="245" t="s">
        <v>108</v>
      </c>
      <c r="E10" s="245" t="s">
        <v>119</v>
      </c>
      <c r="F10" s="247"/>
      <c r="G10" s="247">
        <v>43444</v>
      </c>
      <c r="H10" s="249"/>
    </row>
    <row r="11" spans="1:11" ht="15.75" x14ac:dyDescent="0.25">
      <c r="A11" s="224" t="s">
        <v>122</v>
      </c>
      <c r="B11" s="224"/>
      <c r="C11" s="225"/>
      <c r="D11" s="224" t="s">
        <v>123</v>
      </c>
      <c r="E11" s="224"/>
      <c r="F11" s="226"/>
      <c r="G11" s="227">
        <v>43115</v>
      </c>
      <c r="H11" s="228"/>
    </row>
    <row r="12" spans="1:11" ht="15.75" x14ac:dyDescent="0.25">
      <c r="A12" s="92" t="s">
        <v>124</v>
      </c>
      <c r="B12" s="240" t="s">
        <v>125</v>
      </c>
      <c r="C12" s="93" t="s">
        <v>104</v>
      </c>
      <c r="D12" s="92" t="s">
        <v>1594</v>
      </c>
      <c r="E12" s="92" t="s">
        <v>109</v>
      </c>
      <c r="F12" s="94"/>
      <c r="G12" s="208">
        <v>44764</v>
      </c>
      <c r="H12" s="211">
        <v>43318</v>
      </c>
      <c r="K12" t="s">
        <v>2060</v>
      </c>
    </row>
    <row r="13" spans="1:11" ht="15.75" x14ac:dyDescent="0.25">
      <c r="A13" s="224" t="s">
        <v>1945</v>
      </c>
      <c r="B13" s="224">
        <v>782644</v>
      </c>
      <c r="C13" s="225" t="s">
        <v>353</v>
      </c>
      <c r="D13" s="224" t="s">
        <v>127</v>
      </c>
      <c r="E13" s="224" t="s">
        <v>109</v>
      </c>
      <c r="F13" s="226" t="s">
        <v>1583</v>
      </c>
      <c r="G13" s="227">
        <v>43307</v>
      </c>
      <c r="H13" s="228">
        <v>43115</v>
      </c>
    </row>
    <row r="14" spans="1:11" ht="15.75" x14ac:dyDescent="0.25">
      <c r="A14" s="92" t="s">
        <v>128</v>
      </c>
      <c r="B14" s="92"/>
      <c r="C14" s="93"/>
      <c r="D14" s="92" t="s">
        <v>1944</v>
      </c>
      <c r="E14" s="92"/>
      <c r="F14" s="94" t="s">
        <v>1583</v>
      </c>
      <c r="G14" s="208">
        <v>43881</v>
      </c>
      <c r="H14" s="96"/>
    </row>
    <row r="15" spans="1:11" ht="15.75" x14ac:dyDescent="0.25">
      <c r="A15" s="235" t="s">
        <v>372</v>
      </c>
      <c r="B15" s="235"/>
      <c r="C15" s="236"/>
      <c r="D15" s="235" t="s">
        <v>2097</v>
      </c>
      <c r="E15" s="235"/>
      <c r="F15" s="237"/>
      <c r="G15" s="266"/>
      <c r="H15" s="96"/>
    </row>
    <row r="16" spans="1:11" ht="15.75" x14ac:dyDescent="0.25">
      <c r="A16" s="92" t="s">
        <v>1961</v>
      </c>
      <c r="B16" s="92" t="s">
        <v>104</v>
      </c>
      <c r="C16" s="93" t="s">
        <v>1797</v>
      </c>
      <c r="D16" s="240" t="s">
        <v>378</v>
      </c>
      <c r="E16" s="92"/>
      <c r="F16" s="94" t="s">
        <v>1583</v>
      </c>
      <c r="G16" s="106">
        <v>43693</v>
      </c>
      <c r="H16" s="96"/>
    </row>
    <row r="17" spans="1:11" ht="15.75" x14ac:dyDescent="0.25">
      <c r="A17" s="101" t="s">
        <v>129</v>
      </c>
      <c r="B17" s="101"/>
      <c r="C17" s="102"/>
      <c r="D17" s="232" t="s">
        <v>130</v>
      </c>
      <c r="E17" s="101"/>
      <c r="F17" s="94"/>
      <c r="G17" s="95"/>
      <c r="H17" s="96"/>
    </row>
    <row r="18" spans="1:11" ht="15.75" x14ac:dyDescent="0.25">
      <c r="A18" s="92" t="s">
        <v>23</v>
      </c>
      <c r="B18" s="92" t="s">
        <v>2072</v>
      </c>
      <c r="C18" s="93" t="s">
        <v>2061</v>
      </c>
      <c r="D18" s="232" t="s">
        <v>2062</v>
      </c>
      <c r="E18" s="92"/>
      <c r="F18" s="94"/>
      <c r="G18" s="208">
        <v>43914</v>
      </c>
      <c r="H18" s="211" t="s">
        <v>2071</v>
      </c>
      <c r="I18" s="211"/>
      <c r="J18" s="211"/>
    </row>
    <row r="19" spans="1:11" ht="15.75" x14ac:dyDescent="0.25">
      <c r="A19" s="224" t="s">
        <v>1211</v>
      </c>
      <c r="B19" s="224"/>
      <c r="C19" s="225"/>
      <c r="D19" s="224"/>
      <c r="E19" s="224"/>
      <c r="F19" s="226" t="s">
        <v>1583</v>
      </c>
      <c r="G19" s="227"/>
      <c r="H19" s="228">
        <v>43318</v>
      </c>
    </row>
    <row r="20" spans="1:11" ht="15.75" x14ac:dyDescent="0.25">
      <c r="A20" s="92" t="s">
        <v>131</v>
      </c>
      <c r="B20" s="92"/>
      <c r="C20" s="93"/>
      <c r="D20" s="224"/>
      <c r="E20" s="92"/>
      <c r="F20" s="94" t="s">
        <v>1583</v>
      </c>
      <c r="G20" s="208">
        <v>43977</v>
      </c>
      <c r="H20" s="96"/>
      <c r="K20" t="s">
        <v>2059</v>
      </c>
    </row>
    <row r="21" spans="1:11" ht="15.75" x14ac:dyDescent="0.25">
      <c r="A21" s="235" t="s">
        <v>510</v>
      </c>
      <c r="B21" s="235">
        <v>480203</v>
      </c>
      <c r="C21" s="236" t="s">
        <v>2006</v>
      </c>
      <c r="D21" s="92"/>
      <c r="E21" s="235"/>
      <c r="F21" s="237"/>
      <c r="G21" s="210"/>
      <c r="H21" s="96"/>
    </row>
    <row r="22" spans="1:11" ht="15.75" x14ac:dyDescent="0.25">
      <c r="A22" s="103" t="s">
        <v>132</v>
      </c>
      <c r="B22" s="103"/>
      <c r="C22" s="104"/>
      <c r="D22" s="103" t="s">
        <v>130</v>
      </c>
      <c r="E22" s="103"/>
      <c r="F22" s="94"/>
      <c r="G22" s="210"/>
      <c r="H22" s="96"/>
    </row>
    <row r="23" spans="1:11" ht="15.75" x14ac:dyDescent="0.25">
      <c r="A23" s="92" t="s">
        <v>1956</v>
      </c>
      <c r="B23" s="92">
        <v>4187038</v>
      </c>
      <c r="C23" s="93" t="s">
        <v>476</v>
      </c>
      <c r="D23" s="92" t="s">
        <v>133</v>
      </c>
      <c r="E23" s="92" t="s">
        <v>119</v>
      </c>
      <c r="F23" s="94"/>
      <c r="G23" s="106">
        <v>43115</v>
      </c>
      <c r="H23" s="96"/>
    </row>
    <row r="24" spans="1:11" ht="15.75" x14ac:dyDescent="0.25">
      <c r="A24" s="92" t="s">
        <v>134</v>
      </c>
      <c r="B24" s="92" t="s">
        <v>38</v>
      </c>
      <c r="C24" s="93" t="s">
        <v>28</v>
      </c>
      <c r="D24" s="92" t="s">
        <v>135</v>
      </c>
      <c r="E24" s="92" t="s">
        <v>109</v>
      </c>
      <c r="F24" s="94"/>
      <c r="G24" s="208">
        <v>43881</v>
      </c>
      <c r="H24" s="206">
        <v>43115</v>
      </c>
      <c r="K24" t="s">
        <v>2060</v>
      </c>
    </row>
    <row r="25" spans="1:11" ht="15.75" x14ac:dyDescent="0.25">
      <c r="A25" s="92" t="s">
        <v>136</v>
      </c>
      <c r="B25" s="92" t="s">
        <v>391</v>
      </c>
      <c r="C25" s="93" t="s">
        <v>28</v>
      </c>
      <c r="D25" s="92" t="s">
        <v>137</v>
      </c>
      <c r="E25" s="92" t="s">
        <v>109</v>
      </c>
      <c r="F25" s="94"/>
      <c r="G25" s="208">
        <v>43886</v>
      </c>
      <c r="H25" s="206">
        <v>43115</v>
      </c>
    </row>
    <row r="26" spans="1:11" ht="15.75" x14ac:dyDescent="0.25">
      <c r="A26" s="103" t="s">
        <v>138</v>
      </c>
      <c r="B26" s="103"/>
      <c r="C26" s="104"/>
      <c r="D26" s="103"/>
      <c r="E26" s="103"/>
      <c r="F26" s="94"/>
      <c r="G26" s="106"/>
      <c r="H26" s="96"/>
    </row>
    <row r="27" spans="1:11" ht="15.75" x14ac:dyDescent="0.25">
      <c r="A27" s="92" t="s">
        <v>139</v>
      </c>
      <c r="B27" t="s">
        <v>2160</v>
      </c>
      <c r="C27" s="93" t="s">
        <v>2161</v>
      </c>
      <c r="D27" s="92" t="s">
        <v>140</v>
      </c>
      <c r="E27" s="92" t="s">
        <v>109</v>
      </c>
      <c r="F27" s="94"/>
      <c r="G27" s="106">
        <v>22082022</v>
      </c>
      <c r="H27" s="206">
        <v>43115</v>
      </c>
    </row>
    <row r="28" spans="1:11" ht="15.75" x14ac:dyDescent="0.25">
      <c r="A28" s="92" t="s">
        <v>2024</v>
      </c>
      <c r="B28" s="92"/>
      <c r="C28" s="93" t="s">
        <v>143</v>
      </c>
      <c r="D28" s="240" t="s">
        <v>142</v>
      </c>
      <c r="E28" s="92" t="s">
        <v>109</v>
      </c>
      <c r="F28" s="94" t="s">
        <v>1583</v>
      </c>
      <c r="G28" s="106">
        <v>43451</v>
      </c>
      <c r="H28" s="206">
        <v>43116</v>
      </c>
    </row>
    <row r="29" spans="1:11" ht="15.75" x14ac:dyDescent="0.25">
      <c r="A29" s="92" t="s">
        <v>144</v>
      </c>
      <c r="B29" s="92"/>
      <c r="C29" s="93" t="s">
        <v>2073</v>
      </c>
      <c r="D29" s="241" t="s">
        <v>2019</v>
      </c>
      <c r="E29" s="92" t="s">
        <v>104</v>
      </c>
      <c r="F29" s="94" t="s">
        <v>1583</v>
      </c>
      <c r="G29" s="208">
        <v>43880</v>
      </c>
      <c r="H29" s="211">
        <v>43318</v>
      </c>
    </row>
    <row r="30" spans="1:11" ht="15.75" x14ac:dyDescent="0.25">
      <c r="A30" s="92" t="s">
        <v>145</v>
      </c>
      <c r="B30" s="92"/>
      <c r="C30" s="93" t="s">
        <v>1560</v>
      </c>
      <c r="D30" s="92" t="s">
        <v>146</v>
      </c>
      <c r="E30" s="92"/>
      <c r="F30" s="94"/>
      <c r="G30" s="106">
        <v>43118</v>
      </c>
      <c r="H30" s="96"/>
    </row>
    <row r="31" spans="1:11" ht="15.75" x14ac:dyDescent="0.25">
      <c r="A31" s="92" t="s">
        <v>147</v>
      </c>
      <c r="B31" s="92" t="s">
        <v>668</v>
      </c>
      <c r="C31" s="93" t="s">
        <v>148</v>
      </c>
      <c r="D31" s="92" t="s">
        <v>105</v>
      </c>
      <c r="E31" s="92" t="s">
        <v>109</v>
      </c>
      <c r="F31" s="94"/>
      <c r="G31" s="272">
        <v>44768</v>
      </c>
      <c r="H31" s="96"/>
    </row>
    <row r="32" spans="1:11" ht="15.75" x14ac:dyDescent="0.25">
      <c r="A32" s="92" t="s">
        <v>1604</v>
      </c>
      <c r="B32" s="92" t="s">
        <v>289</v>
      </c>
      <c r="C32" s="92" t="s">
        <v>1647</v>
      </c>
      <c r="D32" s="92" t="s">
        <v>108</v>
      </c>
      <c r="E32" s="92" t="s">
        <v>109</v>
      </c>
      <c r="F32" s="94" t="s">
        <v>1583</v>
      </c>
      <c r="G32" s="106">
        <v>43441</v>
      </c>
      <c r="H32" s="96"/>
    </row>
    <row r="33" spans="1:9" ht="15.75" x14ac:dyDescent="0.25">
      <c r="A33" s="92" t="s">
        <v>150</v>
      </c>
      <c r="B33" s="92" t="s">
        <v>289</v>
      </c>
      <c r="C33" s="92" t="s">
        <v>1647</v>
      </c>
      <c r="D33" s="92" t="s">
        <v>108</v>
      </c>
      <c r="E33" s="92" t="s">
        <v>109</v>
      </c>
      <c r="F33" s="94" t="s">
        <v>1583</v>
      </c>
      <c r="G33" s="106">
        <v>43441</v>
      </c>
      <c r="H33" s="96"/>
    </row>
    <row r="34" spans="1:9" ht="15.75" x14ac:dyDescent="0.25">
      <c r="A34" s="92" t="s">
        <v>151</v>
      </c>
      <c r="B34" s="92"/>
      <c r="C34" s="93"/>
      <c r="D34" s="92" t="s">
        <v>108</v>
      </c>
      <c r="E34" s="92" t="s">
        <v>109</v>
      </c>
      <c r="F34" s="94"/>
      <c r="G34" s="106"/>
      <c r="H34" s="96"/>
    </row>
    <row r="35" spans="1:9" ht="15.75" x14ac:dyDescent="0.25">
      <c r="A35" s="92" t="s">
        <v>152</v>
      </c>
      <c r="B35" s="92"/>
      <c r="C35" s="93"/>
      <c r="D35" s="92" t="s">
        <v>153</v>
      </c>
      <c r="E35" s="94">
        <v>43914</v>
      </c>
      <c r="F35" s="94" t="s">
        <v>1583</v>
      </c>
      <c r="G35" s="208">
        <v>44806</v>
      </c>
      <c r="H35" s="206">
        <v>43115</v>
      </c>
    </row>
    <row r="36" spans="1:9" ht="15.75" x14ac:dyDescent="0.25">
      <c r="A36" s="92" t="s">
        <v>154</v>
      </c>
      <c r="B36" s="92"/>
      <c r="C36" s="93"/>
      <c r="D36" s="92" t="s">
        <v>155</v>
      </c>
      <c r="E36" s="92" t="s">
        <v>114</v>
      </c>
      <c r="F36" s="94"/>
      <c r="G36" s="208">
        <v>43977</v>
      </c>
      <c r="H36" s="96"/>
    </row>
    <row r="37" spans="1:9" ht="15.75" x14ac:dyDescent="0.25">
      <c r="A37" s="103" t="s">
        <v>156</v>
      </c>
      <c r="B37" s="103"/>
      <c r="C37" s="104"/>
      <c r="D37" s="103" t="s">
        <v>157</v>
      </c>
      <c r="E37" s="103"/>
      <c r="F37" s="94"/>
      <c r="G37" s="106"/>
      <c r="H37" s="96"/>
    </row>
    <row r="38" spans="1:9" ht="15.75" x14ac:dyDescent="0.25">
      <c r="A38" s="92" t="s">
        <v>158</v>
      </c>
      <c r="B38" s="92"/>
      <c r="C38" s="93"/>
      <c r="D38" s="92" t="s">
        <v>105</v>
      </c>
      <c r="E38" s="92" t="s">
        <v>109</v>
      </c>
      <c r="F38" s="94"/>
      <c r="G38" s="106">
        <v>43442</v>
      </c>
      <c r="H38" s="211">
        <v>43318</v>
      </c>
    </row>
    <row r="39" spans="1:9" ht="15.75" x14ac:dyDescent="0.25">
      <c r="A39" s="92" t="s">
        <v>40</v>
      </c>
      <c r="B39" s="92"/>
      <c r="C39" s="93"/>
      <c r="D39" s="92" t="s">
        <v>105</v>
      </c>
      <c r="E39" s="92" t="s">
        <v>109</v>
      </c>
      <c r="F39" s="94"/>
      <c r="G39" s="208">
        <v>44809</v>
      </c>
      <c r="H39" s="211">
        <v>43318</v>
      </c>
    </row>
    <row r="40" spans="1:9" ht="15.75" x14ac:dyDescent="0.25">
      <c r="A40" s="92" t="s">
        <v>54</v>
      </c>
      <c r="B40" s="92"/>
      <c r="C40" s="93"/>
      <c r="D40" s="92" t="s">
        <v>1917</v>
      </c>
      <c r="E40" s="92" t="s">
        <v>109</v>
      </c>
      <c r="F40" s="94"/>
      <c r="G40" s="106">
        <v>43731</v>
      </c>
      <c r="H40" s="96"/>
    </row>
    <row r="41" spans="1:9" ht="15.75" x14ac:dyDescent="0.25">
      <c r="A41" s="92" t="s">
        <v>159</v>
      </c>
      <c r="B41" s="92" t="s">
        <v>1953</v>
      </c>
      <c r="C41" s="269" t="s">
        <v>2123</v>
      </c>
      <c r="D41" s="92" t="s">
        <v>161</v>
      </c>
      <c r="E41" s="92" t="s">
        <v>109</v>
      </c>
      <c r="F41" s="94"/>
      <c r="G41" s="208">
        <v>44776</v>
      </c>
      <c r="H41" s="206">
        <v>43115</v>
      </c>
      <c r="I41" s="100" t="s">
        <v>1605</v>
      </c>
    </row>
    <row r="42" spans="1:9" ht="15.75" x14ac:dyDescent="0.25">
      <c r="A42" s="92" t="s">
        <v>162</v>
      </c>
      <c r="B42" s="92"/>
      <c r="C42" s="93" t="s">
        <v>163</v>
      </c>
      <c r="D42" s="92" t="s">
        <v>164</v>
      </c>
      <c r="E42" s="92" t="s">
        <v>109</v>
      </c>
      <c r="F42" s="94"/>
      <c r="G42" s="208">
        <v>44809</v>
      </c>
      <c r="H42" s="206">
        <v>43115</v>
      </c>
    </row>
    <row r="43" spans="1:9" ht="15.75" x14ac:dyDescent="0.25">
      <c r="A43" s="92" t="s">
        <v>165</v>
      </c>
      <c r="B43" s="92"/>
      <c r="C43" s="93"/>
      <c r="D43" s="92" t="s">
        <v>108</v>
      </c>
      <c r="E43" s="92"/>
      <c r="F43" s="94"/>
      <c r="G43" s="208">
        <v>44770</v>
      </c>
      <c r="H43" s="96"/>
    </row>
    <row r="44" spans="1:9" ht="15.75" x14ac:dyDescent="0.25">
      <c r="A44" s="92" t="s">
        <v>166</v>
      </c>
      <c r="B44" s="92"/>
      <c r="C44" s="93"/>
      <c r="D44" s="92" t="s">
        <v>108</v>
      </c>
      <c r="E44" s="92" t="s">
        <v>119</v>
      </c>
      <c r="F44" s="94"/>
      <c r="G44" s="106">
        <v>42724</v>
      </c>
      <c r="H44" s="96"/>
    </row>
    <row r="45" spans="1:9" ht="15.75" x14ac:dyDescent="0.25">
      <c r="A45" s="92" t="s">
        <v>167</v>
      </c>
      <c r="B45" s="92"/>
      <c r="C45" s="93"/>
      <c r="D45" s="92" t="s">
        <v>108</v>
      </c>
      <c r="E45" s="92" t="s">
        <v>109</v>
      </c>
      <c r="F45" s="94"/>
      <c r="G45" s="208">
        <v>43963</v>
      </c>
      <c r="H45" s="96"/>
    </row>
    <row r="46" spans="1:9" ht="15.75" x14ac:dyDescent="0.25">
      <c r="A46" s="92" t="s">
        <v>168</v>
      </c>
      <c r="B46" s="92"/>
      <c r="C46" s="93" t="s">
        <v>169</v>
      </c>
      <c r="D46" s="92" t="s">
        <v>155</v>
      </c>
      <c r="E46" s="92" t="s">
        <v>119</v>
      </c>
      <c r="F46" s="94"/>
      <c r="G46" s="106">
        <v>42796</v>
      </c>
      <c r="H46" s="96"/>
    </row>
    <row r="47" spans="1:9" ht="15.75" x14ac:dyDescent="0.25">
      <c r="A47" s="252" t="s">
        <v>1521</v>
      </c>
      <c r="B47" s="252" t="s">
        <v>1586</v>
      </c>
      <c r="C47" s="253" t="s">
        <v>1587</v>
      </c>
      <c r="D47" s="252" t="s">
        <v>1600</v>
      </c>
      <c r="E47" s="252" t="s">
        <v>104</v>
      </c>
      <c r="F47" s="254" t="s">
        <v>2029</v>
      </c>
      <c r="G47" s="255">
        <v>43781</v>
      </c>
      <c r="H47" s="256">
        <v>43116</v>
      </c>
    </row>
    <row r="48" spans="1:9" ht="15.75" x14ac:dyDescent="0.25">
      <c r="A48" s="103" t="s">
        <v>170</v>
      </c>
      <c r="B48" s="103"/>
      <c r="C48" s="104"/>
      <c r="D48" s="103" t="s">
        <v>130</v>
      </c>
      <c r="E48" s="103"/>
      <c r="F48" s="94"/>
      <c r="G48" s="210"/>
      <c r="H48" s="96"/>
    </row>
    <row r="49" spans="1:11" ht="15.75" x14ac:dyDescent="0.25">
      <c r="A49" s="92" t="s">
        <v>1617</v>
      </c>
      <c r="B49" s="92"/>
      <c r="C49" s="93"/>
      <c r="D49" s="105" t="s">
        <v>1599</v>
      </c>
      <c r="E49" s="92" t="s">
        <v>1601</v>
      </c>
      <c r="F49" s="94" t="s">
        <v>1583</v>
      </c>
      <c r="G49" s="208">
        <v>43914</v>
      </c>
      <c r="H49" s="207"/>
    </row>
    <row r="50" spans="1:11" ht="15.75" x14ac:dyDescent="0.25">
      <c r="A50" s="92" t="s">
        <v>172</v>
      </c>
      <c r="B50" s="103"/>
      <c r="C50" s="93"/>
      <c r="D50" s="92" t="s">
        <v>108</v>
      </c>
      <c r="E50" s="92"/>
      <c r="F50" s="94"/>
      <c r="G50" s="210"/>
      <c r="H50" s="96"/>
    </row>
    <row r="51" spans="1:11" ht="15.75" x14ac:dyDescent="0.25">
      <c r="A51" s="92" t="s">
        <v>173</v>
      </c>
      <c r="B51" s="24" t="s">
        <v>448</v>
      </c>
      <c r="C51" s="24" t="s">
        <v>449</v>
      </c>
      <c r="D51" s="92" t="s">
        <v>1916</v>
      </c>
      <c r="E51" s="92" t="s">
        <v>109</v>
      </c>
      <c r="F51" s="94" t="s">
        <v>1583</v>
      </c>
      <c r="G51" s="208">
        <v>43907</v>
      </c>
      <c r="H51" s="206"/>
      <c r="K51" t="s">
        <v>2059</v>
      </c>
    </row>
    <row r="52" spans="1:11" ht="15.75" x14ac:dyDescent="0.25">
      <c r="A52" s="92" t="s">
        <v>174</v>
      </c>
      <c r="B52" s="92" t="s">
        <v>980</v>
      </c>
      <c r="C52" s="93" t="s">
        <v>1897</v>
      </c>
      <c r="D52" s="92" t="s">
        <v>175</v>
      </c>
      <c r="E52" s="92" t="s">
        <v>109</v>
      </c>
      <c r="F52" s="94"/>
      <c r="G52" s="208">
        <v>43914</v>
      </c>
      <c r="H52" s="96"/>
      <c r="K52" t="s">
        <v>2059</v>
      </c>
    </row>
    <row r="53" spans="1:11" ht="15.75" x14ac:dyDescent="0.25">
      <c r="A53" s="92" t="s">
        <v>176</v>
      </c>
      <c r="B53" s="92"/>
      <c r="C53" s="93"/>
      <c r="D53" s="92" t="s">
        <v>130</v>
      </c>
      <c r="E53" s="92"/>
      <c r="F53" s="94"/>
      <c r="G53" s="106"/>
      <c r="H53" s="96"/>
    </row>
    <row r="54" spans="1:11" ht="15.75" x14ac:dyDescent="0.25">
      <c r="A54" s="92" t="s">
        <v>177</v>
      </c>
      <c r="B54" s="92" t="s">
        <v>2098</v>
      </c>
      <c r="C54" s="93" t="s">
        <v>178</v>
      </c>
      <c r="D54" s="92" t="s">
        <v>1981</v>
      </c>
      <c r="E54" s="92" t="s">
        <v>109</v>
      </c>
      <c r="F54" s="94"/>
      <c r="G54" s="208">
        <v>43881</v>
      </c>
      <c r="H54" s="206">
        <v>43450</v>
      </c>
      <c r="I54" s="100" t="s">
        <v>2093</v>
      </c>
    </row>
    <row r="55" spans="1:11" ht="15.75" x14ac:dyDescent="0.25">
      <c r="A55" s="92" t="s">
        <v>179</v>
      </c>
      <c r="B55" s="92" t="s">
        <v>1026</v>
      </c>
      <c r="C55" s="93" t="s">
        <v>1582</v>
      </c>
      <c r="D55" s="92"/>
      <c r="E55" s="92" t="s">
        <v>109</v>
      </c>
      <c r="F55" s="94" t="s">
        <v>1583</v>
      </c>
      <c r="G55" s="208">
        <v>44781</v>
      </c>
      <c r="H55" s="207"/>
      <c r="K55" t="s">
        <v>2059</v>
      </c>
    </row>
    <row r="56" spans="1:11" ht="15.75" x14ac:dyDescent="0.25">
      <c r="A56" s="92" t="s">
        <v>1977</v>
      </c>
      <c r="B56" s="92" t="s">
        <v>1978</v>
      </c>
      <c r="C56" s="92" t="s">
        <v>1603</v>
      </c>
      <c r="D56" s="222" t="s">
        <v>1550</v>
      </c>
      <c r="E56" s="92"/>
      <c r="F56" s="94"/>
      <c r="G56" s="208">
        <v>44012</v>
      </c>
      <c r="H56" s="96"/>
    </row>
    <row r="57" spans="1:11" ht="15.75" x14ac:dyDescent="0.25">
      <c r="A57" s="92" t="s">
        <v>180</v>
      </c>
      <c r="B57" s="92"/>
      <c r="C57" s="92"/>
      <c r="D57" s="92" t="s">
        <v>1920</v>
      </c>
      <c r="E57" s="92" t="s">
        <v>109</v>
      </c>
      <c r="F57" s="94"/>
      <c r="G57" s="106">
        <v>43489</v>
      </c>
      <c r="H57" s="96"/>
    </row>
    <row r="58" spans="1:11" ht="15.75" x14ac:dyDescent="0.25">
      <c r="A58" s="92" t="s">
        <v>181</v>
      </c>
      <c r="B58" s="92"/>
      <c r="C58" s="93"/>
      <c r="D58" s="92" t="s">
        <v>108</v>
      </c>
      <c r="E58" s="92" t="s">
        <v>109</v>
      </c>
      <c r="F58" s="94"/>
      <c r="G58" s="106"/>
      <c r="H58" s="96"/>
    </row>
    <row r="59" spans="1:11" ht="15.75" x14ac:dyDescent="0.25">
      <c r="A59" s="92" t="s">
        <v>20</v>
      </c>
      <c r="B59" s="24" t="s">
        <v>1077</v>
      </c>
      <c r="C59" s="93" t="s">
        <v>1077</v>
      </c>
      <c r="D59" s="92" t="s">
        <v>1602</v>
      </c>
      <c r="E59" s="92">
        <v>17</v>
      </c>
      <c r="F59" s="94"/>
      <c r="G59" s="208">
        <v>44781</v>
      </c>
      <c r="H59" s="208">
        <v>43430</v>
      </c>
    </row>
    <row r="60" spans="1:11" ht="15.75" x14ac:dyDescent="0.25">
      <c r="A60" s="235" t="s">
        <v>1412</v>
      </c>
      <c r="B60" s="24" t="s">
        <v>2000</v>
      </c>
      <c r="C60" s="236" t="s">
        <v>2025</v>
      </c>
      <c r="D60" s="235" t="s">
        <v>2001</v>
      </c>
      <c r="E60" s="235"/>
      <c r="F60" s="237"/>
      <c r="G60" s="106">
        <v>43777</v>
      </c>
      <c r="H60" s="251"/>
    </row>
    <row r="61" spans="1:11" ht="15.75" x14ac:dyDescent="0.25">
      <c r="A61" s="92" t="s">
        <v>182</v>
      </c>
      <c r="B61" s="92"/>
      <c r="C61" s="93"/>
      <c r="D61" s="92" t="s">
        <v>1947</v>
      </c>
      <c r="E61" s="92" t="s">
        <v>109</v>
      </c>
      <c r="F61" s="94" t="s">
        <v>1583</v>
      </c>
      <c r="G61" s="208">
        <v>43881</v>
      </c>
      <c r="H61" s="96"/>
      <c r="K61" t="s">
        <v>2059</v>
      </c>
    </row>
    <row r="62" spans="1:11" ht="15.75" x14ac:dyDescent="0.25">
      <c r="A62" s="92" t="s">
        <v>183</v>
      </c>
      <c r="B62" s="92" t="s">
        <v>184</v>
      </c>
      <c r="C62" s="93" t="s">
        <v>1952</v>
      </c>
      <c r="D62" s="92" t="s">
        <v>1896</v>
      </c>
      <c r="E62" s="92" t="s">
        <v>109</v>
      </c>
      <c r="F62" s="94"/>
      <c r="G62" s="208">
        <v>43832</v>
      </c>
      <c r="H62" s="206">
        <v>43116</v>
      </c>
    </row>
    <row r="63" spans="1:11" ht="15.75" x14ac:dyDescent="0.25">
      <c r="A63" s="103" t="s">
        <v>185</v>
      </c>
      <c r="B63" s="103"/>
      <c r="C63" s="104"/>
      <c r="D63" s="103"/>
      <c r="E63" s="103"/>
      <c r="F63" s="94"/>
      <c r="G63" s="106"/>
      <c r="H63" s="96"/>
    </row>
    <row r="64" spans="1:11" ht="15.75" x14ac:dyDescent="0.25">
      <c r="A64" s="92" t="s">
        <v>186</v>
      </c>
      <c r="B64" s="92" t="s">
        <v>1133</v>
      </c>
      <c r="C64" s="93" t="s">
        <v>1134</v>
      </c>
      <c r="D64" s="92" t="s">
        <v>1895</v>
      </c>
      <c r="E64" s="92" t="s">
        <v>109</v>
      </c>
      <c r="F64" s="94" t="s">
        <v>1583</v>
      </c>
      <c r="G64" s="106">
        <v>43490</v>
      </c>
      <c r="H64" s="96"/>
    </row>
    <row r="65" spans="1:8" ht="15.75" x14ac:dyDescent="0.25">
      <c r="A65" s="103" t="s">
        <v>187</v>
      </c>
      <c r="B65" s="103"/>
      <c r="C65" s="104"/>
      <c r="D65" s="103" t="s">
        <v>130</v>
      </c>
      <c r="E65" s="103"/>
      <c r="F65" s="94"/>
      <c r="G65" s="106"/>
      <c r="H65" s="96"/>
    </row>
    <row r="66" spans="1:8" ht="15.75" x14ac:dyDescent="0.25">
      <c r="A66" s="92" t="s">
        <v>188</v>
      </c>
      <c r="B66" s="92">
        <v>9157445</v>
      </c>
      <c r="C66" s="93" t="s">
        <v>1942</v>
      </c>
      <c r="D66" s="92" t="s">
        <v>1894</v>
      </c>
      <c r="E66" s="92"/>
      <c r="F66" s="94"/>
      <c r="G66" s="208">
        <v>43907</v>
      </c>
      <c r="H66" s="206">
        <v>43116</v>
      </c>
    </row>
  </sheetData>
  <customSheetViews>
    <customSheetView guid="{EF60762C-634B-4E37-9575-37987277FB5D}" topLeftCell="A30">
      <selection activeCell="H12" sqref="H12"/>
      <pageMargins left="0.7" right="0.7" top="0.78749999999999998" bottom="0.78749999999999998" header="0.51180555555555496" footer="0.51180555555555496"/>
      <pageSetup paperSize="9" firstPageNumber="0" orientation="portrait" horizontalDpi="300" verticalDpi="300"/>
    </customSheetView>
    <customSheetView guid="{BCD1B658-489F-4064-A696-D5FA21A794F2}">
      <selection activeCell="C7" sqref="C7"/>
      <pageMargins left="0.7" right="0.7" top="0.78749999999999998" bottom="0.78749999999999998" header="0.51180555555555496" footer="0.51180555555555496"/>
      <pageSetup paperSize="9" firstPageNumber="0" orientation="portrait" horizontalDpi="300" verticalDpi="300"/>
    </customSheetView>
    <customSheetView guid="{B17FADA9-6408-445B-BA12-02AB62834AE3}" showPageBreaks="1">
      <selection activeCell="G10" sqref="G10"/>
      <pageMargins left="0.7" right="0.7" top="0.78749999999999998" bottom="0.78749999999999998" header="0.51180555555555496" footer="0.51180555555555496"/>
      <pageSetup paperSize="9" firstPageNumber="0" orientation="portrait" horizontalDpi="300" verticalDpi="300" r:id="rId1"/>
    </customSheetView>
    <customSheetView guid="{3306A449-89C6-46B4-ABF7-658F003FF274}" scale="85">
      <pane xSplit="1" ySplit="1" topLeftCell="B2" activePane="bottomRight" state="frozen"/>
      <selection pane="bottomRight" activeCell="D3" sqref="D3"/>
      <pageMargins left="0.7" right="0.7" top="0.78749999999999998" bottom="0.78749999999999998" header="0.51180555555555496" footer="0.51180555555555496"/>
      <pageSetup paperSize="9" firstPageNumber="0" orientation="portrait" horizontalDpi="300" verticalDpi="300" r:id="rId2"/>
    </customSheetView>
  </customSheetViews>
  <hyperlinks>
    <hyperlink ref="B12" r:id="rId3" xr:uid="{85394042-173B-44C1-94DA-86E154F095A8}"/>
    <hyperlink ref="D29" r:id="rId4" xr:uid="{4BE36007-A584-4FFB-8396-A9D2C4310B3B}"/>
    <hyperlink ref="D16" r:id="rId5" xr:uid="{42527D2D-E0C2-4085-A253-F0F78DD81AA5}"/>
    <hyperlink ref="D28" r:id="rId6" xr:uid="{EBF9230D-C3F1-4723-9A1A-81DEAE158109}"/>
    <hyperlink ref="D3" r:id="rId7" xr:uid="{AAB6A53B-4A4D-4DFD-8A22-9F09CE4AEF2E}"/>
    <hyperlink ref="C41" r:id="rId8" xr:uid="{D0D96C88-4FC8-4D6C-BA57-B9699CA9FF16}"/>
  </hyperlinks>
  <pageMargins left="0.7" right="0.7" top="0.78749999999999998" bottom="0.78749999999999998" header="0.51180555555555496" footer="0.51180555555555496"/>
  <pageSetup paperSize="9" firstPageNumber="0" orientation="portrait" horizontalDpi="300" verticalDpi="300" r:id="rId9"/>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00"/>
  </sheetPr>
  <dimension ref="A1:AMK272"/>
  <sheetViews>
    <sheetView tabSelected="1" zoomScale="84" zoomScaleNormal="84" workbookViewId="0">
      <pane ySplit="1" topLeftCell="A2" activePane="bottomLeft" state="frozen"/>
      <selection pane="bottomLeft" activeCell="C8" sqref="C8"/>
    </sheetView>
  </sheetViews>
  <sheetFormatPr baseColWidth="10" defaultColWidth="19.85546875" defaultRowHeight="15.75" customHeight="1" x14ac:dyDescent="0.25"/>
  <cols>
    <col min="1" max="1" width="8.7109375" style="4" customWidth="1"/>
    <col min="2" max="2" width="18" style="4" customWidth="1"/>
    <col min="3" max="3" width="24.85546875" style="4" bestFit="1" customWidth="1"/>
    <col min="4" max="4" width="21.28515625" style="223" customWidth="1"/>
    <col min="5" max="5" width="22.140625" style="4" customWidth="1"/>
    <col min="6" max="6" width="23.42578125" style="4" bestFit="1" customWidth="1"/>
    <col min="7" max="7" width="10.42578125" style="4" customWidth="1"/>
    <col min="8" max="8" width="31.85546875" style="6" customWidth="1"/>
    <col min="9" max="9" width="17.5703125" style="4" customWidth="1"/>
    <col min="10" max="10" width="18.140625" style="7" customWidth="1"/>
    <col min="11" max="11" width="11.28515625" style="4" customWidth="1"/>
    <col min="12" max="12" width="19.140625" style="4" customWidth="1"/>
    <col min="13" max="13" width="15" style="4" customWidth="1"/>
    <col min="14" max="14" width="12.7109375" style="4" customWidth="1"/>
    <col min="15" max="15" width="14.140625" style="4" customWidth="1"/>
    <col min="16" max="16" width="16.5703125" style="4" customWidth="1"/>
    <col min="17" max="17" width="14.7109375" style="4" customWidth="1"/>
    <col min="18" max="18" width="14.140625" style="4" customWidth="1"/>
    <col min="19" max="19" width="17.28515625" style="4" customWidth="1"/>
    <col min="20" max="20" width="27.5703125" style="4" customWidth="1"/>
    <col min="21" max="21" width="13.140625" style="4" customWidth="1"/>
    <col min="22" max="22" width="16.7109375" style="4" customWidth="1"/>
    <col min="23" max="23" width="14.140625" style="4" customWidth="1"/>
    <col min="24" max="24" width="7.42578125" style="4" customWidth="1"/>
    <col min="25" max="25" width="14.140625" style="4" customWidth="1"/>
    <col min="26" max="26" width="15.7109375" style="4" customWidth="1"/>
    <col min="27" max="28" width="14.140625" style="4" customWidth="1"/>
    <col min="29" max="29" width="8" style="4" customWidth="1"/>
    <col min="30" max="30" width="14.7109375" style="4" customWidth="1"/>
    <col min="31" max="31" width="13.5703125" style="4" customWidth="1"/>
    <col min="32" max="32" width="18.28515625" style="4" customWidth="1"/>
    <col min="33" max="33" width="23.85546875" style="4" customWidth="1"/>
    <col min="34" max="34" width="23.5703125" style="4" customWidth="1"/>
    <col min="35" max="35" width="23.140625" style="4" customWidth="1"/>
    <col min="36" max="36" width="12.42578125" style="4" bestFit="1" customWidth="1"/>
    <col min="37" max="1025" width="19.85546875" style="4"/>
  </cols>
  <sheetData>
    <row r="1" spans="1:1025" s="5" customFormat="1" ht="15.75" customHeight="1" thickBot="1" x14ac:dyDescent="0.35">
      <c r="A1" s="8" t="s">
        <v>189</v>
      </c>
      <c r="B1" s="9" t="s">
        <v>190</v>
      </c>
      <c r="C1" s="10" t="s">
        <v>191</v>
      </c>
      <c r="D1" s="221" t="s">
        <v>5</v>
      </c>
      <c r="E1" s="10" t="s">
        <v>97</v>
      </c>
      <c r="F1" s="10" t="s">
        <v>2035</v>
      </c>
      <c r="G1" s="11" t="s">
        <v>192</v>
      </c>
      <c r="H1" s="12" t="s">
        <v>193</v>
      </c>
      <c r="I1" s="14" t="s">
        <v>68</v>
      </c>
      <c r="J1" s="13" t="s">
        <v>64</v>
      </c>
      <c r="K1" s="14" t="s">
        <v>58</v>
      </c>
      <c r="L1" s="14" t="s">
        <v>54</v>
      </c>
      <c r="M1" s="14" t="s">
        <v>194</v>
      </c>
      <c r="N1" s="14" t="s">
        <v>195</v>
      </c>
      <c r="O1" s="14" t="s">
        <v>196</v>
      </c>
      <c r="P1" s="14" t="s">
        <v>87</v>
      </c>
      <c r="Q1" s="14" t="s">
        <v>89</v>
      </c>
      <c r="R1" s="14" t="s">
        <v>197</v>
      </c>
      <c r="S1" s="14" t="s">
        <v>91</v>
      </c>
      <c r="T1" s="14" t="s">
        <v>198</v>
      </c>
      <c r="U1" s="14" t="s">
        <v>199</v>
      </c>
      <c r="V1" s="14" t="s">
        <v>200</v>
      </c>
      <c r="W1" s="14" t="s">
        <v>201</v>
      </c>
      <c r="X1" s="14" t="s">
        <v>202</v>
      </c>
      <c r="Y1" s="14" t="s">
        <v>203</v>
      </c>
      <c r="Z1" s="14" t="s">
        <v>204</v>
      </c>
      <c r="AA1" s="14" t="s">
        <v>205</v>
      </c>
      <c r="AB1" s="14" t="s">
        <v>206</v>
      </c>
      <c r="AC1" s="14" t="s">
        <v>207</v>
      </c>
      <c r="AD1" s="14" t="s">
        <v>208</v>
      </c>
      <c r="AE1" s="14" t="s">
        <v>209</v>
      </c>
      <c r="AF1" s="14" t="s">
        <v>210</v>
      </c>
      <c r="AG1" s="14" t="s">
        <v>211</v>
      </c>
      <c r="AH1" s="14" t="s">
        <v>212</v>
      </c>
      <c r="AI1" s="14" t="s">
        <v>95</v>
      </c>
      <c r="AJ1" s="14" t="s">
        <v>1593</v>
      </c>
    </row>
    <row r="2" spans="1:1025" ht="15.75" customHeight="1" x14ac:dyDescent="0.25">
      <c r="A2" s="15" t="s">
        <v>213</v>
      </c>
      <c r="B2" s="123" t="s">
        <v>303</v>
      </c>
      <c r="C2" s="17" t="s">
        <v>28</v>
      </c>
      <c r="D2" s="222"/>
      <c r="E2" s="125" t="s">
        <v>304</v>
      </c>
      <c r="F2" s="230"/>
      <c r="G2" s="18" t="s">
        <v>214</v>
      </c>
      <c r="H2" s="126" t="s">
        <v>306</v>
      </c>
      <c r="I2" s="21"/>
      <c r="J2" s="20"/>
      <c r="K2" s="21"/>
      <c r="L2" s="128"/>
      <c r="M2" s="21"/>
      <c r="N2" s="21"/>
      <c r="O2" s="21"/>
      <c r="P2" s="21"/>
      <c r="Q2" s="21"/>
      <c r="R2" s="21"/>
      <c r="S2" s="21"/>
      <c r="T2" s="21"/>
      <c r="U2" s="21"/>
      <c r="V2" s="21"/>
      <c r="W2" s="21"/>
      <c r="X2" s="21"/>
      <c r="Y2" s="21"/>
      <c r="Z2" s="21"/>
      <c r="AA2" s="21"/>
      <c r="AB2" s="21"/>
      <c r="AC2" s="21"/>
      <c r="AD2" s="21"/>
      <c r="AE2" s="21"/>
      <c r="AF2" s="21"/>
      <c r="AG2" s="22"/>
      <c r="AH2" s="22"/>
      <c r="AI2" s="23"/>
      <c r="AJ2" s="23"/>
    </row>
    <row r="3" spans="1:1025" ht="15.75" customHeight="1" x14ac:dyDescent="0.25">
      <c r="A3" s="15" t="s">
        <v>217</v>
      </c>
      <c r="B3" s="16"/>
      <c r="C3" s="17"/>
      <c r="D3" s="222"/>
      <c r="E3" s="125" t="s">
        <v>215</v>
      </c>
      <c r="F3" s="230"/>
      <c r="G3" s="18" t="s">
        <v>218</v>
      </c>
      <c r="H3" s="19" t="s">
        <v>215</v>
      </c>
      <c r="I3" s="21"/>
      <c r="J3" s="20">
        <v>100015718</v>
      </c>
      <c r="K3" s="21"/>
      <c r="L3" s="21"/>
      <c r="M3" s="21"/>
      <c r="N3" s="21"/>
      <c r="O3" s="21"/>
      <c r="P3" s="21"/>
      <c r="Q3" s="21"/>
      <c r="R3" s="21"/>
      <c r="S3" s="21"/>
      <c r="T3" s="21"/>
      <c r="U3" s="21"/>
      <c r="V3" s="21"/>
      <c r="W3" s="21"/>
      <c r="X3" s="21"/>
      <c r="Y3" s="21"/>
      <c r="Z3" s="21"/>
      <c r="AA3" s="21"/>
      <c r="AB3" s="21"/>
      <c r="AC3" s="21"/>
      <c r="AD3" s="21"/>
      <c r="AE3" s="21"/>
      <c r="AF3" s="21"/>
      <c r="AG3" s="22"/>
      <c r="AH3" s="22"/>
      <c r="AI3" s="23" t="s">
        <v>216</v>
      </c>
      <c r="AJ3" s="23"/>
    </row>
    <row r="4" spans="1:1025" ht="15.75" customHeight="1" x14ac:dyDescent="0.25">
      <c r="A4" s="15" t="s">
        <v>221</v>
      </c>
      <c r="B4" s="24"/>
      <c r="C4" s="24"/>
      <c r="D4" s="222"/>
      <c r="E4" s="125" t="s">
        <v>219</v>
      </c>
      <c r="F4" s="230"/>
      <c r="G4" s="18" t="s">
        <v>222</v>
      </c>
      <c r="H4" s="26" t="s">
        <v>219</v>
      </c>
      <c r="I4" s="29"/>
      <c r="J4" s="27"/>
      <c r="K4" s="29"/>
      <c r="L4" s="29"/>
      <c r="M4" s="29"/>
      <c r="N4" s="29"/>
      <c r="O4" s="29"/>
      <c r="P4" s="29"/>
      <c r="Q4" s="29"/>
      <c r="R4" s="29"/>
      <c r="S4" s="29"/>
      <c r="T4" s="29"/>
      <c r="U4" s="29"/>
      <c r="V4" s="29"/>
      <c r="W4" s="29"/>
      <c r="X4" s="29"/>
      <c r="Y4" s="29"/>
      <c r="Z4" s="29"/>
      <c r="AA4" s="29"/>
      <c r="AB4" s="29"/>
      <c r="AC4" s="29"/>
      <c r="AD4" s="29"/>
      <c r="AE4" s="29"/>
      <c r="AF4" s="29"/>
      <c r="AG4" s="23"/>
      <c r="AH4" s="23"/>
      <c r="AI4" s="23" t="s">
        <v>220</v>
      </c>
      <c r="AJ4" s="23"/>
    </row>
    <row r="5" spans="1:1025" ht="15.75" customHeight="1" x14ac:dyDescent="0.25">
      <c r="A5" s="15" t="s">
        <v>226</v>
      </c>
      <c r="B5" s="24"/>
      <c r="C5" s="24"/>
      <c r="D5" s="222"/>
      <c r="E5" s="125" t="s">
        <v>223</v>
      </c>
      <c r="F5" s="230"/>
      <c r="G5" s="18" t="s">
        <v>227</v>
      </c>
      <c r="H5" s="26" t="s">
        <v>223</v>
      </c>
      <c r="I5" s="28" t="s">
        <v>224</v>
      </c>
      <c r="J5" s="27" t="s">
        <v>104</v>
      </c>
      <c r="K5" s="29"/>
      <c r="L5" s="29"/>
      <c r="M5" s="29"/>
      <c r="N5" s="29"/>
      <c r="O5" s="29"/>
      <c r="P5" s="29"/>
      <c r="Q5" s="29"/>
      <c r="R5" s="29"/>
      <c r="S5" s="29"/>
      <c r="T5" s="29"/>
      <c r="U5" s="29"/>
      <c r="V5" s="29"/>
      <c r="W5" s="29"/>
      <c r="X5" s="29"/>
      <c r="Y5" s="29"/>
      <c r="Z5" s="29"/>
      <c r="AA5" s="29"/>
      <c r="AB5" s="29"/>
      <c r="AC5" s="29"/>
      <c r="AD5" s="29"/>
      <c r="AE5" s="29"/>
      <c r="AF5" s="29"/>
      <c r="AG5" s="23"/>
      <c r="AH5" s="23"/>
      <c r="AI5" s="23" t="s">
        <v>225</v>
      </c>
      <c r="AJ5" s="23"/>
    </row>
    <row r="6" spans="1:1025" ht="15.75" customHeight="1" x14ac:dyDescent="0.25">
      <c r="A6" s="15" t="s">
        <v>229</v>
      </c>
      <c r="B6" s="24">
        <v>950086739</v>
      </c>
      <c r="C6" s="24" t="s">
        <v>28</v>
      </c>
      <c r="D6" s="222"/>
      <c r="E6" s="125" t="s">
        <v>1534</v>
      </c>
      <c r="F6" s="230"/>
      <c r="G6" s="18" t="s">
        <v>233</v>
      </c>
      <c r="H6" s="33" t="s">
        <v>1534</v>
      </c>
      <c r="I6" s="29" t="s">
        <v>367</v>
      </c>
      <c r="J6" s="27" t="s">
        <v>370</v>
      </c>
      <c r="K6" s="29"/>
      <c r="L6" s="29"/>
      <c r="M6" s="29"/>
      <c r="N6" s="29"/>
      <c r="O6" s="29"/>
      <c r="P6" s="29"/>
      <c r="Q6" s="29"/>
      <c r="R6" s="29"/>
      <c r="S6" s="29"/>
      <c r="T6" s="29"/>
      <c r="U6" s="29"/>
      <c r="V6" s="29"/>
      <c r="W6" s="29"/>
      <c r="X6" s="29"/>
      <c r="Y6" s="29"/>
      <c r="Z6" s="29"/>
      <c r="AA6" s="29"/>
      <c r="AB6" s="29"/>
      <c r="AC6" s="29"/>
      <c r="AD6" s="29"/>
      <c r="AE6" s="29"/>
      <c r="AF6" s="29"/>
      <c r="AG6" s="23"/>
      <c r="AH6" s="23"/>
      <c r="AI6" s="23"/>
      <c r="AJ6" s="23"/>
    </row>
    <row r="7" spans="1:1025" ht="15.75" customHeight="1" x14ac:dyDescent="0.25">
      <c r="A7" s="15" t="s">
        <v>237</v>
      </c>
      <c r="B7" s="24">
        <v>950094925</v>
      </c>
      <c r="C7" s="24" t="s">
        <v>362</v>
      </c>
      <c r="D7" s="222"/>
      <c r="E7" s="125" t="s">
        <v>1534</v>
      </c>
      <c r="F7" s="230"/>
      <c r="G7" s="18" t="s">
        <v>239</v>
      </c>
      <c r="H7" s="33" t="s">
        <v>1660</v>
      </c>
      <c r="I7" s="29"/>
      <c r="J7" s="27"/>
      <c r="K7" s="29"/>
      <c r="L7" s="29" t="s">
        <v>364</v>
      </c>
      <c r="M7" s="29"/>
      <c r="N7" s="29"/>
      <c r="O7" s="29"/>
      <c r="P7" s="29"/>
      <c r="Q7" s="29"/>
      <c r="R7" s="29"/>
      <c r="S7" s="29"/>
      <c r="T7" s="29"/>
      <c r="U7" s="29"/>
      <c r="V7" s="29"/>
      <c r="W7" s="29"/>
      <c r="X7" s="29"/>
      <c r="Y7" s="29"/>
      <c r="Z7" s="29"/>
      <c r="AA7" s="29"/>
      <c r="AB7" s="29"/>
      <c r="AC7" s="29"/>
      <c r="AD7" s="29"/>
      <c r="AE7" s="29"/>
      <c r="AF7" s="29"/>
      <c r="AG7" s="23"/>
      <c r="AH7" s="23"/>
      <c r="AI7" s="23"/>
      <c r="AJ7" s="23"/>
    </row>
    <row r="8" spans="1:1025" ht="15.75" customHeight="1" x14ac:dyDescent="0.25">
      <c r="A8" s="15" t="s">
        <v>241</v>
      </c>
      <c r="B8" s="24">
        <v>950212022</v>
      </c>
      <c r="C8" s="24" t="s">
        <v>2182</v>
      </c>
      <c r="D8" s="222"/>
      <c r="E8" s="125" t="s">
        <v>1534</v>
      </c>
      <c r="F8" s="230"/>
      <c r="G8" s="18" t="s">
        <v>243</v>
      </c>
      <c r="H8" s="33" t="s">
        <v>1661</v>
      </c>
      <c r="I8" s="39" t="s">
        <v>367</v>
      </c>
      <c r="J8" s="85" t="s">
        <v>1535</v>
      </c>
      <c r="K8" s="29"/>
      <c r="L8" s="29"/>
      <c r="M8" s="29"/>
      <c r="N8" s="29"/>
      <c r="O8" s="29"/>
      <c r="P8" s="29"/>
      <c r="Q8" s="29"/>
      <c r="R8" s="29"/>
      <c r="S8" s="29"/>
      <c r="T8" s="29"/>
      <c r="U8" s="29"/>
      <c r="V8" s="29"/>
      <c r="W8" s="29"/>
      <c r="X8" s="29"/>
      <c r="Y8" s="29"/>
      <c r="Z8" s="29"/>
      <c r="AA8" s="29"/>
      <c r="AB8" s="29"/>
      <c r="AC8" s="29"/>
      <c r="AD8" s="29"/>
      <c r="AE8" s="29"/>
      <c r="AF8" s="29"/>
      <c r="AG8" s="23"/>
      <c r="AH8" s="23"/>
      <c r="AI8" s="23"/>
      <c r="AJ8" s="23"/>
    </row>
    <row r="9" spans="1:1025" s="32" customFormat="1" ht="15.75" customHeight="1" x14ac:dyDescent="0.2">
      <c r="A9" s="15" t="s">
        <v>247</v>
      </c>
      <c r="B9" s="24" t="s">
        <v>464</v>
      </c>
      <c r="C9" s="24" t="s">
        <v>28</v>
      </c>
      <c r="D9" s="222"/>
      <c r="E9" s="125" t="s">
        <v>465</v>
      </c>
      <c r="F9" s="230"/>
      <c r="G9" s="18" t="s">
        <v>249</v>
      </c>
      <c r="H9" s="33" t="s">
        <v>1620</v>
      </c>
      <c r="I9" s="29" t="s">
        <v>1237</v>
      </c>
      <c r="J9" s="27" t="s">
        <v>1237</v>
      </c>
      <c r="K9" s="29"/>
      <c r="L9" s="29"/>
      <c r="M9" s="29"/>
      <c r="N9" s="29"/>
      <c r="O9" s="29"/>
      <c r="P9" s="29"/>
      <c r="Q9" s="29"/>
      <c r="R9" s="29"/>
      <c r="S9" s="29"/>
      <c r="T9" s="29"/>
      <c r="U9" s="29"/>
      <c r="V9" s="29"/>
      <c r="W9" s="29"/>
      <c r="X9" s="29"/>
      <c r="Y9" s="29"/>
      <c r="Z9" s="29"/>
      <c r="AA9" s="29"/>
      <c r="AB9" s="29"/>
      <c r="AC9" s="29"/>
      <c r="AD9" s="29"/>
      <c r="AE9" s="29"/>
      <c r="AF9" s="29"/>
      <c r="AG9" s="23"/>
      <c r="AH9" s="23"/>
      <c r="AI9" s="23"/>
      <c r="AJ9" s="23"/>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row>
    <row r="10" spans="1:1025" ht="15.75" customHeight="1" x14ac:dyDescent="0.25">
      <c r="A10" s="15" t="s">
        <v>251</v>
      </c>
      <c r="B10" s="30"/>
      <c r="C10" s="30"/>
      <c r="D10" s="222"/>
      <c r="E10" s="125" t="s">
        <v>228</v>
      </c>
      <c r="F10" s="230"/>
      <c r="G10" s="18" t="s">
        <v>254</v>
      </c>
      <c r="H10" s="26" t="s">
        <v>2094</v>
      </c>
      <c r="I10" s="29" t="s">
        <v>625</v>
      </c>
      <c r="J10" s="35" t="s">
        <v>2028</v>
      </c>
      <c r="K10" s="29"/>
      <c r="L10" s="29"/>
      <c r="M10" s="29"/>
      <c r="N10" s="29"/>
      <c r="O10" s="29"/>
      <c r="P10" s="29" t="s">
        <v>1902</v>
      </c>
      <c r="Q10" s="29"/>
      <c r="R10" s="29"/>
      <c r="S10" s="29"/>
      <c r="T10" s="29"/>
      <c r="U10" s="29"/>
      <c r="V10" s="29"/>
      <c r="W10" s="29"/>
      <c r="X10" s="29"/>
      <c r="Y10" s="29"/>
      <c r="Z10" s="29"/>
      <c r="AA10" s="29"/>
      <c r="AB10" s="29"/>
      <c r="AC10" s="29"/>
      <c r="AD10" s="29"/>
      <c r="AE10" s="29"/>
      <c r="AF10" s="29"/>
      <c r="AG10" s="23"/>
      <c r="AH10" s="23"/>
      <c r="AI10" s="23"/>
      <c r="AJ10" s="23"/>
    </row>
    <row r="11" spans="1:1025" ht="15.75" customHeight="1" x14ac:dyDescent="0.25">
      <c r="A11" s="15" t="s">
        <v>2053</v>
      </c>
      <c r="B11" s="24" t="s">
        <v>1105</v>
      </c>
      <c r="C11" s="24" t="s">
        <v>2165</v>
      </c>
      <c r="D11" s="239" t="s">
        <v>1209</v>
      </c>
      <c r="E11" s="125" t="s">
        <v>2088</v>
      </c>
      <c r="F11" s="230">
        <v>90017016989</v>
      </c>
      <c r="G11" s="18" t="s">
        <v>2056</v>
      </c>
      <c r="H11" s="33" t="s">
        <v>1106</v>
      </c>
      <c r="I11" s="29" t="s">
        <v>1108</v>
      </c>
      <c r="J11" s="27" t="s">
        <v>1108</v>
      </c>
      <c r="K11" s="29"/>
      <c r="L11" s="29"/>
      <c r="M11" s="29"/>
      <c r="N11" s="29"/>
      <c r="O11" s="29"/>
      <c r="P11" s="29"/>
      <c r="Q11" s="29"/>
      <c r="R11" s="29"/>
      <c r="S11" s="29"/>
      <c r="T11" s="29"/>
      <c r="U11" s="29"/>
      <c r="V11" s="29"/>
      <c r="W11" s="29"/>
      <c r="X11" s="29"/>
      <c r="Y11" s="29"/>
      <c r="Z11" s="29"/>
      <c r="AA11" s="29"/>
      <c r="AB11" s="29"/>
      <c r="AC11" s="29"/>
      <c r="AD11" s="29"/>
      <c r="AE11" s="29"/>
      <c r="AF11" s="29"/>
      <c r="AG11" s="46"/>
      <c r="AH11" s="46"/>
      <c r="AI11" s="29"/>
      <c r="AJ11" s="29"/>
    </row>
    <row r="12" spans="1:1025" ht="15.75" customHeight="1" x14ac:dyDescent="0.25">
      <c r="A12" s="15" t="s">
        <v>259</v>
      </c>
      <c r="B12" s="24" t="s">
        <v>160</v>
      </c>
      <c r="C12" s="24" t="s">
        <v>1562</v>
      </c>
      <c r="D12" s="239" t="s">
        <v>2013</v>
      </c>
      <c r="E12" s="125" t="s">
        <v>2089</v>
      </c>
      <c r="F12" s="230">
        <v>90017016989</v>
      </c>
      <c r="G12" s="18" t="s">
        <v>260</v>
      </c>
      <c r="H12" s="33" t="s">
        <v>1106</v>
      </c>
      <c r="I12" s="29" t="s">
        <v>1108</v>
      </c>
      <c r="J12" s="27" t="s">
        <v>1108</v>
      </c>
      <c r="K12" s="29"/>
      <c r="L12" s="29"/>
      <c r="M12" s="29"/>
      <c r="N12" s="29"/>
      <c r="O12" s="29"/>
      <c r="P12" s="29"/>
      <c r="Q12" s="29"/>
      <c r="R12" s="29"/>
      <c r="S12" s="29"/>
      <c r="T12" s="29"/>
      <c r="U12" s="29"/>
      <c r="V12" s="29"/>
      <c r="W12" s="29"/>
      <c r="X12" s="29"/>
      <c r="Y12" s="29"/>
      <c r="Z12" s="29"/>
      <c r="AA12" s="29"/>
      <c r="AB12" s="29"/>
      <c r="AC12" s="29"/>
      <c r="AD12" s="29"/>
      <c r="AE12" s="29"/>
      <c r="AF12" s="29"/>
      <c r="AG12" s="46"/>
      <c r="AH12" s="46"/>
      <c r="AI12" s="29"/>
      <c r="AJ12" s="29"/>
    </row>
    <row r="13" spans="1:1025" ht="15.75" customHeight="1" x14ac:dyDescent="0.25">
      <c r="A13" s="15" t="s">
        <v>262</v>
      </c>
      <c r="B13" s="30"/>
      <c r="C13" s="30"/>
      <c r="D13" s="222"/>
      <c r="E13" s="125" t="s">
        <v>242</v>
      </c>
      <c r="F13" s="230"/>
      <c r="G13" s="18" t="s">
        <v>263</v>
      </c>
      <c r="H13" s="26" t="s">
        <v>244</v>
      </c>
      <c r="I13" s="31" t="s">
        <v>245</v>
      </c>
      <c r="J13" s="27" t="s">
        <v>245</v>
      </c>
      <c r="K13" s="29"/>
      <c r="L13" s="29"/>
      <c r="M13" s="29"/>
      <c r="N13" s="29"/>
      <c r="O13" s="29"/>
      <c r="P13" s="29"/>
      <c r="Q13" s="29"/>
      <c r="R13" s="29"/>
      <c r="S13" s="29"/>
      <c r="T13" s="29"/>
      <c r="U13" s="29"/>
      <c r="V13" s="29"/>
      <c r="W13" s="29"/>
      <c r="X13" s="29"/>
      <c r="Y13" s="29"/>
      <c r="Z13" s="29"/>
      <c r="AA13" s="29"/>
      <c r="AB13" s="29"/>
      <c r="AC13" s="29"/>
      <c r="AD13" s="29"/>
      <c r="AE13" s="29"/>
      <c r="AF13" s="29" t="s">
        <v>246</v>
      </c>
      <c r="AG13" s="23"/>
      <c r="AH13" s="23"/>
      <c r="AI13" s="23"/>
      <c r="AJ13" s="23"/>
    </row>
    <row r="14" spans="1:1025" ht="15.75" customHeight="1" x14ac:dyDescent="0.25">
      <c r="A14" s="15" t="s">
        <v>265</v>
      </c>
      <c r="B14" s="30"/>
      <c r="C14" s="30"/>
      <c r="D14" s="222"/>
      <c r="E14" s="125" t="s">
        <v>248</v>
      </c>
      <c r="F14" s="230"/>
      <c r="G14" s="18" t="s">
        <v>266</v>
      </c>
      <c r="H14" s="26" t="s">
        <v>248</v>
      </c>
      <c r="I14" s="29">
        <v>705850637</v>
      </c>
      <c r="J14" s="27" t="s">
        <v>250</v>
      </c>
      <c r="K14" s="29"/>
      <c r="L14" s="29"/>
      <c r="M14" s="29"/>
      <c r="N14" s="29"/>
      <c r="O14" s="29"/>
      <c r="P14" s="29"/>
      <c r="Q14" s="29"/>
      <c r="R14" s="29"/>
      <c r="S14" s="29"/>
      <c r="T14" s="29"/>
      <c r="U14" s="29"/>
      <c r="V14" s="29"/>
      <c r="W14" s="29"/>
      <c r="X14" s="29"/>
      <c r="Y14" s="29"/>
      <c r="Z14" s="29"/>
      <c r="AA14" s="29"/>
      <c r="AB14" s="29"/>
      <c r="AC14" s="29"/>
      <c r="AD14" s="29"/>
      <c r="AE14" s="29"/>
      <c r="AF14" s="29" t="s">
        <v>246</v>
      </c>
      <c r="AG14" s="23"/>
      <c r="AH14" s="23"/>
      <c r="AI14" s="23"/>
      <c r="AJ14" s="23"/>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c r="IW14" s="32"/>
      <c r="IX14" s="32"/>
      <c r="IY14" s="32"/>
      <c r="IZ14" s="32"/>
      <c r="JA14" s="32"/>
      <c r="JB14" s="32"/>
      <c r="JC14" s="32"/>
      <c r="JD14" s="32"/>
      <c r="JE14" s="32"/>
      <c r="JF14" s="32"/>
      <c r="JG14" s="32"/>
      <c r="JH14" s="32"/>
      <c r="JI14" s="32"/>
      <c r="JJ14" s="32"/>
      <c r="JK14" s="32"/>
      <c r="JL14" s="32"/>
      <c r="JM14" s="32"/>
      <c r="JN14" s="32"/>
      <c r="JO14" s="32"/>
      <c r="JP14" s="32"/>
      <c r="JQ14" s="32"/>
      <c r="JR14" s="32"/>
      <c r="JS14" s="32"/>
      <c r="JT14" s="32"/>
      <c r="JU14" s="32"/>
      <c r="JV14" s="32"/>
      <c r="JW14" s="32"/>
      <c r="JX14" s="32"/>
      <c r="JY14" s="32"/>
      <c r="JZ14" s="32"/>
      <c r="KA14" s="32"/>
      <c r="KB14" s="32"/>
      <c r="KC14" s="32"/>
      <c r="KD14" s="32"/>
      <c r="KE14" s="32"/>
      <c r="KF14" s="32"/>
      <c r="KG14" s="32"/>
      <c r="KH14" s="32"/>
      <c r="KI14" s="32"/>
      <c r="KJ14" s="32"/>
      <c r="KK14" s="32"/>
      <c r="KL14" s="32"/>
      <c r="KM14" s="32"/>
      <c r="KN14" s="32"/>
      <c r="KO14" s="32"/>
      <c r="KP14" s="32"/>
      <c r="KQ14" s="32"/>
      <c r="KR14" s="32"/>
      <c r="KS14" s="32"/>
      <c r="KT14" s="32"/>
      <c r="KU14" s="32"/>
      <c r="KV14" s="32"/>
      <c r="KW14" s="32"/>
      <c r="KX14" s="32"/>
      <c r="KY14" s="32"/>
      <c r="KZ14" s="32"/>
      <c r="LA14" s="32"/>
      <c r="LB14" s="32"/>
      <c r="LC14" s="32"/>
      <c r="LD14" s="32"/>
      <c r="LE14" s="32"/>
      <c r="LF14" s="32"/>
      <c r="LG14" s="32"/>
      <c r="LH14" s="32"/>
      <c r="LI14" s="32"/>
      <c r="LJ14" s="32"/>
      <c r="LK14" s="32"/>
      <c r="LL14" s="32"/>
      <c r="LM14" s="32"/>
      <c r="LN14" s="32"/>
      <c r="LO14" s="32"/>
      <c r="LP14" s="32"/>
      <c r="LQ14" s="32"/>
      <c r="LR14" s="32"/>
      <c r="LS14" s="32"/>
      <c r="LT14" s="32"/>
      <c r="LU14" s="32"/>
      <c r="LV14" s="32"/>
      <c r="LW14" s="32"/>
      <c r="LX14" s="32"/>
      <c r="LY14" s="32"/>
      <c r="LZ14" s="32"/>
      <c r="MA14" s="32"/>
      <c r="MB14" s="32"/>
      <c r="MC14" s="32"/>
      <c r="MD14" s="32"/>
      <c r="ME14" s="32"/>
      <c r="MF14" s="32"/>
      <c r="MG14" s="32"/>
      <c r="MH14" s="32"/>
      <c r="MI14" s="32"/>
      <c r="MJ14" s="32"/>
      <c r="MK14" s="32"/>
      <c r="ML14" s="32"/>
      <c r="MM14" s="32"/>
      <c r="MN14" s="32"/>
      <c r="MO14" s="32"/>
      <c r="MP14" s="32"/>
      <c r="MQ14" s="32"/>
      <c r="MR14" s="32"/>
      <c r="MS14" s="32"/>
      <c r="MT14" s="32"/>
      <c r="MU14" s="32"/>
      <c r="MV14" s="32"/>
      <c r="MW14" s="32"/>
      <c r="MX14" s="32"/>
      <c r="MY14" s="32"/>
      <c r="MZ14" s="32"/>
      <c r="NA14" s="32"/>
      <c r="NB14" s="32"/>
      <c r="NC14" s="32"/>
      <c r="ND14" s="32"/>
      <c r="NE14" s="32"/>
      <c r="NF14" s="32"/>
      <c r="NG14" s="32"/>
      <c r="NH14" s="32"/>
      <c r="NI14" s="32"/>
      <c r="NJ14" s="32"/>
      <c r="NK14" s="32"/>
      <c r="NL14" s="32"/>
      <c r="NM14" s="32"/>
      <c r="NN14" s="32"/>
      <c r="NO14" s="32"/>
      <c r="NP14" s="32"/>
      <c r="NQ14" s="32"/>
      <c r="NR14" s="32"/>
      <c r="NS14" s="32"/>
      <c r="NT14" s="32"/>
      <c r="NU14" s="32"/>
      <c r="NV14" s="32"/>
      <c r="NW14" s="32"/>
      <c r="NX14" s="32"/>
      <c r="NY14" s="32"/>
      <c r="NZ14" s="32"/>
      <c r="OA14" s="32"/>
      <c r="OB14" s="32"/>
      <c r="OC14" s="32"/>
      <c r="OD14" s="32"/>
      <c r="OE14" s="32"/>
      <c r="OF14" s="32"/>
      <c r="OG14" s="32"/>
      <c r="OH14" s="32"/>
      <c r="OI14" s="32"/>
      <c r="OJ14" s="32"/>
      <c r="OK14" s="32"/>
      <c r="OL14" s="32"/>
      <c r="OM14" s="32"/>
      <c r="ON14" s="32"/>
      <c r="OO14" s="32"/>
      <c r="OP14" s="32"/>
      <c r="OQ14" s="32"/>
      <c r="OR14" s="32"/>
      <c r="OS14" s="32"/>
      <c r="OT14" s="32"/>
      <c r="OU14" s="32"/>
      <c r="OV14" s="32"/>
      <c r="OW14" s="32"/>
      <c r="OX14" s="32"/>
      <c r="OY14" s="32"/>
      <c r="OZ14" s="32"/>
      <c r="PA14" s="32"/>
      <c r="PB14" s="32"/>
      <c r="PC14" s="32"/>
      <c r="PD14" s="32"/>
      <c r="PE14" s="32"/>
      <c r="PF14" s="32"/>
      <c r="PG14" s="32"/>
      <c r="PH14" s="32"/>
      <c r="PI14" s="32"/>
      <c r="PJ14" s="32"/>
      <c r="PK14" s="32"/>
      <c r="PL14" s="32"/>
      <c r="PM14" s="32"/>
      <c r="PN14" s="32"/>
      <c r="PO14" s="32"/>
      <c r="PP14" s="32"/>
      <c r="PQ14" s="32"/>
      <c r="PR14" s="32"/>
      <c r="PS14" s="32"/>
      <c r="PT14" s="32"/>
      <c r="PU14" s="32"/>
      <c r="PV14" s="32"/>
      <c r="PW14" s="32"/>
      <c r="PX14" s="32"/>
      <c r="PY14" s="32"/>
      <c r="PZ14" s="32"/>
      <c r="QA14" s="32"/>
      <c r="QB14" s="32"/>
      <c r="QC14" s="32"/>
      <c r="QD14" s="32"/>
      <c r="QE14" s="32"/>
      <c r="QF14" s="32"/>
      <c r="QG14" s="32"/>
      <c r="QH14" s="32"/>
      <c r="QI14" s="32"/>
      <c r="QJ14" s="32"/>
      <c r="QK14" s="32"/>
      <c r="QL14" s="32"/>
      <c r="QM14" s="32"/>
      <c r="QN14" s="32"/>
      <c r="QO14" s="32"/>
      <c r="QP14" s="32"/>
      <c r="QQ14" s="32"/>
      <c r="QR14" s="32"/>
      <c r="QS14" s="32"/>
      <c r="QT14" s="32"/>
      <c r="QU14" s="32"/>
      <c r="QV14" s="32"/>
      <c r="QW14" s="32"/>
      <c r="QX14" s="32"/>
      <c r="QY14" s="32"/>
      <c r="QZ14" s="32"/>
      <c r="RA14" s="32"/>
      <c r="RB14" s="32"/>
      <c r="RC14" s="32"/>
      <c r="RD14" s="32"/>
      <c r="RE14" s="32"/>
      <c r="RF14" s="32"/>
      <c r="RG14" s="32"/>
      <c r="RH14" s="32"/>
      <c r="RI14" s="32"/>
      <c r="RJ14" s="32"/>
      <c r="RK14" s="32"/>
      <c r="RL14" s="32"/>
      <c r="RM14" s="32"/>
      <c r="RN14" s="32"/>
      <c r="RO14" s="32"/>
      <c r="RP14" s="32"/>
      <c r="RQ14" s="32"/>
      <c r="RR14" s="32"/>
      <c r="RS14" s="32"/>
      <c r="RT14" s="32"/>
      <c r="RU14" s="32"/>
      <c r="RV14" s="32"/>
      <c r="RW14" s="32"/>
      <c r="RX14" s="32"/>
      <c r="RY14" s="32"/>
      <c r="RZ14" s="32"/>
      <c r="SA14" s="32"/>
      <c r="SB14" s="32"/>
      <c r="SC14" s="32"/>
      <c r="SD14" s="32"/>
      <c r="SE14" s="32"/>
      <c r="SF14" s="32"/>
      <c r="SG14" s="32"/>
      <c r="SH14" s="32"/>
      <c r="SI14" s="32"/>
      <c r="SJ14" s="32"/>
      <c r="SK14" s="32"/>
      <c r="SL14" s="32"/>
      <c r="SM14" s="32"/>
      <c r="SN14" s="32"/>
      <c r="SO14" s="32"/>
      <c r="SP14" s="32"/>
      <c r="SQ14" s="32"/>
      <c r="SR14" s="32"/>
      <c r="SS14" s="32"/>
      <c r="ST14" s="32"/>
      <c r="SU14" s="32"/>
      <c r="SV14" s="32"/>
      <c r="SW14" s="32"/>
      <c r="SX14" s="32"/>
      <c r="SY14" s="32"/>
      <c r="SZ14" s="32"/>
      <c r="TA14" s="32"/>
      <c r="TB14" s="32"/>
      <c r="TC14" s="32"/>
      <c r="TD14" s="32"/>
      <c r="TE14" s="32"/>
      <c r="TF14" s="32"/>
      <c r="TG14" s="32"/>
      <c r="TH14" s="32"/>
      <c r="TI14" s="32"/>
      <c r="TJ14" s="32"/>
      <c r="TK14" s="32"/>
      <c r="TL14" s="32"/>
      <c r="TM14" s="32"/>
      <c r="TN14" s="32"/>
      <c r="TO14" s="32"/>
      <c r="TP14" s="32"/>
      <c r="TQ14" s="32"/>
      <c r="TR14" s="32"/>
      <c r="TS14" s="32"/>
      <c r="TT14" s="32"/>
      <c r="TU14" s="32"/>
      <c r="TV14" s="32"/>
      <c r="TW14" s="32"/>
      <c r="TX14" s="32"/>
      <c r="TY14" s="32"/>
      <c r="TZ14" s="32"/>
      <c r="UA14" s="32"/>
      <c r="UB14" s="32"/>
      <c r="UC14" s="32"/>
      <c r="UD14" s="32"/>
      <c r="UE14" s="32"/>
      <c r="UF14" s="32"/>
      <c r="UG14" s="32"/>
      <c r="UH14" s="32"/>
      <c r="UI14" s="32"/>
      <c r="UJ14" s="32"/>
      <c r="UK14" s="32"/>
      <c r="UL14" s="32"/>
      <c r="UM14" s="32"/>
      <c r="UN14" s="32"/>
      <c r="UO14" s="32"/>
      <c r="UP14" s="32"/>
      <c r="UQ14" s="32"/>
      <c r="UR14" s="32"/>
      <c r="US14" s="32"/>
      <c r="UT14" s="32"/>
      <c r="UU14" s="32"/>
      <c r="UV14" s="32"/>
      <c r="UW14" s="32"/>
      <c r="UX14" s="32"/>
      <c r="UY14" s="32"/>
      <c r="UZ14" s="32"/>
      <c r="VA14" s="32"/>
      <c r="VB14" s="32"/>
      <c r="VC14" s="32"/>
      <c r="VD14" s="32"/>
      <c r="VE14" s="32"/>
      <c r="VF14" s="32"/>
      <c r="VG14" s="32"/>
      <c r="VH14" s="32"/>
      <c r="VI14" s="32"/>
      <c r="VJ14" s="32"/>
      <c r="VK14" s="32"/>
      <c r="VL14" s="32"/>
      <c r="VM14" s="32"/>
      <c r="VN14" s="32"/>
      <c r="VO14" s="32"/>
      <c r="VP14" s="32"/>
      <c r="VQ14" s="32"/>
      <c r="VR14" s="32"/>
      <c r="VS14" s="32"/>
      <c r="VT14" s="32"/>
      <c r="VU14" s="32"/>
      <c r="VV14" s="32"/>
      <c r="VW14" s="32"/>
      <c r="VX14" s="32"/>
      <c r="VY14" s="32"/>
      <c r="VZ14" s="32"/>
      <c r="WA14" s="32"/>
      <c r="WB14" s="32"/>
      <c r="WC14" s="32"/>
      <c r="WD14" s="32"/>
      <c r="WE14" s="32"/>
      <c r="WF14" s="32"/>
      <c r="WG14" s="32"/>
      <c r="WH14" s="32"/>
      <c r="WI14" s="32"/>
      <c r="WJ14" s="32"/>
      <c r="WK14" s="32"/>
      <c r="WL14" s="32"/>
      <c r="WM14" s="32"/>
      <c r="WN14" s="32"/>
      <c r="WO14" s="32"/>
      <c r="WP14" s="32"/>
      <c r="WQ14" s="32"/>
      <c r="WR14" s="32"/>
      <c r="WS14" s="32"/>
      <c r="WT14" s="32"/>
      <c r="WU14" s="32"/>
      <c r="WV14" s="32"/>
      <c r="WW14" s="32"/>
      <c r="WX14" s="32"/>
      <c r="WY14" s="32"/>
      <c r="WZ14" s="32"/>
      <c r="XA14" s="32"/>
      <c r="XB14" s="32"/>
      <c r="XC14" s="32"/>
      <c r="XD14" s="32"/>
      <c r="XE14" s="32"/>
      <c r="XF14" s="32"/>
      <c r="XG14" s="32"/>
      <c r="XH14" s="32"/>
      <c r="XI14" s="32"/>
      <c r="XJ14" s="32"/>
      <c r="XK14" s="32"/>
      <c r="XL14" s="32"/>
      <c r="XM14" s="32"/>
      <c r="XN14" s="32"/>
      <c r="XO14" s="32"/>
      <c r="XP14" s="32"/>
      <c r="XQ14" s="32"/>
      <c r="XR14" s="32"/>
      <c r="XS14" s="32"/>
      <c r="XT14" s="32"/>
      <c r="XU14" s="32"/>
      <c r="XV14" s="32"/>
      <c r="XW14" s="32"/>
      <c r="XX14" s="32"/>
      <c r="XY14" s="32"/>
      <c r="XZ14" s="32"/>
      <c r="YA14" s="32"/>
      <c r="YB14" s="32"/>
      <c r="YC14" s="32"/>
      <c r="YD14" s="32"/>
      <c r="YE14" s="32"/>
      <c r="YF14" s="32"/>
      <c r="YG14" s="32"/>
      <c r="YH14" s="32"/>
      <c r="YI14" s="32"/>
      <c r="YJ14" s="32"/>
      <c r="YK14" s="32"/>
      <c r="YL14" s="32"/>
      <c r="YM14" s="32"/>
      <c r="YN14" s="32"/>
      <c r="YO14" s="32"/>
      <c r="YP14" s="32"/>
      <c r="YQ14" s="32"/>
      <c r="YR14" s="32"/>
      <c r="YS14" s="32"/>
      <c r="YT14" s="32"/>
      <c r="YU14" s="32"/>
      <c r="YV14" s="32"/>
      <c r="YW14" s="32"/>
      <c r="YX14" s="32"/>
      <c r="YY14" s="32"/>
      <c r="YZ14" s="32"/>
      <c r="ZA14" s="32"/>
      <c r="ZB14" s="32"/>
      <c r="ZC14" s="32"/>
      <c r="ZD14" s="32"/>
      <c r="ZE14" s="32"/>
      <c r="ZF14" s="32"/>
      <c r="ZG14" s="32"/>
      <c r="ZH14" s="32"/>
      <c r="ZI14" s="32"/>
      <c r="ZJ14" s="32"/>
      <c r="ZK14" s="32"/>
      <c r="ZL14" s="32"/>
      <c r="ZM14" s="32"/>
      <c r="ZN14" s="32"/>
      <c r="ZO14" s="32"/>
      <c r="ZP14" s="32"/>
      <c r="ZQ14" s="32"/>
      <c r="ZR14" s="32"/>
      <c r="ZS14" s="32"/>
      <c r="ZT14" s="32"/>
      <c r="ZU14" s="32"/>
      <c r="ZV14" s="32"/>
      <c r="ZW14" s="32"/>
      <c r="ZX14" s="32"/>
      <c r="ZY14" s="32"/>
      <c r="ZZ14" s="32"/>
      <c r="AAA14" s="32"/>
      <c r="AAB14" s="32"/>
      <c r="AAC14" s="32"/>
      <c r="AAD14" s="32"/>
      <c r="AAE14" s="32"/>
      <c r="AAF14" s="32"/>
      <c r="AAG14" s="32"/>
      <c r="AAH14" s="32"/>
      <c r="AAI14" s="32"/>
      <c r="AAJ14" s="32"/>
      <c r="AAK14" s="32"/>
      <c r="AAL14" s="32"/>
      <c r="AAM14" s="32"/>
      <c r="AAN14" s="32"/>
      <c r="AAO14" s="32"/>
      <c r="AAP14" s="32"/>
      <c r="AAQ14" s="32"/>
      <c r="AAR14" s="32"/>
      <c r="AAS14" s="32"/>
      <c r="AAT14" s="32"/>
      <c r="AAU14" s="32"/>
      <c r="AAV14" s="32"/>
      <c r="AAW14" s="32"/>
      <c r="AAX14" s="32"/>
      <c r="AAY14" s="32"/>
      <c r="AAZ14" s="32"/>
      <c r="ABA14" s="32"/>
      <c r="ABB14" s="32"/>
      <c r="ABC14" s="32"/>
      <c r="ABD14" s="32"/>
      <c r="ABE14" s="32"/>
      <c r="ABF14" s="32"/>
      <c r="ABG14" s="32"/>
      <c r="ABH14" s="32"/>
      <c r="ABI14" s="32"/>
      <c r="ABJ14" s="32"/>
      <c r="ABK14" s="32"/>
      <c r="ABL14" s="32"/>
      <c r="ABM14" s="32"/>
      <c r="ABN14" s="32"/>
      <c r="ABO14" s="32"/>
      <c r="ABP14" s="32"/>
      <c r="ABQ14" s="32"/>
      <c r="ABR14" s="32"/>
      <c r="ABS14" s="32"/>
      <c r="ABT14" s="32"/>
      <c r="ABU14" s="32"/>
      <c r="ABV14" s="32"/>
      <c r="ABW14" s="32"/>
      <c r="ABX14" s="32"/>
      <c r="ABY14" s="32"/>
      <c r="ABZ14" s="32"/>
      <c r="ACA14" s="32"/>
      <c r="ACB14" s="32"/>
      <c r="ACC14" s="32"/>
      <c r="ACD14" s="32"/>
      <c r="ACE14" s="32"/>
      <c r="ACF14" s="32"/>
      <c r="ACG14" s="32"/>
      <c r="ACH14" s="32"/>
      <c r="ACI14" s="32"/>
      <c r="ACJ14" s="32"/>
      <c r="ACK14" s="32"/>
      <c r="ACL14" s="32"/>
      <c r="ACM14" s="32"/>
      <c r="ACN14" s="32"/>
      <c r="ACO14" s="32"/>
      <c r="ACP14" s="32"/>
      <c r="ACQ14" s="32"/>
      <c r="ACR14" s="32"/>
      <c r="ACS14" s="32"/>
      <c r="ACT14" s="32"/>
      <c r="ACU14" s="32"/>
      <c r="ACV14" s="32"/>
      <c r="ACW14" s="32"/>
      <c r="ACX14" s="32"/>
      <c r="ACY14" s="32"/>
      <c r="ACZ14" s="32"/>
      <c r="ADA14" s="32"/>
      <c r="ADB14" s="32"/>
      <c r="ADC14" s="32"/>
      <c r="ADD14" s="32"/>
      <c r="ADE14" s="32"/>
      <c r="ADF14" s="32"/>
      <c r="ADG14" s="32"/>
      <c r="ADH14" s="32"/>
      <c r="ADI14" s="32"/>
      <c r="ADJ14" s="32"/>
      <c r="ADK14" s="32"/>
      <c r="ADL14" s="32"/>
      <c r="ADM14" s="32"/>
      <c r="ADN14" s="32"/>
      <c r="ADO14" s="32"/>
      <c r="ADP14" s="32"/>
      <c r="ADQ14" s="32"/>
      <c r="ADR14" s="32"/>
      <c r="ADS14" s="32"/>
      <c r="ADT14" s="32"/>
      <c r="ADU14" s="32"/>
      <c r="ADV14" s="32"/>
      <c r="ADW14" s="32"/>
      <c r="ADX14" s="32"/>
      <c r="ADY14" s="32"/>
      <c r="ADZ14" s="32"/>
      <c r="AEA14" s="32"/>
      <c r="AEB14" s="32"/>
      <c r="AEC14" s="32"/>
      <c r="AED14" s="32"/>
      <c r="AEE14" s="32"/>
      <c r="AEF14" s="32"/>
      <c r="AEG14" s="32"/>
      <c r="AEH14" s="32"/>
      <c r="AEI14" s="32"/>
      <c r="AEJ14" s="32"/>
      <c r="AEK14" s="32"/>
      <c r="AEL14" s="32"/>
      <c r="AEM14" s="32"/>
      <c r="AEN14" s="32"/>
      <c r="AEO14" s="32"/>
      <c r="AEP14" s="32"/>
      <c r="AEQ14" s="32"/>
      <c r="AER14" s="32"/>
      <c r="AES14" s="32"/>
      <c r="AET14" s="32"/>
      <c r="AEU14" s="32"/>
      <c r="AEV14" s="32"/>
      <c r="AEW14" s="32"/>
      <c r="AEX14" s="32"/>
      <c r="AEY14" s="32"/>
      <c r="AEZ14" s="32"/>
      <c r="AFA14" s="32"/>
      <c r="AFB14" s="32"/>
      <c r="AFC14" s="32"/>
      <c r="AFD14" s="32"/>
      <c r="AFE14" s="32"/>
      <c r="AFF14" s="32"/>
      <c r="AFG14" s="32"/>
      <c r="AFH14" s="32"/>
      <c r="AFI14" s="32"/>
      <c r="AFJ14" s="32"/>
      <c r="AFK14" s="32"/>
      <c r="AFL14" s="32"/>
      <c r="AFM14" s="32"/>
      <c r="AFN14" s="32"/>
      <c r="AFO14" s="32"/>
      <c r="AFP14" s="32"/>
      <c r="AFQ14" s="32"/>
      <c r="AFR14" s="32"/>
      <c r="AFS14" s="32"/>
      <c r="AFT14" s="32"/>
      <c r="AFU14" s="32"/>
      <c r="AFV14" s="32"/>
      <c r="AFW14" s="32"/>
      <c r="AFX14" s="32"/>
      <c r="AFY14" s="32"/>
      <c r="AFZ14" s="32"/>
      <c r="AGA14" s="32"/>
      <c r="AGB14" s="32"/>
      <c r="AGC14" s="32"/>
      <c r="AGD14" s="32"/>
      <c r="AGE14" s="32"/>
      <c r="AGF14" s="32"/>
      <c r="AGG14" s="32"/>
      <c r="AGH14" s="32"/>
      <c r="AGI14" s="32"/>
      <c r="AGJ14" s="32"/>
      <c r="AGK14" s="32"/>
      <c r="AGL14" s="32"/>
      <c r="AGM14" s="32"/>
      <c r="AGN14" s="32"/>
      <c r="AGO14" s="32"/>
      <c r="AGP14" s="32"/>
      <c r="AGQ14" s="32"/>
      <c r="AGR14" s="32"/>
      <c r="AGS14" s="32"/>
      <c r="AGT14" s="32"/>
      <c r="AGU14" s="32"/>
      <c r="AGV14" s="32"/>
      <c r="AGW14" s="32"/>
      <c r="AGX14" s="32"/>
      <c r="AGY14" s="32"/>
      <c r="AGZ14" s="32"/>
      <c r="AHA14" s="32"/>
      <c r="AHB14" s="32"/>
      <c r="AHC14" s="32"/>
      <c r="AHD14" s="32"/>
      <c r="AHE14" s="32"/>
      <c r="AHF14" s="32"/>
      <c r="AHG14" s="32"/>
      <c r="AHH14" s="32"/>
      <c r="AHI14" s="32"/>
      <c r="AHJ14" s="32"/>
      <c r="AHK14" s="32"/>
      <c r="AHL14" s="32"/>
      <c r="AHM14" s="32"/>
      <c r="AHN14" s="32"/>
      <c r="AHO14" s="32"/>
      <c r="AHP14" s="32"/>
      <c r="AHQ14" s="32"/>
      <c r="AHR14" s="32"/>
      <c r="AHS14" s="32"/>
      <c r="AHT14" s="32"/>
      <c r="AHU14" s="32"/>
      <c r="AHV14" s="32"/>
      <c r="AHW14" s="32"/>
      <c r="AHX14" s="32"/>
      <c r="AHY14" s="32"/>
      <c r="AHZ14" s="32"/>
      <c r="AIA14" s="32"/>
      <c r="AIB14" s="32"/>
      <c r="AIC14" s="32"/>
      <c r="AID14" s="32"/>
      <c r="AIE14" s="32"/>
      <c r="AIF14" s="32"/>
      <c r="AIG14" s="32"/>
      <c r="AIH14" s="32"/>
      <c r="AII14" s="32"/>
      <c r="AIJ14" s="32"/>
      <c r="AIK14" s="32"/>
      <c r="AIL14" s="32"/>
      <c r="AIM14" s="32"/>
      <c r="AIN14" s="32"/>
      <c r="AIO14" s="32"/>
      <c r="AIP14" s="32"/>
      <c r="AIQ14" s="32"/>
      <c r="AIR14" s="32"/>
      <c r="AIS14" s="32"/>
      <c r="AIT14" s="32"/>
      <c r="AIU14" s="32"/>
      <c r="AIV14" s="32"/>
      <c r="AIW14" s="32"/>
      <c r="AIX14" s="32"/>
      <c r="AIY14" s="32"/>
      <c r="AIZ14" s="32"/>
      <c r="AJA14" s="32"/>
      <c r="AJB14" s="32"/>
      <c r="AJC14" s="32"/>
      <c r="AJD14" s="32"/>
      <c r="AJE14" s="32"/>
      <c r="AJF14" s="32"/>
      <c r="AJG14" s="32"/>
      <c r="AJH14" s="32"/>
      <c r="AJI14" s="32"/>
      <c r="AJJ14" s="32"/>
      <c r="AJK14" s="32"/>
      <c r="AJL14" s="32"/>
      <c r="AJM14" s="32"/>
      <c r="AJN14" s="32"/>
      <c r="AJO14" s="32"/>
      <c r="AJP14" s="32"/>
      <c r="AJQ14" s="32"/>
      <c r="AJR14" s="32"/>
      <c r="AJS14" s="32"/>
      <c r="AJT14" s="32"/>
      <c r="AJU14" s="32"/>
      <c r="AJV14" s="32"/>
      <c r="AJW14" s="32"/>
      <c r="AJX14" s="32"/>
      <c r="AJY14" s="32"/>
      <c r="AJZ14" s="32"/>
      <c r="AKA14" s="32"/>
      <c r="AKB14" s="32"/>
      <c r="AKC14" s="32"/>
      <c r="AKD14" s="32"/>
      <c r="AKE14" s="32"/>
      <c r="AKF14" s="32"/>
      <c r="AKG14" s="32"/>
      <c r="AKH14" s="32"/>
      <c r="AKI14" s="32"/>
      <c r="AKJ14" s="32"/>
      <c r="AKK14" s="32"/>
      <c r="AKL14" s="32"/>
      <c r="AKM14" s="32"/>
      <c r="AKN14" s="32"/>
      <c r="AKO14" s="32"/>
      <c r="AKP14" s="32"/>
      <c r="AKQ14" s="32"/>
      <c r="AKR14" s="32"/>
      <c r="AKS14" s="32"/>
      <c r="AKT14" s="32"/>
      <c r="AKU14" s="32"/>
      <c r="AKV14" s="32"/>
      <c r="AKW14" s="32"/>
      <c r="AKX14" s="32"/>
      <c r="AKY14" s="32"/>
      <c r="AKZ14" s="32"/>
      <c r="ALA14" s="32"/>
      <c r="ALB14" s="32"/>
      <c r="ALC14" s="32"/>
      <c r="ALD14" s="32"/>
      <c r="ALE14" s="32"/>
      <c r="ALF14" s="32"/>
      <c r="ALG14" s="32"/>
      <c r="ALH14" s="32"/>
      <c r="ALI14" s="32"/>
      <c r="ALJ14" s="32"/>
      <c r="ALK14" s="32"/>
      <c r="ALL14" s="32"/>
      <c r="ALM14" s="32"/>
      <c r="ALN14" s="32"/>
      <c r="ALO14" s="32"/>
      <c r="ALP14" s="32"/>
      <c r="ALQ14" s="32"/>
      <c r="ALR14" s="32"/>
      <c r="ALS14" s="32"/>
      <c r="ALT14" s="32"/>
      <c r="ALU14" s="32"/>
      <c r="ALV14" s="32"/>
      <c r="ALW14" s="32"/>
      <c r="ALX14" s="32"/>
      <c r="ALY14" s="32"/>
      <c r="ALZ14" s="32"/>
      <c r="AMA14" s="32"/>
      <c r="AMB14" s="32"/>
      <c r="AMC14" s="32"/>
      <c r="AMD14" s="32"/>
      <c r="AME14" s="32"/>
      <c r="AMF14" s="32"/>
      <c r="AMG14" s="32"/>
      <c r="AMH14" s="32"/>
      <c r="AMI14" s="32"/>
      <c r="AMJ14" s="32"/>
      <c r="AMK14" s="32"/>
    </row>
    <row r="15" spans="1:1025" ht="15.75" customHeight="1" x14ac:dyDescent="0.25">
      <c r="A15" s="15" t="s">
        <v>270</v>
      </c>
      <c r="B15" s="132" t="s">
        <v>230</v>
      </c>
      <c r="C15" s="132" t="s">
        <v>28</v>
      </c>
      <c r="D15" s="222" t="s">
        <v>231</v>
      </c>
      <c r="E15" s="125" t="s">
        <v>232</v>
      </c>
      <c r="F15" s="230"/>
      <c r="G15" s="18" t="s">
        <v>271</v>
      </c>
      <c r="H15" s="26" t="s">
        <v>232</v>
      </c>
      <c r="I15" s="27" t="s">
        <v>2020</v>
      </c>
      <c r="J15" s="27" t="s">
        <v>234</v>
      </c>
      <c r="K15" s="113"/>
      <c r="L15" s="113"/>
      <c r="M15" s="113"/>
      <c r="N15" s="113"/>
      <c r="O15" s="113"/>
      <c r="P15" s="113"/>
      <c r="Q15" s="113"/>
      <c r="R15" s="113"/>
      <c r="S15" s="113"/>
      <c r="T15" s="113"/>
      <c r="U15" s="113"/>
      <c r="V15" s="113"/>
      <c r="W15" s="113"/>
      <c r="X15" s="113"/>
      <c r="Y15" s="113"/>
      <c r="Z15" s="113"/>
      <c r="AA15" s="113"/>
      <c r="AB15" s="113"/>
      <c r="AC15" s="113"/>
      <c r="AD15" s="113"/>
      <c r="AE15" s="113"/>
      <c r="AF15" s="113" t="s">
        <v>235</v>
      </c>
      <c r="AG15" s="115"/>
      <c r="AH15" s="115"/>
      <c r="AI15" s="115" t="s">
        <v>236</v>
      </c>
      <c r="AJ15" s="115"/>
    </row>
    <row r="16" spans="1:1025" ht="15.75" customHeight="1" x14ac:dyDescent="0.25">
      <c r="A16" s="15" t="s">
        <v>273</v>
      </c>
      <c r="B16" s="24"/>
      <c r="C16" s="24"/>
      <c r="D16" s="222"/>
      <c r="E16" s="125" t="s">
        <v>257</v>
      </c>
      <c r="F16" s="230"/>
      <c r="G16" s="18" t="s">
        <v>274</v>
      </c>
      <c r="H16" s="33" t="s">
        <v>257</v>
      </c>
      <c r="I16" s="29"/>
      <c r="J16" s="27">
        <v>5124</v>
      </c>
      <c r="K16" s="29"/>
      <c r="L16" s="29"/>
      <c r="M16" s="29"/>
      <c r="N16" s="29"/>
      <c r="O16" s="29"/>
      <c r="P16" s="29"/>
      <c r="Q16" s="29"/>
      <c r="R16" s="29"/>
      <c r="S16" s="29"/>
      <c r="T16" s="29"/>
      <c r="U16" s="29"/>
      <c r="V16" s="29"/>
      <c r="W16" s="29"/>
      <c r="X16" s="29"/>
      <c r="Y16" s="29"/>
      <c r="Z16" s="29"/>
      <c r="AA16" s="29"/>
      <c r="AB16" s="29"/>
      <c r="AC16" s="29"/>
      <c r="AD16" s="29"/>
      <c r="AE16" s="29"/>
      <c r="AF16" s="29"/>
      <c r="AG16" s="23"/>
      <c r="AH16" s="23"/>
      <c r="AI16" s="23" t="s">
        <v>258</v>
      </c>
      <c r="AJ16" s="23" t="s">
        <v>2077</v>
      </c>
    </row>
    <row r="17" spans="1:36" ht="15.75" customHeight="1" x14ac:dyDescent="0.25">
      <c r="A17" s="15" t="s">
        <v>276</v>
      </c>
      <c r="B17" s="24" t="s">
        <v>252</v>
      </c>
      <c r="C17" s="24" t="s">
        <v>28</v>
      </c>
      <c r="D17" s="222"/>
      <c r="E17" s="125" t="s">
        <v>253</v>
      </c>
      <c r="F17" s="230"/>
      <c r="G17" s="18" t="s">
        <v>278</v>
      </c>
      <c r="H17" s="33" t="s">
        <v>2064</v>
      </c>
      <c r="I17" s="29" t="s">
        <v>1255</v>
      </c>
      <c r="J17" s="27" t="s">
        <v>256</v>
      </c>
      <c r="K17" s="29"/>
      <c r="L17" s="29"/>
      <c r="M17" s="29"/>
      <c r="N17" s="29"/>
      <c r="O17" s="29"/>
      <c r="P17" s="29"/>
      <c r="Q17" s="29"/>
      <c r="R17" s="29"/>
      <c r="S17" s="29"/>
      <c r="T17" s="29"/>
      <c r="U17" s="29"/>
      <c r="V17" s="29"/>
      <c r="W17" s="29"/>
      <c r="X17" s="29"/>
      <c r="Y17" s="29"/>
      <c r="Z17" s="29"/>
      <c r="AA17" s="29"/>
      <c r="AB17" s="29"/>
      <c r="AC17" s="29"/>
      <c r="AD17" s="29"/>
      <c r="AE17" s="29"/>
      <c r="AF17" s="29"/>
      <c r="AG17" s="23"/>
      <c r="AH17" s="23"/>
      <c r="AI17" s="23"/>
      <c r="AJ17" s="23"/>
    </row>
    <row r="18" spans="1:36" ht="15.75" customHeight="1" x14ac:dyDescent="0.25">
      <c r="A18" s="15" t="s">
        <v>280</v>
      </c>
      <c r="B18" s="250" t="s">
        <v>160</v>
      </c>
      <c r="C18" s="24" t="s">
        <v>2026</v>
      </c>
      <c r="D18" s="222"/>
      <c r="E18" s="125" t="s">
        <v>196</v>
      </c>
      <c r="F18" s="230"/>
      <c r="G18" s="18" t="s">
        <v>283</v>
      </c>
      <c r="H18" s="33" t="s">
        <v>267</v>
      </c>
      <c r="I18" s="29"/>
      <c r="J18" s="27" t="s">
        <v>268</v>
      </c>
      <c r="K18" s="29"/>
      <c r="L18" s="29"/>
      <c r="M18" s="29"/>
      <c r="N18" s="29"/>
      <c r="O18" s="29"/>
      <c r="P18" s="29"/>
      <c r="Q18" s="29"/>
      <c r="R18" s="29"/>
      <c r="S18" s="29"/>
      <c r="T18" s="29"/>
      <c r="U18" s="29"/>
      <c r="V18" s="29"/>
      <c r="W18" s="29"/>
      <c r="X18" s="29"/>
      <c r="Y18" s="29"/>
      <c r="Z18" s="29"/>
      <c r="AA18" s="29"/>
      <c r="AB18" s="29"/>
      <c r="AC18" s="29"/>
      <c r="AD18" s="29"/>
      <c r="AE18" s="29"/>
      <c r="AF18" s="29"/>
      <c r="AG18" s="23"/>
      <c r="AH18" s="23"/>
      <c r="AI18" s="23" t="s">
        <v>269</v>
      </c>
      <c r="AJ18" s="23"/>
    </row>
    <row r="19" spans="1:36" ht="15.75" customHeight="1" x14ac:dyDescent="0.25">
      <c r="A19" s="15" t="s">
        <v>285</v>
      </c>
      <c r="B19" s="250" t="s">
        <v>160</v>
      </c>
      <c r="C19" s="24" t="s">
        <v>2092</v>
      </c>
      <c r="D19" s="222"/>
      <c r="E19" s="125" t="s">
        <v>261</v>
      </c>
      <c r="F19" s="230">
        <v>1007096041001</v>
      </c>
      <c r="G19" s="18" t="s">
        <v>287</v>
      </c>
      <c r="H19" s="33" t="s">
        <v>261</v>
      </c>
      <c r="I19" s="29" t="s">
        <v>264</v>
      </c>
      <c r="J19" s="27" t="s">
        <v>264</v>
      </c>
      <c r="K19" s="29"/>
      <c r="L19" s="29"/>
      <c r="M19" s="29"/>
      <c r="N19" s="29"/>
      <c r="O19" s="29"/>
      <c r="P19" s="29"/>
      <c r="Q19" s="29"/>
      <c r="R19" s="29"/>
      <c r="S19" s="29"/>
      <c r="T19" s="29"/>
      <c r="U19" s="29"/>
      <c r="V19" s="29"/>
      <c r="W19" s="29"/>
      <c r="X19" s="29"/>
      <c r="Y19" s="29"/>
      <c r="Z19" s="29"/>
      <c r="AA19" s="29"/>
      <c r="AB19" s="29"/>
      <c r="AC19" s="29"/>
      <c r="AD19" s="29"/>
      <c r="AE19" s="29"/>
      <c r="AF19" s="29"/>
      <c r="AG19" s="23"/>
      <c r="AH19" s="23"/>
      <c r="AI19" s="23"/>
      <c r="AJ19" s="23"/>
    </row>
    <row r="20" spans="1:36" ht="15.75" customHeight="1" x14ac:dyDescent="0.25">
      <c r="A20" s="15" t="s">
        <v>288</v>
      </c>
      <c r="B20" s="250" t="s">
        <v>160</v>
      </c>
      <c r="C20" s="24" t="s">
        <v>2092</v>
      </c>
      <c r="D20" s="222" t="s">
        <v>68</v>
      </c>
      <c r="E20" s="125" t="s">
        <v>261</v>
      </c>
      <c r="F20" s="230"/>
      <c r="G20" s="18" t="s">
        <v>291</v>
      </c>
      <c r="H20" s="33" t="s">
        <v>261</v>
      </c>
      <c r="I20" s="29" t="s">
        <v>264</v>
      </c>
      <c r="J20" s="27"/>
      <c r="K20" s="29"/>
      <c r="L20" s="29"/>
      <c r="M20" s="29"/>
      <c r="N20" s="29"/>
      <c r="O20" s="29"/>
      <c r="P20" s="29"/>
      <c r="Q20" s="29"/>
      <c r="R20" s="29"/>
      <c r="S20" s="29"/>
      <c r="T20" s="29"/>
      <c r="U20" s="29"/>
      <c r="V20" s="29"/>
      <c r="W20" s="29"/>
      <c r="X20" s="29"/>
      <c r="Y20" s="29"/>
      <c r="Z20" s="29"/>
      <c r="AA20" s="29"/>
      <c r="AB20" s="29"/>
      <c r="AC20" s="29"/>
      <c r="AD20" s="29"/>
      <c r="AE20" s="29"/>
      <c r="AF20" s="29"/>
      <c r="AG20" s="23"/>
      <c r="AH20" s="23"/>
      <c r="AI20" s="23"/>
      <c r="AJ20" s="23"/>
    </row>
    <row r="21" spans="1:36" ht="15.75" customHeight="1" x14ac:dyDescent="0.25">
      <c r="A21" s="15" t="s">
        <v>293</v>
      </c>
      <c r="B21" s="24" t="s">
        <v>1615</v>
      </c>
      <c r="C21" s="24" t="s">
        <v>2078</v>
      </c>
      <c r="D21" s="222" t="s">
        <v>2079</v>
      </c>
      <c r="E21" s="125" t="s">
        <v>1614</v>
      </c>
      <c r="F21" s="230"/>
      <c r="G21" s="18" t="s">
        <v>296</v>
      </c>
      <c r="H21" s="33" t="s">
        <v>1614</v>
      </c>
      <c r="I21" s="29"/>
      <c r="J21" s="27" t="s">
        <v>1615</v>
      </c>
      <c r="K21" s="29"/>
      <c r="L21" s="29"/>
      <c r="M21" s="29"/>
      <c r="N21" s="29"/>
      <c r="O21" s="29"/>
      <c r="P21" s="29"/>
      <c r="Q21" s="29"/>
      <c r="R21" s="29"/>
      <c r="S21" s="29"/>
      <c r="T21" s="29"/>
      <c r="U21" s="29"/>
      <c r="V21" s="29"/>
      <c r="W21" s="29"/>
      <c r="X21" s="29"/>
      <c r="Y21" s="29"/>
      <c r="Z21" s="29"/>
      <c r="AA21" s="29"/>
      <c r="AB21" s="29"/>
      <c r="AC21" s="29"/>
      <c r="AD21" s="29"/>
      <c r="AE21" s="29"/>
      <c r="AF21" s="29"/>
      <c r="AG21" s="23"/>
      <c r="AH21" s="23"/>
      <c r="AI21" s="23"/>
      <c r="AJ21" s="23"/>
    </row>
    <row r="22" spans="1:36" ht="15.75" customHeight="1" x14ac:dyDescent="0.25">
      <c r="A22" s="15" t="s">
        <v>302</v>
      </c>
      <c r="B22" s="47" t="s">
        <v>281</v>
      </c>
      <c r="C22" s="24">
        <v>406324</v>
      </c>
      <c r="D22" s="222"/>
      <c r="E22" s="125" t="s">
        <v>282</v>
      </c>
      <c r="F22" s="230"/>
      <c r="G22" s="18" t="s">
        <v>305</v>
      </c>
      <c r="H22" s="33" t="s">
        <v>282</v>
      </c>
      <c r="I22" s="29"/>
      <c r="J22" s="27" t="s">
        <v>281</v>
      </c>
      <c r="K22" s="29"/>
      <c r="L22" s="29"/>
      <c r="M22" s="29"/>
      <c r="N22" s="29"/>
      <c r="O22" s="29"/>
      <c r="P22" s="29"/>
      <c r="Q22" s="29"/>
      <c r="R22" s="29"/>
      <c r="S22" s="29"/>
      <c r="T22" s="29"/>
      <c r="U22" s="29"/>
      <c r="V22" s="29"/>
      <c r="W22" s="29"/>
      <c r="X22" s="29"/>
      <c r="Y22" s="29"/>
      <c r="Z22" s="29"/>
      <c r="AA22" s="29"/>
      <c r="AB22" s="29"/>
      <c r="AC22" s="29"/>
      <c r="AD22" s="29"/>
      <c r="AE22" s="29"/>
      <c r="AF22" s="29"/>
      <c r="AG22" s="23"/>
      <c r="AH22" s="23"/>
      <c r="AI22" s="23" t="s">
        <v>284</v>
      </c>
      <c r="AJ22" s="23"/>
    </row>
    <row r="23" spans="1:36" ht="15.75" customHeight="1" x14ac:dyDescent="0.25">
      <c r="A23" s="15" t="s">
        <v>307</v>
      </c>
      <c r="B23" s="47" t="s">
        <v>284</v>
      </c>
      <c r="C23" s="24" t="s">
        <v>286</v>
      </c>
      <c r="D23" s="222"/>
      <c r="E23" s="125" t="s">
        <v>282</v>
      </c>
      <c r="F23" s="230"/>
      <c r="G23" s="18" t="s">
        <v>308</v>
      </c>
      <c r="H23" s="33" t="s">
        <v>282</v>
      </c>
      <c r="I23" s="29"/>
      <c r="J23" s="27"/>
      <c r="K23" s="29"/>
      <c r="L23" s="29"/>
      <c r="M23" s="29"/>
      <c r="N23" s="29"/>
      <c r="O23" s="29"/>
      <c r="P23" s="29"/>
      <c r="Q23" s="29"/>
      <c r="R23" s="29"/>
      <c r="S23" s="29"/>
      <c r="T23" s="29"/>
      <c r="U23" s="29"/>
      <c r="V23" s="29"/>
      <c r="W23" s="29"/>
      <c r="X23" s="29"/>
      <c r="Y23" s="29"/>
      <c r="Z23" s="29"/>
      <c r="AA23" s="29"/>
      <c r="AB23" s="29"/>
      <c r="AC23" s="29"/>
      <c r="AD23" s="29"/>
      <c r="AE23" s="29"/>
      <c r="AF23" s="29"/>
      <c r="AG23" s="23"/>
      <c r="AH23" s="23"/>
      <c r="AI23" s="23"/>
      <c r="AJ23" s="23"/>
    </row>
    <row r="24" spans="1:36" ht="15.75" customHeight="1" x14ac:dyDescent="0.25">
      <c r="A24" s="15" t="s">
        <v>312</v>
      </c>
      <c r="B24" s="24" t="s">
        <v>1566</v>
      </c>
      <c r="C24" s="24" t="s">
        <v>2128</v>
      </c>
      <c r="D24" s="222"/>
      <c r="E24" s="125" t="s">
        <v>1553</v>
      </c>
      <c r="F24" s="229" t="s">
        <v>1966</v>
      </c>
      <c r="G24" s="18" t="s">
        <v>315</v>
      </c>
      <c r="H24" s="33" t="s">
        <v>1553</v>
      </c>
      <c r="I24" s="29">
        <v>60344</v>
      </c>
      <c r="J24" s="27" t="s">
        <v>1554</v>
      </c>
      <c r="K24" s="29"/>
      <c r="L24" s="29"/>
      <c r="M24" s="29"/>
      <c r="N24" s="29"/>
      <c r="O24" s="29"/>
      <c r="P24" s="29"/>
      <c r="Q24" s="29"/>
      <c r="R24" s="29"/>
      <c r="S24" s="29"/>
      <c r="T24" s="29"/>
      <c r="U24" s="29"/>
      <c r="V24" s="29"/>
      <c r="W24" s="29"/>
      <c r="X24" s="29"/>
      <c r="Y24" s="29"/>
      <c r="Z24" s="29"/>
      <c r="AA24" s="29"/>
      <c r="AB24" s="29"/>
      <c r="AC24" s="29"/>
      <c r="AD24" s="29"/>
      <c r="AE24" s="29"/>
      <c r="AF24" s="29"/>
      <c r="AG24" s="23"/>
      <c r="AH24" s="23"/>
      <c r="AI24" s="23"/>
      <c r="AJ24" s="23"/>
    </row>
    <row r="25" spans="1:36" ht="15.75" customHeight="1" x14ac:dyDescent="0.25">
      <c r="A25" s="15" t="s">
        <v>329</v>
      </c>
      <c r="B25" s="24" t="s">
        <v>1566</v>
      </c>
      <c r="C25" s="24" t="s">
        <v>2128</v>
      </c>
      <c r="D25" s="222"/>
      <c r="E25" s="125" t="s">
        <v>1557</v>
      </c>
      <c r="F25" s="229" t="s">
        <v>1967</v>
      </c>
      <c r="G25" s="18" t="s">
        <v>330</v>
      </c>
      <c r="H25" s="33" t="s">
        <v>1918</v>
      </c>
      <c r="I25" s="29" t="s">
        <v>1639</v>
      </c>
      <c r="J25" s="27" t="s">
        <v>1552</v>
      </c>
      <c r="K25" s="29"/>
      <c r="L25" s="29" t="s">
        <v>275</v>
      </c>
      <c r="M25" s="29"/>
      <c r="N25" s="29"/>
      <c r="O25" s="29"/>
      <c r="P25" s="29"/>
      <c r="Q25" s="29"/>
      <c r="R25" s="29"/>
      <c r="S25" s="29"/>
      <c r="T25" s="29"/>
      <c r="U25" s="29"/>
      <c r="V25" s="29"/>
      <c r="W25" s="29"/>
      <c r="X25" s="29"/>
      <c r="Y25" s="29"/>
      <c r="Z25" s="29"/>
      <c r="AA25" s="29"/>
      <c r="AB25" s="29"/>
      <c r="AC25" s="29"/>
      <c r="AD25" s="29"/>
      <c r="AE25" s="29"/>
      <c r="AF25" s="29"/>
      <c r="AG25" s="23"/>
      <c r="AH25" s="23"/>
      <c r="AI25" s="23"/>
      <c r="AJ25" s="23"/>
    </row>
    <row r="26" spans="1:36" ht="15.75" customHeight="1" x14ac:dyDescent="0.25">
      <c r="A26" s="15" t="s">
        <v>334</v>
      </c>
      <c r="B26" s="24" t="s">
        <v>1566</v>
      </c>
      <c r="C26" s="24" t="s">
        <v>2128</v>
      </c>
      <c r="D26" s="222" t="s">
        <v>1612</v>
      </c>
      <c r="E26" s="125" t="s">
        <v>1610</v>
      </c>
      <c r="F26" s="229" t="s">
        <v>1968</v>
      </c>
      <c r="G26" s="18" t="s">
        <v>335</v>
      </c>
      <c r="H26" s="33" t="s">
        <v>272</v>
      </c>
      <c r="I26" s="29" t="s">
        <v>1639</v>
      </c>
      <c r="J26" s="27" t="s">
        <v>1552</v>
      </c>
      <c r="K26" s="29"/>
      <c r="L26" s="29"/>
      <c r="M26" s="29"/>
      <c r="N26" s="29"/>
      <c r="O26" s="29"/>
      <c r="P26" s="29"/>
      <c r="Q26" s="29"/>
      <c r="R26" s="29"/>
      <c r="S26" s="29"/>
      <c r="T26" s="29"/>
      <c r="U26" s="29"/>
      <c r="V26" s="29"/>
      <c r="W26" s="29"/>
      <c r="X26" s="29"/>
      <c r="Y26" s="29"/>
      <c r="Z26" s="29"/>
      <c r="AA26" s="29"/>
      <c r="AB26" s="29"/>
      <c r="AC26" s="29"/>
      <c r="AD26" s="29"/>
      <c r="AE26" s="29"/>
      <c r="AF26" s="29"/>
      <c r="AG26" s="23"/>
      <c r="AH26" s="23"/>
      <c r="AI26" s="23"/>
      <c r="AJ26" s="23"/>
    </row>
    <row r="27" spans="1:36" ht="15.75" customHeight="1" x14ac:dyDescent="0.25">
      <c r="A27" s="15" t="s">
        <v>338</v>
      </c>
      <c r="B27" s="24">
        <v>89299</v>
      </c>
      <c r="C27" s="24" t="s">
        <v>277</v>
      </c>
      <c r="D27" s="222"/>
      <c r="E27" s="125" t="s">
        <v>58</v>
      </c>
      <c r="F27" s="230"/>
      <c r="G27" s="18" t="s">
        <v>339</v>
      </c>
      <c r="H27" s="33" t="s">
        <v>58</v>
      </c>
      <c r="I27" s="29"/>
      <c r="J27" s="27" t="s">
        <v>279</v>
      </c>
      <c r="K27" s="29"/>
      <c r="L27" s="29"/>
      <c r="M27" s="29"/>
      <c r="N27" s="29"/>
      <c r="O27" s="29"/>
      <c r="P27" s="29"/>
      <c r="Q27" s="29"/>
      <c r="R27" s="29"/>
      <c r="S27" s="29"/>
      <c r="T27" s="29"/>
      <c r="U27" s="29"/>
      <c r="V27" s="29"/>
      <c r="W27" s="29"/>
      <c r="X27" s="29"/>
      <c r="Y27" s="29"/>
      <c r="Z27" s="29"/>
      <c r="AA27" s="29"/>
      <c r="AB27" s="29"/>
      <c r="AC27" s="29"/>
      <c r="AD27" s="29"/>
      <c r="AE27" s="29"/>
      <c r="AF27" s="29"/>
      <c r="AG27" s="23"/>
      <c r="AH27" s="23"/>
      <c r="AI27" s="23" t="s">
        <v>225</v>
      </c>
      <c r="AJ27" s="23"/>
    </row>
    <row r="28" spans="1:36" ht="15.75" customHeight="1" x14ac:dyDescent="0.25">
      <c r="A28" s="15" t="s">
        <v>343</v>
      </c>
      <c r="B28" s="24">
        <v>4187038</v>
      </c>
      <c r="C28" s="24" t="s">
        <v>476</v>
      </c>
      <c r="D28" s="222"/>
      <c r="E28" s="125" t="s">
        <v>477</v>
      </c>
      <c r="F28" s="230"/>
      <c r="G28" s="18" t="s">
        <v>344</v>
      </c>
      <c r="H28" s="33" t="s">
        <v>1946</v>
      </c>
      <c r="I28" s="29"/>
      <c r="J28" s="27" t="s">
        <v>480</v>
      </c>
      <c r="K28" s="29"/>
      <c r="L28" s="29"/>
      <c r="M28" s="29"/>
      <c r="N28" s="29"/>
      <c r="O28" s="29"/>
      <c r="P28" s="29"/>
      <c r="Q28" s="29"/>
      <c r="R28" s="29"/>
      <c r="S28" s="29"/>
      <c r="T28" s="29"/>
      <c r="U28" s="29"/>
      <c r="V28" s="29"/>
      <c r="W28" s="29"/>
      <c r="X28" s="29"/>
      <c r="Y28" s="29"/>
      <c r="Z28" s="29"/>
      <c r="AA28" s="29"/>
      <c r="AB28" s="29"/>
      <c r="AC28" s="29"/>
      <c r="AD28" s="29"/>
      <c r="AE28" s="29"/>
      <c r="AF28" s="29"/>
      <c r="AG28" s="23"/>
      <c r="AH28" s="23"/>
      <c r="AI28" s="23" t="s">
        <v>481</v>
      </c>
      <c r="AJ28" s="23"/>
    </row>
    <row r="29" spans="1:36" ht="15.75" customHeight="1" x14ac:dyDescent="0.25">
      <c r="A29" s="15" t="s">
        <v>348</v>
      </c>
      <c r="B29" s="24" t="s">
        <v>160</v>
      </c>
      <c r="C29" s="24" t="s">
        <v>294</v>
      </c>
      <c r="D29" s="222"/>
      <c r="E29" s="125" t="s">
        <v>297</v>
      </c>
      <c r="F29" s="230"/>
      <c r="G29" s="18" t="s">
        <v>349</v>
      </c>
      <c r="H29" s="33" t="s">
        <v>297</v>
      </c>
      <c r="I29" s="29" t="s">
        <v>298</v>
      </c>
      <c r="J29" s="27" t="s">
        <v>298</v>
      </c>
      <c r="K29" s="29"/>
      <c r="L29" s="29" t="s">
        <v>299</v>
      </c>
      <c r="M29" s="29"/>
      <c r="N29" s="29"/>
      <c r="O29" s="29"/>
      <c r="P29" s="29"/>
      <c r="Q29" s="29"/>
      <c r="R29" s="29"/>
      <c r="S29" s="29"/>
      <c r="T29" s="29" t="s">
        <v>300</v>
      </c>
      <c r="U29" s="29"/>
      <c r="V29" s="29"/>
      <c r="W29" s="29"/>
      <c r="X29" s="29"/>
      <c r="Y29" s="29"/>
      <c r="Z29" s="29"/>
      <c r="AA29" s="29"/>
      <c r="AB29" s="29"/>
      <c r="AC29" s="29"/>
      <c r="AD29" s="29"/>
      <c r="AE29" s="29"/>
      <c r="AF29" s="29"/>
      <c r="AG29" s="23"/>
      <c r="AH29" s="23"/>
      <c r="AI29" s="23" t="s">
        <v>301</v>
      </c>
      <c r="AJ29" s="23"/>
    </row>
    <row r="30" spans="1:36" ht="15.75" customHeight="1" x14ac:dyDescent="0.25">
      <c r="A30" s="15" t="s">
        <v>352</v>
      </c>
      <c r="B30" s="24"/>
      <c r="C30" s="24"/>
      <c r="D30" s="222"/>
      <c r="E30" s="125" t="s">
        <v>340</v>
      </c>
      <c r="F30" s="230"/>
      <c r="G30" s="18" t="s">
        <v>354</v>
      </c>
      <c r="H30" s="33" t="s">
        <v>340</v>
      </c>
      <c r="I30" s="29"/>
      <c r="J30" s="27"/>
      <c r="K30" s="29"/>
      <c r="L30" s="29"/>
      <c r="M30" s="29"/>
      <c r="N30" s="29"/>
      <c r="O30" s="29"/>
      <c r="P30" s="29" t="s">
        <v>341</v>
      </c>
      <c r="Q30" s="29" t="s">
        <v>342</v>
      </c>
      <c r="R30" s="29"/>
      <c r="S30" s="29"/>
      <c r="T30" s="29"/>
      <c r="U30" s="29"/>
      <c r="V30" s="29"/>
      <c r="W30" s="29"/>
      <c r="X30" s="29"/>
      <c r="Y30" s="29"/>
      <c r="Z30" s="29"/>
      <c r="AA30" s="29"/>
      <c r="AB30" s="29"/>
      <c r="AC30" s="29"/>
      <c r="AD30" s="29"/>
      <c r="AE30" s="29"/>
      <c r="AF30" s="29"/>
      <c r="AG30" s="23"/>
      <c r="AH30" s="23"/>
      <c r="AI30" s="23"/>
      <c r="AJ30" s="23"/>
    </row>
    <row r="31" spans="1:36" ht="15.75" customHeight="1" x14ac:dyDescent="0.25">
      <c r="A31" s="15" t="s">
        <v>357</v>
      </c>
      <c r="B31" s="24"/>
      <c r="C31" s="24"/>
      <c r="D31" s="222"/>
      <c r="E31" s="125" t="s">
        <v>345</v>
      </c>
      <c r="F31" s="230"/>
      <c r="G31" s="18" t="s">
        <v>359</v>
      </c>
      <c r="H31" s="33" t="s">
        <v>345</v>
      </c>
      <c r="I31" s="242" t="s">
        <v>347</v>
      </c>
      <c r="J31" s="27" t="s">
        <v>346</v>
      </c>
      <c r="K31" s="29"/>
      <c r="L31" s="29"/>
      <c r="M31" s="29"/>
      <c r="N31" s="29"/>
      <c r="O31" s="29"/>
      <c r="P31" s="29"/>
      <c r="Q31" s="29"/>
      <c r="R31" s="29"/>
      <c r="S31" s="29"/>
      <c r="T31" s="29"/>
      <c r="U31" s="29"/>
      <c r="V31" s="29"/>
      <c r="W31" s="29"/>
      <c r="X31" s="29"/>
      <c r="Y31" s="29"/>
      <c r="Z31" s="29"/>
      <c r="AA31" s="29"/>
      <c r="AB31" s="29"/>
      <c r="AC31" s="29"/>
      <c r="AD31" s="29"/>
      <c r="AE31" s="29"/>
      <c r="AF31" s="29"/>
      <c r="AG31" s="23"/>
      <c r="AH31" s="23"/>
      <c r="AI31" s="23"/>
      <c r="AJ31" s="23"/>
    </row>
    <row r="32" spans="1:36" ht="15.75" customHeight="1" x14ac:dyDescent="0.25">
      <c r="A32" s="15" t="s">
        <v>361</v>
      </c>
      <c r="B32" s="24"/>
      <c r="C32" s="24"/>
      <c r="D32" s="222"/>
      <c r="E32" s="125" t="s">
        <v>350</v>
      </c>
      <c r="F32" s="230"/>
      <c r="G32" s="18" t="s">
        <v>363</v>
      </c>
      <c r="H32" s="33" t="s">
        <v>350</v>
      </c>
      <c r="I32" s="29"/>
      <c r="J32" s="27" t="s">
        <v>351</v>
      </c>
      <c r="K32" s="29"/>
      <c r="L32" s="29"/>
      <c r="M32" s="29"/>
      <c r="N32" s="29"/>
      <c r="O32" s="29"/>
      <c r="P32" s="29"/>
      <c r="Q32" s="29"/>
      <c r="R32" s="29"/>
      <c r="S32" s="29"/>
      <c r="T32" s="29"/>
      <c r="U32" s="29"/>
      <c r="V32" s="29"/>
      <c r="W32" s="29"/>
      <c r="X32" s="29"/>
      <c r="Y32" s="29"/>
      <c r="Z32" s="29"/>
      <c r="AA32" s="29"/>
      <c r="AB32" s="29"/>
      <c r="AC32" s="29"/>
      <c r="AD32" s="29"/>
      <c r="AE32" s="29"/>
      <c r="AF32" s="29"/>
      <c r="AG32" s="23"/>
      <c r="AH32" s="23"/>
      <c r="AI32" s="23"/>
      <c r="AJ32" s="23"/>
    </row>
    <row r="33" spans="1:1025" ht="15.75" customHeight="1" x14ac:dyDescent="0.25">
      <c r="A33" s="15" t="s">
        <v>365</v>
      </c>
      <c r="B33" s="24" t="s">
        <v>313</v>
      </c>
      <c r="C33" s="24" t="s">
        <v>314</v>
      </c>
      <c r="D33" s="222"/>
      <c r="E33" s="125" t="s">
        <v>316</v>
      </c>
      <c r="F33" s="230"/>
      <c r="G33" s="18" t="s">
        <v>366</v>
      </c>
      <c r="H33" s="33" t="s">
        <v>316</v>
      </c>
      <c r="I33" s="209" t="s">
        <v>1919</v>
      </c>
      <c r="J33" s="27" t="s">
        <v>317</v>
      </c>
      <c r="K33" s="29"/>
      <c r="L33" s="29"/>
      <c r="M33" s="29"/>
      <c r="N33" s="29"/>
      <c r="O33" s="29" t="s">
        <v>318</v>
      </c>
      <c r="P33" s="29" t="s">
        <v>319</v>
      </c>
      <c r="Q33" s="29" t="s">
        <v>320</v>
      </c>
      <c r="R33" s="29" t="s">
        <v>321</v>
      </c>
      <c r="S33" s="29"/>
      <c r="T33" s="29"/>
      <c r="U33" s="29"/>
      <c r="V33" s="29" t="s">
        <v>322</v>
      </c>
      <c r="W33" s="29" t="s">
        <v>323</v>
      </c>
      <c r="X33" s="29"/>
      <c r="Y33" s="29" t="s">
        <v>324</v>
      </c>
      <c r="Z33" s="29" t="s">
        <v>325</v>
      </c>
      <c r="AA33" s="29" t="s">
        <v>326</v>
      </c>
      <c r="AB33" s="29" t="s">
        <v>327</v>
      </c>
      <c r="AC33" s="29"/>
      <c r="AD33" s="29"/>
      <c r="AE33" s="29"/>
      <c r="AF33" s="29"/>
      <c r="AG33" s="23"/>
      <c r="AH33" s="23"/>
      <c r="AI33" s="23" t="s">
        <v>328</v>
      </c>
      <c r="AJ33" s="23"/>
    </row>
    <row r="34" spans="1:1025" ht="15.75" customHeight="1" x14ac:dyDescent="0.25">
      <c r="A34" s="15" t="s">
        <v>368</v>
      </c>
      <c r="B34" s="24"/>
      <c r="C34" s="24"/>
      <c r="D34" s="222"/>
      <c r="E34" s="125" t="s">
        <v>336</v>
      </c>
      <c r="F34" s="230"/>
      <c r="G34" s="18" t="s">
        <v>369</v>
      </c>
      <c r="H34" s="33" t="s">
        <v>336</v>
      </c>
      <c r="I34" s="29"/>
      <c r="J34" s="35" t="s">
        <v>337</v>
      </c>
      <c r="K34" s="29"/>
      <c r="L34" s="29"/>
      <c r="M34" s="29"/>
      <c r="N34" s="29"/>
      <c r="O34" s="29"/>
      <c r="P34" s="29"/>
      <c r="Q34" s="29"/>
      <c r="R34" s="29"/>
      <c r="S34" s="29"/>
      <c r="T34" s="29"/>
      <c r="U34" s="29"/>
      <c r="V34" s="29"/>
      <c r="W34" s="29"/>
      <c r="X34" s="29"/>
      <c r="Y34" s="29"/>
      <c r="Z34" s="29"/>
      <c r="AA34" s="29"/>
      <c r="AB34" s="29"/>
      <c r="AC34" s="29"/>
      <c r="AD34" s="29"/>
      <c r="AE34" s="29"/>
      <c r="AF34" s="29"/>
      <c r="AG34" s="23"/>
      <c r="AH34" s="23"/>
      <c r="AI34" s="23"/>
      <c r="AJ34" s="23"/>
    </row>
    <row r="35" spans="1:1025" ht="15.75" customHeight="1" x14ac:dyDescent="0.25">
      <c r="A35" s="15" t="s">
        <v>371</v>
      </c>
      <c r="B35" s="24"/>
      <c r="C35" s="24"/>
      <c r="D35" s="222"/>
      <c r="E35" s="125" t="s">
        <v>331</v>
      </c>
      <c r="F35" s="230"/>
      <c r="G35" s="18" t="s">
        <v>373</v>
      </c>
      <c r="H35" s="33" t="s">
        <v>331</v>
      </c>
      <c r="I35" s="85" t="s">
        <v>333</v>
      </c>
      <c r="J35" s="134" t="s">
        <v>332</v>
      </c>
      <c r="K35" s="29"/>
      <c r="L35" s="29"/>
      <c r="M35" s="29"/>
      <c r="N35" s="29"/>
      <c r="O35" s="29"/>
      <c r="P35" s="29"/>
      <c r="Q35" s="29"/>
      <c r="R35" s="29"/>
      <c r="S35" s="29"/>
      <c r="T35" s="29"/>
      <c r="U35" s="29"/>
      <c r="V35" s="29"/>
      <c r="W35" s="29"/>
      <c r="X35" s="29"/>
      <c r="Y35" s="29"/>
      <c r="Z35" s="29"/>
      <c r="AA35" s="29"/>
      <c r="AB35" s="29"/>
      <c r="AC35" s="29"/>
      <c r="AD35" s="29"/>
      <c r="AE35" s="29"/>
      <c r="AF35" s="29"/>
      <c r="AG35" s="23"/>
      <c r="AH35" s="23"/>
      <c r="AI35" s="23"/>
      <c r="AJ35" s="23"/>
    </row>
    <row r="36" spans="1:1025" ht="15.75" customHeight="1" x14ac:dyDescent="0.25">
      <c r="A36" s="15" t="s">
        <v>376</v>
      </c>
      <c r="B36" s="24"/>
      <c r="C36" s="24"/>
      <c r="D36" s="222"/>
      <c r="E36" s="125" t="s">
        <v>309</v>
      </c>
      <c r="F36" s="230"/>
      <c r="G36" s="18" t="s">
        <v>380</v>
      </c>
      <c r="H36" s="33" t="s">
        <v>309</v>
      </c>
      <c r="I36" s="29" t="s">
        <v>310</v>
      </c>
      <c r="J36" s="27" t="s">
        <v>310</v>
      </c>
      <c r="K36" s="29"/>
      <c r="L36" s="29"/>
      <c r="M36" s="29"/>
      <c r="N36" s="29"/>
      <c r="O36" s="29"/>
      <c r="P36" s="29"/>
      <c r="Q36" s="29"/>
      <c r="R36" s="29"/>
      <c r="S36" s="29"/>
      <c r="T36" s="29"/>
      <c r="U36" s="29"/>
      <c r="V36" s="29"/>
      <c r="W36" s="29"/>
      <c r="X36" s="29"/>
      <c r="Y36" s="29"/>
      <c r="Z36" s="29"/>
      <c r="AA36" s="29"/>
      <c r="AB36" s="29"/>
      <c r="AC36" s="29"/>
      <c r="AD36" s="29"/>
      <c r="AE36" s="29"/>
      <c r="AF36" s="29" t="s">
        <v>311</v>
      </c>
      <c r="AG36" s="23"/>
      <c r="AH36" s="23"/>
      <c r="AI36" s="23"/>
      <c r="AJ36" s="23"/>
    </row>
    <row r="37" spans="1:1025" s="219" customFormat="1" ht="15.75" customHeight="1" x14ac:dyDescent="0.2">
      <c r="A37" s="15" t="s">
        <v>382</v>
      </c>
      <c r="B37" s="213">
        <v>782644</v>
      </c>
      <c r="C37" s="213" t="s">
        <v>353</v>
      </c>
      <c r="D37" s="222" t="s">
        <v>1937</v>
      </c>
      <c r="E37" s="214" t="s">
        <v>1938</v>
      </c>
      <c r="F37" s="231"/>
      <c r="G37" s="18" t="s">
        <v>384</v>
      </c>
      <c r="H37" s="215" t="s">
        <v>1938</v>
      </c>
      <c r="I37" s="216"/>
      <c r="J37" s="217" t="s">
        <v>355</v>
      </c>
      <c r="K37" s="216"/>
      <c r="L37" s="217" t="s">
        <v>356</v>
      </c>
      <c r="M37" s="216"/>
      <c r="N37" s="216"/>
      <c r="O37" s="216"/>
      <c r="P37" s="216"/>
      <c r="Q37" s="216"/>
      <c r="R37" s="216"/>
      <c r="S37" s="216"/>
      <c r="T37" s="216"/>
      <c r="U37" s="216"/>
      <c r="V37" s="216"/>
      <c r="W37" s="216"/>
      <c r="X37" s="216"/>
      <c r="Y37" s="216"/>
      <c r="Z37" s="216"/>
      <c r="AA37" s="216"/>
      <c r="AB37" s="216"/>
      <c r="AC37" s="216"/>
      <c r="AD37" s="216"/>
      <c r="AE37" s="216"/>
      <c r="AF37" s="216"/>
      <c r="AG37" s="218"/>
      <c r="AH37" s="218"/>
      <c r="AI37" s="218"/>
      <c r="AJ37" s="218"/>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c r="AMG37" s="212"/>
      <c r="AMH37" s="212"/>
      <c r="AMI37" s="212"/>
      <c r="AMJ37" s="212"/>
      <c r="AMK37" s="212"/>
    </row>
    <row r="38" spans="1:1025" ht="15.75" customHeight="1" x14ac:dyDescent="0.25">
      <c r="A38" s="15" t="s">
        <v>386</v>
      </c>
      <c r="B38" s="24" t="s">
        <v>28</v>
      </c>
      <c r="C38" s="24" t="s">
        <v>358</v>
      </c>
      <c r="D38" s="222"/>
      <c r="E38" s="125" t="s">
        <v>128</v>
      </c>
      <c r="F38" s="230"/>
      <c r="G38" s="18" t="s">
        <v>387</v>
      </c>
      <c r="H38" s="33" t="s">
        <v>128</v>
      </c>
      <c r="I38" s="29" t="s">
        <v>2164</v>
      </c>
      <c r="J38" s="27" t="s">
        <v>2164</v>
      </c>
      <c r="K38" s="29"/>
      <c r="L38" s="29" t="s">
        <v>1449</v>
      </c>
      <c r="M38" s="29"/>
      <c r="N38" s="29"/>
      <c r="O38" s="29"/>
      <c r="P38" s="29"/>
      <c r="Q38" s="29"/>
      <c r="R38" s="29"/>
      <c r="S38" s="29"/>
      <c r="T38" s="29"/>
      <c r="U38" s="29"/>
      <c r="V38" s="29"/>
      <c r="W38" s="29"/>
      <c r="X38" s="29"/>
      <c r="Y38" s="29"/>
      <c r="Z38" s="29"/>
      <c r="AA38" s="29"/>
      <c r="AB38" s="29"/>
      <c r="AC38" s="29"/>
      <c r="AD38" s="29"/>
      <c r="AE38" s="29"/>
      <c r="AF38" s="29"/>
      <c r="AG38" s="23"/>
      <c r="AH38" s="23"/>
      <c r="AI38" s="23"/>
      <c r="AJ38" s="23"/>
    </row>
    <row r="39" spans="1:1025" ht="15.75" customHeight="1" x14ac:dyDescent="0.25">
      <c r="A39" s="15" t="s">
        <v>390</v>
      </c>
      <c r="B39" s="112">
        <v>600688</v>
      </c>
      <c r="C39" s="112" t="s">
        <v>2081</v>
      </c>
      <c r="D39" s="222" t="s">
        <v>2082</v>
      </c>
      <c r="E39" s="125"/>
      <c r="F39" s="230"/>
      <c r="G39" s="18" t="s">
        <v>392</v>
      </c>
      <c r="H39" s="33" t="s">
        <v>2166</v>
      </c>
      <c r="I39" s="113"/>
      <c r="J39" s="27" t="s">
        <v>374</v>
      </c>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5"/>
      <c r="AH39" s="115"/>
      <c r="AI39" s="115"/>
      <c r="AJ39" s="115"/>
    </row>
    <row r="40" spans="1:1025" ht="15.75" customHeight="1" x14ac:dyDescent="0.25">
      <c r="A40" s="15" t="s">
        <v>396</v>
      </c>
      <c r="B40" s="250" t="s">
        <v>160</v>
      </c>
      <c r="C40" s="24" t="s">
        <v>2086</v>
      </c>
      <c r="D40" s="222" t="s">
        <v>1664</v>
      </c>
      <c r="E40" s="125" t="s">
        <v>372</v>
      </c>
      <c r="F40" s="230"/>
      <c r="G40" s="18" t="s">
        <v>397</v>
      </c>
      <c r="H40" s="33" t="s">
        <v>2168</v>
      </c>
      <c r="I40" s="29" t="s">
        <v>375</v>
      </c>
      <c r="J40" s="27" t="s">
        <v>374</v>
      </c>
      <c r="K40" s="29"/>
      <c r="L40" s="29"/>
      <c r="M40" s="29"/>
      <c r="N40" s="29"/>
      <c r="O40" s="29"/>
      <c r="P40" s="29"/>
      <c r="Q40" s="29"/>
      <c r="R40" s="29"/>
      <c r="S40" s="29"/>
      <c r="T40" s="29"/>
      <c r="U40" s="29"/>
      <c r="V40" s="29"/>
      <c r="W40" s="29"/>
      <c r="X40" s="29"/>
      <c r="Y40" s="29"/>
      <c r="Z40" s="29"/>
      <c r="AA40" s="29"/>
      <c r="AB40" s="29"/>
      <c r="AC40" s="29"/>
      <c r="AD40" s="29"/>
      <c r="AE40" s="29"/>
      <c r="AF40" s="29"/>
      <c r="AG40" s="23"/>
      <c r="AH40" s="23"/>
      <c r="AI40" s="23"/>
      <c r="AJ40" s="23"/>
    </row>
    <row r="41" spans="1:1025" ht="15.75" customHeight="1" x14ac:dyDescent="0.25">
      <c r="A41" s="15" t="s">
        <v>398</v>
      </c>
      <c r="B41" s="250" t="s">
        <v>160</v>
      </c>
      <c r="C41" s="24" t="s">
        <v>2086</v>
      </c>
      <c r="D41" s="222" t="s">
        <v>1664</v>
      </c>
      <c r="E41" s="125" t="s">
        <v>1523</v>
      </c>
      <c r="F41" s="229" t="s">
        <v>1954</v>
      </c>
      <c r="G41" s="18" t="s">
        <v>400</v>
      </c>
      <c r="H41" s="33" t="s">
        <v>2167</v>
      </c>
      <c r="I41" s="29" t="s">
        <v>1524</v>
      </c>
      <c r="J41" s="27" t="s">
        <v>1524</v>
      </c>
      <c r="K41" s="29"/>
      <c r="L41" s="29"/>
      <c r="M41" s="29"/>
      <c r="N41" s="29"/>
      <c r="O41" s="29"/>
      <c r="P41" s="29"/>
      <c r="Q41" s="29"/>
      <c r="R41" s="29"/>
      <c r="S41" s="29"/>
      <c r="T41" s="29"/>
      <c r="U41" s="29"/>
      <c r="V41" s="29"/>
      <c r="W41" s="29"/>
      <c r="X41" s="29"/>
      <c r="Y41" s="29"/>
      <c r="Z41" s="29"/>
      <c r="AA41" s="29"/>
      <c r="AB41" s="29"/>
      <c r="AC41" s="29"/>
      <c r="AD41" s="29"/>
      <c r="AE41" s="29"/>
      <c r="AF41" s="29"/>
      <c r="AG41" s="23"/>
      <c r="AH41" s="23"/>
      <c r="AI41" s="23"/>
      <c r="AJ41" s="23"/>
    </row>
    <row r="42" spans="1:1025" ht="15.75" customHeight="1" x14ac:dyDescent="0.25">
      <c r="A42" s="15" t="s">
        <v>402</v>
      </c>
      <c r="B42" s="24" t="s">
        <v>377</v>
      </c>
      <c r="C42" s="24" t="s">
        <v>294</v>
      </c>
      <c r="D42" s="222" t="s">
        <v>378</v>
      </c>
      <c r="E42" s="125" t="s">
        <v>379</v>
      </c>
      <c r="F42" s="230"/>
      <c r="G42" s="18" t="s">
        <v>404</v>
      </c>
      <c r="H42" s="33" t="s">
        <v>2169</v>
      </c>
      <c r="I42" s="29" t="s">
        <v>381</v>
      </c>
      <c r="J42" s="27"/>
      <c r="K42" s="29"/>
      <c r="L42" s="29"/>
      <c r="M42" s="29"/>
      <c r="N42" s="29"/>
      <c r="O42" s="29"/>
      <c r="P42" s="29"/>
      <c r="Q42" s="29"/>
      <c r="R42" s="29"/>
      <c r="S42" s="29"/>
      <c r="T42" s="29"/>
      <c r="U42" s="29"/>
      <c r="V42" s="29"/>
      <c r="W42" s="29"/>
      <c r="X42" s="29"/>
      <c r="Y42" s="29"/>
      <c r="Z42" s="29"/>
      <c r="AA42" s="29"/>
      <c r="AB42" s="29"/>
      <c r="AC42" s="29"/>
      <c r="AD42" s="29"/>
      <c r="AE42" s="29"/>
      <c r="AF42" s="29"/>
      <c r="AG42" s="23"/>
      <c r="AH42" s="23"/>
      <c r="AI42" s="23"/>
      <c r="AJ42" s="23"/>
    </row>
    <row r="43" spans="1:1025" ht="15.75" customHeight="1" x14ac:dyDescent="0.25">
      <c r="A43" s="15" t="s">
        <v>407</v>
      </c>
      <c r="B43" s="24" t="s">
        <v>2033</v>
      </c>
      <c r="C43" s="24" t="s">
        <v>2014</v>
      </c>
      <c r="D43" s="222" t="s">
        <v>2034</v>
      </c>
      <c r="E43" s="125" t="s">
        <v>2052</v>
      </c>
      <c r="F43" s="230"/>
      <c r="G43" s="18" t="s">
        <v>411</v>
      </c>
      <c r="H43" s="33" t="s">
        <v>2031</v>
      </c>
      <c r="I43" s="29"/>
      <c r="J43" s="27"/>
      <c r="K43" s="29"/>
      <c r="L43" s="29"/>
      <c r="M43" s="29"/>
      <c r="N43" s="29"/>
      <c r="O43" s="29"/>
      <c r="P43" s="29"/>
      <c r="Q43" s="29"/>
      <c r="R43" s="29"/>
      <c r="S43" s="29"/>
      <c r="T43" s="29"/>
      <c r="U43" s="29"/>
      <c r="V43" s="29"/>
      <c r="W43" s="29"/>
      <c r="X43" s="29"/>
      <c r="Y43" s="29"/>
      <c r="Z43" s="29"/>
      <c r="AA43" s="29"/>
      <c r="AB43" s="29"/>
      <c r="AC43" s="29"/>
      <c r="AD43" s="29"/>
      <c r="AE43" s="29"/>
      <c r="AF43" s="29"/>
      <c r="AG43" s="23"/>
      <c r="AH43" s="23"/>
      <c r="AI43" s="23"/>
      <c r="AJ43" s="23"/>
    </row>
    <row r="44" spans="1:1025" ht="15.75" customHeight="1" x14ac:dyDescent="0.25">
      <c r="A44" s="15" t="s">
        <v>414</v>
      </c>
      <c r="B44" s="24" t="s">
        <v>2135</v>
      </c>
      <c r="C44" s="24" t="s">
        <v>2178</v>
      </c>
      <c r="D44" s="238" t="s">
        <v>2136</v>
      </c>
      <c r="E44" s="125" t="s">
        <v>680</v>
      </c>
      <c r="F44" s="230"/>
      <c r="G44" s="18" t="s">
        <v>417</v>
      </c>
      <c r="H44" s="33" t="s">
        <v>680</v>
      </c>
      <c r="I44" s="29" t="s">
        <v>681</v>
      </c>
      <c r="J44" s="27" t="s">
        <v>681</v>
      </c>
      <c r="K44" s="29"/>
      <c r="L44" s="85"/>
      <c r="M44" s="29"/>
      <c r="N44" s="29"/>
      <c r="O44" s="29"/>
      <c r="P44" s="29"/>
      <c r="Q44" s="29"/>
      <c r="R44" s="29"/>
      <c r="S44" s="29"/>
      <c r="T44" s="29"/>
      <c r="U44" s="29"/>
      <c r="V44" s="29"/>
      <c r="W44" s="29"/>
      <c r="X44" s="29"/>
      <c r="Y44" s="29"/>
      <c r="Z44" s="29"/>
      <c r="AA44" s="29"/>
      <c r="AB44" s="29"/>
      <c r="AC44" s="29"/>
      <c r="AD44" s="29"/>
      <c r="AE44" s="29"/>
      <c r="AF44" s="29"/>
      <c r="AG44" s="41"/>
      <c r="AH44" s="41"/>
      <c r="AI44" s="41"/>
      <c r="AJ44" s="41"/>
    </row>
    <row r="45" spans="1:1025" ht="15.75" customHeight="1" x14ac:dyDescent="0.25">
      <c r="A45" s="15" t="s">
        <v>419</v>
      </c>
      <c r="B45" s="24">
        <v>3350099999</v>
      </c>
      <c r="C45" s="24" t="s">
        <v>28</v>
      </c>
      <c r="D45" s="222"/>
      <c r="E45" s="125" t="s">
        <v>50</v>
      </c>
      <c r="F45" s="230"/>
      <c r="G45" s="18" t="s">
        <v>420</v>
      </c>
      <c r="H45" s="33" t="s">
        <v>50</v>
      </c>
      <c r="I45" s="29"/>
      <c r="J45" s="27" t="s">
        <v>388</v>
      </c>
      <c r="K45" s="29"/>
      <c r="L45" s="29"/>
      <c r="M45" s="29"/>
      <c r="N45" s="29"/>
      <c r="O45" s="29"/>
      <c r="P45" s="29"/>
      <c r="Q45" s="29"/>
      <c r="R45" s="29"/>
      <c r="S45" s="29"/>
      <c r="T45" s="29"/>
      <c r="U45" s="29"/>
      <c r="V45" s="29"/>
      <c r="W45" s="29"/>
      <c r="X45" s="29"/>
      <c r="Y45" s="29"/>
      <c r="Z45" s="29"/>
      <c r="AA45" s="29"/>
      <c r="AB45" s="29"/>
      <c r="AC45" s="29"/>
      <c r="AD45" s="29"/>
      <c r="AE45" s="29"/>
      <c r="AF45" s="29"/>
      <c r="AG45" s="23"/>
      <c r="AH45" s="23"/>
      <c r="AI45" s="23" t="s">
        <v>389</v>
      </c>
      <c r="AJ45" s="23"/>
    </row>
    <row r="46" spans="1:1025" ht="15.75" customHeight="1" x14ac:dyDescent="0.25">
      <c r="A46" s="15" t="s">
        <v>423</v>
      </c>
      <c r="B46" s="24"/>
      <c r="C46" s="24"/>
      <c r="D46" s="222" t="s">
        <v>1608</v>
      </c>
      <c r="E46" s="125" t="s">
        <v>399</v>
      </c>
      <c r="F46" s="230"/>
      <c r="G46" s="18" t="s">
        <v>425</v>
      </c>
      <c r="H46" s="33" t="s">
        <v>1607</v>
      </c>
      <c r="I46" s="29"/>
      <c r="J46" s="27"/>
      <c r="K46" s="29"/>
      <c r="L46" s="29" t="s">
        <v>1609</v>
      </c>
      <c r="M46" s="29"/>
      <c r="N46" s="29"/>
      <c r="O46" s="29"/>
      <c r="P46" s="29"/>
      <c r="Q46" s="29"/>
      <c r="R46" s="29"/>
      <c r="S46" s="29"/>
      <c r="T46" s="29"/>
      <c r="U46" s="29"/>
      <c r="V46" s="29"/>
      <c r="W46" s="29"/>
      <c r="X46" s="29"/>
      <c r="Y46" s="29"/>
      <c r="Z46" s="29"/>
      <c r="AA46" s="29"/>
      <c r="AB46" s="29"/>
      <c r="AC46" s="29"/>
      <c r="AD46" s="29"/>
      <c r="AE46" s="29"/>
      <c r="AF46" s="29"/>
      <c r="AG46" s="23"/>
      <c r="AH46" s="23"/>
      <c r="AI46" s="23" t="s">
        <v>401</v>
      </c>
      <c r="AJ46" s="23"/>
    </row>
    <row r="47" spans="1:1025" ht="15.75" customHeight="1" x14ac:dyDescent="0.25">
      <c r="A47" s="15" t="s">
        <v>426</v>
      </c>
      <c r="B47" s="36">
        <v>9900056806314</v>
      </c>
      <c r="C47" s="47" t="s">
        <v>1979</v>
      </c>
      <c r="D47" s="222" t="s">
        <v>1596</v>
      </c>
      <c r="E47" s="125" t="s">
        <v>383</v>
      </c>
      <c r="F47" s="230"/>
      <c r="G47" s="18" t="s">
        <v>429</v>
      </c>
      <c r="H47" s="33" t="s">
        <v>383</v>
      </c>
      <c r="I47" s="29"/>
      <c r="J47" s="27" t="s">
        <v>385</v>
      </c>
      <c r="K47" s="29"/>
      <c r="L47" s="29"/>
      <c r="M47" s="29"/>
      <c r="N47" s="29"/>
      <c r="O47" s="29"/>
      <c r="P47" s="29"/>
      <c r="Q47" s="29"/>
      <c r="R47" s="29"/>
      <c r="S47" s="29"/>
      <c r="T47" s="29"/>
      <c r="U47" s="29"/>
      <c r="V47" s="29"/>
      <c r="W47" s="29"/>
      <c r="X47" s="29"/>
      <c r="Y47" s="29"/>
      <c r="Z47" s="29"/>
      <c r="AA47" s="29"/>
      <c r="AB47" s="29"/>
      <c r="AC47" s="29"/>
      <c r="AD47" s="29"/>
      <c r="AE47" s="29"/>
      <c r="AF47" s="29"/>
      <c r="AG47" s="23"/>
      <c r="AH47" s="23"/>
      <c r="AI47" s="37"/>
      <c r="AJ47" s="23"/>
    </row>
    <row r="48" spans="1:1025" ht="15.75" customHeight="1" x14ac:dyDescent="0.25">
      <c r="A48" s="15" t="s">
        <v>430</v>
      </c>
      <c r="B48" s="24">
        <v>84356</v>
      </c>
      <c r="C48" s="24" t="s">
        <v>2143</v>
      </c>
      <c r="D48" s="238" t="s">
        <v>2144</v>
      </c>
      <c r="E48" s="125" t="s">
        <v>403</v>
      </c>
      <c r="F48" s="230"/>
      <c r="G48" s="18" t="s">
        <v>432</v>
      </c>
      <c r="H48" s="33" t="s">
        <v>405</v>
      </c>
      <c r="I48" s="29"/>
      <c r="J48" s="27" t="s">
        <v>406</v>
      </c>
      <c r="K48" s="29"/>
      <c r="L48" s="29"/>
      <c r="M48" s="29"/>
      <c r="N48" s="29"/>
      <c r="O48" s="29"/>
      <c r="P48" s="29"/>
      <c r="Q48" s="29"/>
      <c r="R48" s="29"/>
      <c r="S48" s="29"/>
      <c r="T48" s="29"/>
      <c r="U48" s="29"/>
      <c r="V48" s="29"/>
      <c r="W48" s="29"/>
      <c r="X48" s="29"/>
      <c r="Y48" s="29"/>
      <c r="Z48" s="29"/>
      <c r="AA48" s="29"/>
      <c r="AB48" s="29"/>
      <c r="AC48" s="29"/>
      <c r="AD48" s="29"/>
      <c r="AE48" s="29"/>
      <c r="AF48" s="29"/>
      <c r="AG48" s="23"/>
      <c r="AH48" s="23"/>
      <c r="AI48" s="23"/>
      <c r="AJ48" s="23"/>
    </row>
    <row r="49" spans="1:36" ht="15.75" customHeight="1" x14ac:dyDescent="0.25">
      <c r="A49" s="15" t="s">
        <v>436</v>
      </c>
      <c r="B49" s="24" t="s">
        <v>408</v>
      </c>
      <c r="C49" s="24" t="s">
        <v>409</v>
      </c>
      <c r="D49" s="222" t="s">
        <v>410</v>
      </c>
      <c r="E49" s="125" t="s">
        <v>129</v>
      </c>
      <c r="F49" s="230"/>
      <c r="G49" s="18" t="s">
        <v>438</v>
      </c>
      <c r="H49" s="33" t="s">
        <v>129</v>
      </c>
      <c r="I49" s="39" t="s">
        <v>412</v>
      </c>
      <c r="J49" s="27" t="s">
        <v>412</v>
      </c>
      <c r="K49" s="29"/>
      <c r="L49" s="29"/>
      <c r="M49" s="29"/>
      <c r="N49" s="29"/>
      <c r="O49" s="29"/>
      <c r="P49" s="29"/>
      <c r="Q49" s="29"/>
      <c r="R49" s="29"/>
      <c r="S49" s="29"/>
      <c r="T49" s="29"/>
      <c r="U49" s="29"/>
      <c r="V49" s="29"/>
      <c r="W49" s="29"/>
      <c r="X49" s="29"/>
      <c r="Y49" s="29"/>
      <c r="Z49" s="29"/>
      <c r="AA49" s="29"/>
      <c r="AB49" s="29"/>
      <c r="AC49" s="29"/>
      <c r="AD49" s="29"/>
      <c r="AE49" s="29"/>
      <c r="AF49" s="29"/>
      <c r="AG49" s="23"/>
      <c r="AH49" s="23"/>
      <c r="AI49" s="23" t="s">
        <v>413</v>
      </c>
      <c r="AJ49" s="23"/>
    </row>
    <row r="50" spans="1:36" ht="15.75" customHeight="1" x14ac:dyDescent="0.25">
      <c r="A50" s="15" t="s">
        <v>439</v>
      </c>
      <c r="B50" s="24"/>
      <c r="C50" s="24"/>
      <c r="D50" s="222"/>
      <c r="E50" s="125" t="s">
        <v>421</v>
      </c>
      <c r="F50" s="230"/>
      <c r="G50" s="18" t="s">
        <v>440</v>
      </c>
      <c r="H50" s="33" t="s">
        <v>421</v>
      </c>
      <c r="I50" s="29"/>
      <c r="J50" s="27" t="s">
        <v>422</v>
      </c>
      <c r="K50" s="29"/>
      <c r="L50" s="29"/>
      <c r="M50" s="29"/>
      <c r="N50" s="29"/>
      <c r="O50" s="29"/>
      <c r="P50" s="29"/>
      <c r="Q50" s="29"/>
      <c r="R50" s="29"/>
      <c r="S50" s="29"/>
      <c r="T50" s="29"/>
      <c r="U50" s="29"/>
      <c r="V50" s="29"/>
      <c r="W50" s="29"/>
      <c r="X50" s="29"/>
      <c r="Y50" s="29"/>
      <c r="Z50" s="29"/>
      <c r="AA50" s="29"/>
      <c r="AB50" s="29"/>
      <c r="AC50" s="29"/>
      <c r="AD50" s="29"/>
      <c r="AE50" s="29"/>
      <c r="AF50" s="29"/>
      <c r="AG50" s="23"/>
      <c r="AH50" s="23"/>
      <c r="AI50" s="23"/>
      <c r="AJ50" s="23"/>
    </row>
    <row r="51" spans="1:36" ht="15.75" customHeight="1" x14ac:dyDescent="0.25">
      <c r="A51" s="15" t="s">
        <v>443</v>
      </c>
      <c r="B51" s="24" t="s">
        <v>160</v>
      </c>
      <c r="C51" s="268" t="s">
        <v>2111</v>
      </c>
      <c r="D51" s="222" t="s">
        <v>415</v>
      </c>
      <c r="E51" s="125" t="s">
        <v>416</v>
      </c>
      <c r="F51" s="230"/>
      <c r="G51" s="18" t="s">
        <v>444</v>
      </c>
      <c r="H51" s="33" t="s">
        <v>416</v>
      </c>
      <c r="I51" s="39"/>
      <c r="J51" s="27" t="s">
        <v>418</v>
      </c>
      <c r="K51" s="29"/>
      <c r="L51" s="29"/>
      <c r="M51" s="29"/>
      <c r="N51" s="29"/>
      <c r="O51" s="29"/>
      <c r="P51" s="29"/>
      <c r="Q51" s="29"/>
      <c r="R51" s="29"/>
      <c r="S51" s="29"/>
      <c r="T51" s="29"/>
      <c r="U51" s="29"/>
      <c r="V51" s="29"/>
      <c r="W51" s="29"/>
      <c r="X51" s="29"/>
      <c r="Y51" s="29"/>
      <c r="Z51" s="29"/>
      <c r="AA51" s="29"/>
      <c r="AB51" s="29"/>
      <c r="AC51" s="29"/>
      <c r="AD51" s="29"/>
      <c r="AE51" s="29"/>
      <c r="AF51" s="29"/>
      <c r="AG51" s="23"/>
      <c r="AH51" s="23"/>
      <c r="AI51" s="23"/>
      <c r="AJ51" s="23"/>
    </row>
    <row r="52" spans="1:36" ht="15.75" customHeight="1" x14ac:dyDescent="0.25">
      <c r="A52" s="15" t="s">
        <v>447</v>
      </c>
      <c r="B52" s="24">
        <v>300225</v>
      </c>
      <c r="C52" s="24" t="s">
        <v>28</v>
      </c>
      <c r="D52" s="222"/>
      <c r="E52" s="125" t="s">
        <v>424</v>
      </c>
      <c r="F52" s="230"/>
      <c r="G52" s="18" t="s">
        <v>450</v>
      </c>
      <c r="H52" s="33" t="s">
        <v>424</v>
      </c>
      <c r="I52" s="29"/>
      <c r="J52" s="27"/>
      <c r="K52" s="29"/>
      <c r="L52" s="29"/>
      <c r="M52" s="29"/>
      <c r="N52" s="29"/>
      <c r="O52" s="29"/>
      <c r="P52" s="29"/>
      <c r="Q52" s="29"/>
      <c r="R52" s="29"/>
      <c r="S52" s="29"/>
      <c r="T52" s="29"/>
      <c r="U52" s="29"/>
      <c r="V52" s="29"/>
      <c r="W52" s="29"/>
      <c r="X52" s="29"/>
      <c r="Y52" s="29"/>
      <c r="Z52" s="29"/>
      <c r="AA52" s="29"/>
      <c r="AB52" s="29"/>
      <c r="AC52" s="29"/>
      <c r="AD52" s="29"/>
      <c r="AE52" s="29"/>
      <c r="AF52" s="29"/>
      <c r="AG52" s="23"/>
      <c r="AH52" s="23"/>
      <c r="AI52" s="23"/>
      <c r="AJ52" s="23"/>
    </row>
    <row r="53" spans="1:36" ht="15.75" customHeight="1" x14ac:dyDescent="0.25">
      <c r="A53" s="15" t="s">
        <v>453</v>
      </c>
      <c r="B53" s="24">
        <v>1193</v>
      </c>
      <c r="C53" s="24" t="s">
        <v>427</v>
      </c>
      <c r="D53" s="222"/>
      <c r="E53" s="125" t="s">
        <v>428</v>
      </c>
      <c r="F53" s="230"/>
      <c r="G53" s="18" t="s">
        <v>454</v>
      </c>
      <c r="H53" s="33" t="s">
        <v>428</v>
      </c>
      <c r="I53" s="29"/>
      <c r="J53" s="27"/>
      <c r="K53" s="29"/>
      <c r="L53" s="29"/>
      <c r="M53" s="29"/>
      <c r="N53" s="29"/>
      <c r="O53" s="29"/>
      <c r="P53" s="29"/>
      <c r="Q53" s="29"/>
      <c r="R53" s="29"/>
      <c r="S53" s="29"/>
      <c r="T53" s="29"/>
      <c r="U53" s="29"/>
      <c r="V53" s="29"/>
      <c r="W53" s="29"/>
      <c r="X53" s="29"/>
      <c r="Y53" s="29"/>
      <c r="Z53" s="29"/>
      <c r="AA53" s="29"/>
      <c r="AB53" s="29"/>
      <c r="AC53" s="29"/>
      <c r="AD53" s="29"/>
      <c r="AE53" s="29"/>
      <c r="AF53" s="29"/>
      <c r="AG53" s="23"/>
      <c r="AH53" s="23"/>
      <c r="AI53" s="23"/>
      <c r="AJ53" s="23"/>
    </row>
    <row r="54" spans="1:36" ht="15.75" customHeight="1" x14ac:dyDescent="0.25">
      <c r="A54" s="15" t="s">
        <v>456</v>
      </c>
      <c r="B54" s="24">
        <v>25111000</v>
      </c>
      <c r="C54" s="24" t="s">
        <v>294</v>
      </c>
      <c r="D54" s="222" t="s">
        <v>431</v>
      </c>
      <c r="E54" s="125" t="s">
        <v>23</v>
      </c>
      <c r="F54" s="230"/>
      <c r="G54" s="18" t="s">
        <v>460</v>
      </c>
      <c r="H54" s="33" t="s">
        <v>23</v>
      </c>
      <c r="I54" s="27" t="s">
        <v>1925</v>
      </c>
      <c r="J54" s="27" t="s">
        <v>1925</v>
      </c>
      <c r="K54" s="29"/>
      <c r="L54" s="29" t="s">
        <v>434</v>
      </c>
      <c r="M54" s="29"/>
      <c r="N54" s="29"/>
      <c r="O54" s="29"/>
      <c r="P54" s="29"/>
      <c r="Q54" s="29"/>
      <c r="R54" s="29"/>
      <c r="S54" s="29"/>
      <c r="T54" s="29"/>
      <c r="U54" s="29"/>
      <c r="V54" s="29"/>
      <c r="W54" s="29"/>
      <c r="X54" s="29"/>
      <c r="Y54" s="29"/>
      <c r="Z54" s="29"/>
      <c r="AA54" s="29"/>
      <c r="AB54" s="29"/>
      <c r="AC54" s="29"/>
      <c r="AD54" s="29"/>
      <c r="AE54" s="29"/>
      <c r="AF54" s="29"/>
      <c r="AG54" s="23"/>
      <c r="AH54" s="23"/>
      <c r="AI54" s="23" t="s">
        <v>435</v>
      </c>
      <c r="AJ54" s="23"/>
    </row>
    <row r="55" spans="1:36" ht="15.75" customHeight="1" x14ac:dyDescent="0.25">
      <c r="A55" s="15" t="s">
        <v>463</v>
      </c>
      <c r="B55" s="24" t="s">
        <v>448</v>
      </c>
      <c r="C55" s="24" t="s">
        <v>294</v>
      </c>
      <c r="D55" s="222"/>
      <c r="E55" s="125" t="s">
        <v>441</v>
      </c>
      <c r="F55" s="230"/>
      <c r="G55" s="18" t="s">
        <v>466</v>
      </c>
      <c r="H55" s="33" t="s">
        <v>441</v>
      </c>
      <c r="I55" s="29" t="s">
        <v>1903</v>
      </c>
      <c r="J55" s="137" t="s">
        <v>442</v>
      </c>
      <c r="K55" s="29"/>
      <c r="L55" s="29"/>
      <c r="M55" s="29"/>
      <c r="N55" s="29"/>
      <c r="O55" s="29"/>
      <c r="P55" s="29"/>
      <c r="Q55" s="29"/>
      <c r="R55" s="29"/>
      <c r="S55" s="29"/>
      <c r="T55" s="29"/>
      <c r="U55" s="29"/>
      <c r="V55" s="29"/>
      <c r="W55" s="29"/>
      <c r="X55" s="29"/>
      <c r="Y55" s="29"/>
      <c r="Z55" s="29"/>
      <c r="AA55" s="29"/>
      <c r="AB55" s="29"/>
      <c r="AC55" s="29"/>
      <c r="AD55" s="29"/>
      <c r="AE55" s="29"/>
      <c r="AF55" s="29"/>
      <c r="AG55" s="23"/>
      <c r="AH55" s="23"/>
      <c r="AI55" s="23"/>
      <c r="AJ55" s="23"/>
    </row>
    <row r="56" spans="1:36" ht="15.75" customHeight="1" x14ac:dyDescent="0.25">
      <c r="A56" s="15" t="s">
        <v>467</v>
      </c>
      <c r="B56" s="24" t="s">
        <v>448</v>
      </c>
      <c r="C56" s="24" t="s">
        <v>294</v>
      </c>
      <c r="D56" s="222"/>
      <c r="E56" s="125" t="s">
        <v>445</v>
      </c>
      <c r="F56" s="230"/>
      <c r="G56" s="18" t="s">
        <v>469</v>
      </c>
      <c r="H56" s="33" t="s">
        <v>445</v>
      </c>
      <c r="I56" s="29" t="s">
        <v>1903</v>
      </c>
      <c r="J56" s="27" t="s">
        <v>446</v>
      </c>
      <c r="K56" s="29"/>
      <c r="L56" s="29"/>
      <c r="M56" s="29"/>
      <c r="N56" s="29"/>
      <c r="O56" s="29"/>
      <c r="P56" s="29"/>
      <c r="Q56" s="29"/>
      <c r="R56" s="29"/>
      <c r="S56" s="29"/>
      <c r="T56" s="29"/>
      <c r="U56" s="29"/>
      <c r="V56" s="29"/>
      <c r="W56" s="29"/>
      <c r="X56" s="29"/>
      <c r="Y56" s="29"/>
      <c r="Z56" s="29"/>
      <c r="AA56" s="29"/>
      <c r="AB56" s="29"/>
      <c r="AC56" s="29"/>
      <c r="AD56" s="29"/>
      <c r="AE56" s="29"/>
      <c r="AF56" s="29"/>
      <c r="AG56" s="23"/>
      <c r="AH56" s="23"/>
      <c r="AI56" s="23"/>
      <c r="AJ56" s="23"/>
    </row>
    <row r="57" spans="1:36" ht="15.75" customHeight="1" x14ac:dyDescent="0.25">
      <c r="A57" s="15" t="s">
        <v>471</v>
      </c>
      <c r="B57" s="24" t="s">
        <v>448</v>
      </c>
      <c r="C57" s="24" t="s">
        <v>1942</v>
      </c>
      <c r="D57" s="222"/>
      <c r="E57" s="125" t="s">
        <v>451</v>
      </c>
      <c r="F57" s="230"/>
      <c r="G57" s="18" t="s">
        <v>472</v>
      </c>
      <c r="H57" s="33" t="s">
        <v>451</v>
      </c>
      <c r="I57" s="29"/>
      <c r="J57" s="137" t="s">
        <v>452</v>
      </c>
      <c r="K57" s="29"/>
      <c r="L57" s="29"/>
      <c r="M57" s="29"/>
      <c r="N57" s="29"/>
      <c r="O57" s="29"/>
      <c r="P57" s="29"/>
      <c r="Q57" s="29"/>
      <c r="R57" s="29"/>
      <c r="S57" s="29"/>
      <c r="T57" s="29"/>
      <c r="U57" s="29"/>
      <c r="V57" s="29"/>
      <c r="W57" s="29"/>
      <c r="X57" s="29"/>
      <c r="Y57" s="29"/>
      <c r="Z57" s="29"/>
      <c r="AA57" s="29"/>
      <c r="AB57" s="29"/>
      <c r="AC57" s="29"/>
      <c r="AD57" s="29"/>
      <c r="AE57" s="29"/>
      <c r="AF57" s="29"/>
      <c r="AG57" s="23"/>
      <c r="AH57" s="23"/>
      <c r="AI57" s="23"/>
      <c r="AJ57" s="23"/>
    </row>
    <row r="58" spans="1:36" ht="15.75" customHeight="1" x14ac:dyDescent="0.25">
      <c r="A58" s="15" t="s">
        <v>475</v>
      </c>
      <c r="B58" s="24"/>
      <c r="C58" s="24"/>
      <c r="D58" s="222"/>
      <c r="E58" s="125" t="s">
        <v>131</v>
      </c>
      <c r="F58" s="230">
        <v>191970181</v>
      </c>
      <c r="G58" s="18" t="s">
        <v>478</v>
      </c>
      <c r="H58" s="33" t="s">
        <v>455</v>
      </c>
      <c r="I58" s="29"/>
      <c r="J58" s="27" t="s">
        <v>1296</v>
      </c>
      <c r="K58" s="29"/>
      <c r="L58" s="29"/>
      <c r="M58" s="29"/>
      <c r="N58" s="29"/>
      <c r="O58" s="29"/>
      <c r="P58" s="29"/>
      <c r="Q58" s="29"/>
      <c r="R58" s="29"/>
      <c r="S58" s="29"/>
      <c r="T58" s="29"/>
      <c r="U58" s="29"/>
      <c r="V58" s="29"/>
      <c r="W58" s="29"/>
      <c r="X58" s="29"/>
      <c r="Y58" s="29"/>
      <c r="Z58" s="29"/>
      <c r="AA58" s="29"/>
      <c r="AB58" s="29"/>
      <c r="AC58" s="29"/>
      <c r="AD58" s="29"/>
      <c r="AE58" s="29"/>
      <c r="AF58" s="29"/>
      <c r="AG58" s="23"/>
      <c r="AH58" s="23"/>
      <c r="AI58" s="23"/>
      <c r="AJ58" s="23"/>
    </row>
    <row r="59" spans="1:36" ht="15.75" customHeight="1" x14ac:dyDescent="0.25">
      <c r="A59" s="15" t="s">
        <v>482</v>
      </c>
      <c r="B59" s="24">
        <v>49237783</v>
      </c>
      <c r="C59" s="24" t="s">
        <v>457</v>
      </c>
      <c r="D59" s="222" t="s">
        <v>458</v>
      </c>
      <c r="E59" s="125" t="s">
        <v>459</v>
      </c>
      <c r="F59" s="230"/>
      <c r="G59" s="18" t="s">
        <v>483</v>
      </c>
      <c r="H59" s="33" t="s">
        <v>461</v>
      </c>
      <c r="I59" s="29"/>
      <c r="J59" s="27" t="s">
        <v>462</v>
      </c>
      <c r="K59" s="29"/>
      <c r="L59" s="29"/>
      <c r="M59" s="29"/>
      <c r="N59" s="29"/>
      <c r="O59" s="29"/>
      <c r="P59" s="29"/>
      <c r="Q59" s="29"/>
      <c r="R59" s="29"/>
      <c r="S59" s="29"/>
      <c r="T59" s="29"/>
      <c r="U59" s="29"/>
      <c r="V59" s="29"/>
      <c r="W59" s="29"/>
      <c r="X59" s="29"/>
      <c r="Y59" s="29"/>
      <c r="Z59" s="29"/>
      <c r="AA59" s="29"/>
      <c r="AB59" s="29"/>
      <c r="AC59" s="29"/>
      <c r="AD59" s="29"/>
      <c r="AE59" s="29"/>
      <c r="AF59" s="29"/>
      <c r="AG59" s="23"/>
      <c r="AH59" s="23"/>
      <c r="AI59" s="23"/>
      <c r="AJ59" s="23"/>
    </row>
    <row r="60" spans="1:36" ht="15.75" customHeight="1" x14ac:dyDescent="0.25">
      <c r="A60" s="15" t="s">
        <v>486</v>
      </c>
      <c r="B60" s="112">
        <v>782644</v>
      </c>
      <c r="C60" s="112" t="s">
        <v>294</v>
      </c>
      <c r="D60" s="222" t="s">
        <v>1940</v>
      </c>
      <c r="E60" s="220" t="s">
        <v>1936</v>
      </c>
      <c r="F60" s="230"/>
      <c r="G60" s="18" t="s">
        <v>489</v>
      </c>
      <c r="H60" s="33" t="s">
        <v>1939</v>
      </c>
      <c r="I60" s="113" t="s">
        <v>104</v>
      </c>
      <c r="J60" s="27" t="s">
        <v>355</v>
      </c>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5"/>
      <c r="AH60" s="115"/>
      <c r="AI60" s="115"/>
      <c r="AJ60" s="115"/>
    </row>
    <row r="61" spans="1:36" ht="15.75" customHeight="1" x14ac:dyDescent="0.25">
      <c r="A61" s="15" t="s">
        <v>490</v>
      </c>
      <c r="B61" s="47" t="s">
        <v>468</v>
      </c>
      <c r="C61" s="24" t="s">
        <v>39</v>
      </c>
      <c r="D61" s="222"/>
      <c r="E61" s="125" t="s">
        <v>132</v>
      </c>
      <c r="F61" s="230"/>
      <c r="G61" s="18" t="s">
        <v>491</v>
      </c>
      <c r="H61" s="33" t="s">
        <v>470</v>
      </c>
      <c r="I61" s="29"/>
      <c r="J61" s="27" t="s">
        <v>468</v>
      </c>
      <c r="K61" s="29"/>
      <c r="L61" s="29"/>
      <c r="M61" s="29"/>
      <c r="N61" s="29"/>
      <c r="O61" s="29"/>
      <c r="P61" s="29"/>
      <c r="Q61" s="29"/>
      <c r="R61" s="29"/>
      <c r="S61" s="29"/>
      <c r="T61" s="29"/>
      <c r="U61" s="29"/>
      <c r="V61" s="29"/>
      <c r="W61" s="29"/>
      <c r="X61" s="29"/>
      <c r="Y61" s="29"/>
      <c r="Z61" s="29"/>
      <c r="AA61" s="29"/>
      <c r="AB61" s="29"/>
      <c r="AC61" s="29"/>
      <c r="AD61" s="29"/>
      <c r="AE61" s="29"/>
      <c r="AF61" s="29"/>
      <c r="AG61" s="23"/>
      <c r="AH61" s="23"/>
      <c r="AI61" s="23"/>
      <c r="AJ61" s="23"/>
    </row>
    <row r="62" spans="1:36" ht="15.75" customHeight="1" x14ac:dyDescent="0.25">
      <c r="A62" s="15" t="s">
        <v>496</v>
      </c>
      <c r="B62" s="112" t="s">
        <v>160</v>
      </c>
      <c r="C62" s="112" t="s">
        <v>2069</v>
      </c>
      <c r="D62" s="222"/>
      <c r="E62" s="125"/>
      <c r="F62" s="230"/>
      <c r="G62" s="18" t="s">
        <v>497</v>
      </c>
      <c r="H62" s="33" t="s">
        <v>1963</v>
      </c>
      <c r="I62" s="113" t="s">
        <v>1964</v>
      </c>
      <c r="J62" s="27" t="s">
        <v>1964</v>
      </c>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5"/>
      <c r="AH62" s="115"/>
      <c r="AI62" s="115"/>
      <c r="AJ62" s="115"/>
    </row>
    <row r="63" spans="1:36" ht="15.75" customHeight="1" x14ac:dyDescent="0.25">
      <c r="A63" s="15" t="s">
        <v>499</v>
      </c>
      <c r="B63" s="24"/>
      <c r="C63" s="24"/>
      <c r="D63" s="222"/>
      <c r="E63" s="125" t="s">
        <v>473</v>
      </c>
      <c r="F63" s="230"/>
      <c r="G63" s="18" t="s">
        <v>503</v>
      </c>
      <c r="H63" s="33" t="s">
        <v>473</v>
      </c>
      <c r="I63" s="29"/>
      <c r="J63" s="27" t="s">
        <v>474</v>
      </c>
      <c r="K63" s="29"/>
      <c r="L63" s="29"/>
      <c r="M63" s="29"/>
      <c r="N63" s="29"/>
      <c r="O63" s="29"/>
      <c r="P63" s="29"/>
      <c r="Q63" s="29"/>
      <c r="R63" s="29"/>
      <c r="S63" s="29"/>
      <c r="T63" s="29"/>
      <c r="U63" s="29"/>
      <c r="V63" s="29"/>
      <c r="W63" s="29"/>
      <c r="X63" s="29"/>
      <c r="Y63" s="29"/>
      <c r="Z63" s="29"/>
      <c r="AA63" s="29"/>
      <c r="AB63" s="29"/>
      <c r="AC63" s="29"/>
      <c r="AD63" s="29"/>
      <c r="AE63" s="29"/>
      <c r="AF63" s="29"/>
      <c r="AG63" s="23"/>
      <c r="AH63" s="23"/>
      <c r="AI63" s="23"/>
      <c r="AJ63" s="23"/>
    </row>
    <row r="64" spans="1:36" ht="15.75" customHeight="1" x14ac:dyDescent="0.25">
      <c r="A64" s="15" t="s">
        <v>506</v>
      </c>
      <c r="B64" s="24" t="s">
        <v>38</v>
      </c>
      <c r="C64" s="24" t="s">
        <v>487</v>
      </c>
      <c r="D64" s="222"/>
      <c r="E64" s="125" t="s">
        <v>488</v>
      </c>
      <c r="F64" s="230"/>
      <c r="G64" s="18" t="s">
        <v>508</v>
      </c>
      <c r="H64" s="33" t="s">
        <v>488</v>
      </c>
      <c r="I64" s="29"/>
      <c r="J64" s="27"/>
      <c r="K64" s="29"/>
      <c r="L64" s="29"/>
      <c r="M64" s="29"/>
      <c r="N64" s="29"/>
      <c r="O64" s="29"/>
      <c r="P64" s="29"/>
      <c r="Q64" s="29"/>
      <c r="R64" s="29"/>
      <c r="S64" s="29"/>
      <c r="T64" s="29"/>
      <c r="U64" s="29"/>
      <c r="V64" s="29"/>
      <c r="W64" s="29"/>
      <c r="X64" s="29"/>
      <c r="Y64" s="29"/>
      <c r="Z64" s="29"/>
      <c r="AA64" s="29"/>
      <c r="AB64" s="29"/>
      <c r="AC64" s="29"/>
      <c r="AD64" s="29"/>
      <c r="AE64" s="29"/>
      <c r="AF64" s="29"/>
      <c r="AG64" s="23"/>
      <c r="AH64" s="23"/>
      <c r="AI64" s="23"/>
      <c r="AJ64" s="23"/>
    </row>
    <row r="65" spans="1:36" ht="15.75" customHeight="1" x14ac:dyDescent="0.25">
      <c r="A65" s="15" t="s">
        <v>2015</v>
      </c>
      <c r="B65" s="24"/>
      <c r="C65" s="24"/>
      <c r="D65" s="222"/>
      <c r="E65" s="125" t="s">
        <v>484</v>
      </c>
      <c r="F65" s="230"/>
      <c r="G65" s="18" t="s">
        <v>2017</v>
      </c>
      <c r="H65" s="33" t="s">
        <v>484</v>
      </c>
      <c r="I65" s="29"/>
      <c r="J65" s="27"/>
      <c r="K65" s="29"/>
      <c r="L65" s="29"/>
      <c r="M65" s="29"/>
      <c r="N65" s="29"/>
      <c r="O65" s="29"/>
      <c r="P65" s="29"/>
      <c r="Q65" s="29"/>
      <c r="R65" s="29"/>
      <c r="S65" s="29"/>
      <c r="T65" s="29"/>
      <c r="U65" s="29"/>
      <c r="V65" s="29"/>
      <c r="W65" s="29"/>
      <c r="X65" s="29"/>
      <c r="Y65" s="29"/>
      <c r="Z65" s="29"/>
      <c r="AA65" s="29"/>
      <c r="AB65" s="29"/>
      <c r="AC65" s="29"/>
      <c r="AD65" s="29"/>
      <c r="AE65" s="29"/>
      <c r="AF65" s="29"/>
      <c r="AG65" s="23"/>
      <c r="AH65" s="23"/>
      <c r="AI65" s="23" t="s">
        <v>485</v>
      </c>
      <c r="AJ65" s="23"/>
    </row>
    <row r="66" spans="1:36" ht="15.75" customHeight="1" x14ac:dyDescent="0.25">
      <c r="A66" s="15" t="s">
        <v>513</v>
      </c>
      <c r="B66" s="24">
        <v>47502</v>
      </c>
      <c r="C66" s="24" t="s">
        <v>28</v>
      </c>
      <c r="D66" s="222"/>
      <c r="E66" s="125" t="s">
        <v>134</v>
      </c>
      <c r="F66" s="230"/>
      <c r="G66" s="18" t="s">
        <v>516</v>
      </c>
      <c r="H66" s="33" t="s">
        <v>134</v>
      </c>
      <c r="I66" s="39" t="s">
        <v>492</v>
      </c>
      <c r="J66" s="38" t="s">
        <v>492</v>
      </c>
      <c r="K66" s="29"/>
      <c r="L66" s="137" t="s">
        <v>493</v>
      </c>
      <c r="M66" s="39"/>
      <c r="N66" s="29"/>
      <c r="O66" s="29"/>
      <c r="P66" s="29"/>
      <c r="Q66" s="29"/>
      <c r="R66" s="29"/>
      <c r="S66" s="29"/>
      <c r="T66" s="29"/>
      <c r="U66" s="29"/>
      <c r="V66" s="29"/>
      <c r="W66" s="29"/>
      <c r="X66" s="29"/>
      <c r="Y66" s="29"/>
      <c r="Z66" s="29"/>
      <c r="AA66" s="29"/>
      <c r="AB66" s="29"/>
      <c r="AC66" s="29"/>
      <c r="AD66" s="29"/>
      <c r="AE66" s="29"/>
      <c r="AF66" s="29" t="s">
        <v>494</v>
      </c>
      <c r="AG66" s="23"/>
      <c r="AH66" s="23"/>
      <c r="AI66" s="23" t="s">
        <v>495</v>
      </c>
      <c r="AJ66" s="23"/>
    </row>
    <row r="67" spans="1:36" ht="15.75" customHeight="1" x14ac:dyDescent="0.25">
      <c r="A67" s="15" t="s">
        <v>518</v>
      </c>
      <c r="B67" s="30"/>
      <c r="C67" s="30"/>
      <c r="D67" s="222"/>
      <c r="E67" s="125" t="s">
        <v>238</v>
      </c>
      <c r="F67" s="230"/>
      <c r="G67" s="18" t="s">
        <v>520</v>
      </c>
      <c r="H67" s="26" t="s">
        <v>1563</v>
      </c>
      <c r="I67" s="133"/>
      <c r="J67" s="27" t="s">
        <v>240</v>
      </c>
      <c r="K67" s="29"/>
      <c r="L67" s="29"/>
      <c r="M67" s="29"/>
      <c r="N67" s="29"/>
      <c r="O67" s="29"/>
      <c r="P67" s="29"/>
      <c r="Q67" s="29"/>
      <c r="R67" s="29"/>
      <c r="S67" s="29"/>
      <c r="T67" s="29"/>
      <c r="U67" s="29"/>
      <c r="V67" s="29"/>
      <c r="W67" s="29"/>
      <c r="X67" s="29"/>
      <c r="Y67" s="29"/>
      <c r="Z67" s="29"/>
      <c r="AA67" s="29"/>
      <c r="AB67" s="29"/>
      <c r="AC67" s="29"/>
      <c r="AD67" s="29"/>
      <c r="AE67" s="29"/>
      <c r="AF67" s="29"/>
      <c r="AG67" s="23"/>
      <c r="AH67" s="23"/>
      <c r="AI67" s="23"/>
      <c r="AJ67" s="23"/>
    </row>
    <row r="68" spans="1:36" ht="15.75" customHeight="1" x14ac:dyDescent="0.25">
      <c r="A68" s="15" t="s">
        <v>523</v>
      </c>
      <c r="B68" s="24"/>
      <c r="C68" s="24"/>
      <c r="D68" s="222"/>
      <c r="E68" s="125" t="s">
        <v>2063</v>
      </c>
      <c r="F68" s="230"/>
      <c r="G68" s="18" t="s">
        <v>524</v>
      </c>
      <c r="H68" s="33" t="s">
        <v>2063</v>
      </c>
      <c r="I68" s="29"/>
      <c r="J68" s="27"/>
      <c r="K68" s="29"/>
      <c r="L68" s="29"/>
      <c r="M68" s="29"/>
      <c r="N68" s="29"/>
      <c r="O68" s="29"/>
      <c r="P68" s="29"/>
      <c r="Q68" s="29"/>
      <c r="R68" s="29"/>
      <c r="S68" s="29"/>
      <c r="T68" s="29"/>
      <c r="U68" s="29"/>
      <c r="V68" s="29"/>
      <c r="W68" s="29"/>
      <c r="X68" s="29"/>
      <c r="Y68" s="29"/>
      <c r="Z68" s="29"/>
      <c r="AA68" s="29"/>
      <c r="AB68" s="29"/>
      <c r="AC68" s="29"/>
      <c r="AD68" s="29"/>
      <c r="AE68" s="29"/>
      <c r="AF68" s="29"/>
      <c r="AG68" s="23"/>
      <c r="AH68" s="23"/>
      <c r="AI68" s="23" t="s">
        <v>509</v>
      </c>
      <c r="AJ68" s="23"/>
    </row>
    <row r="69" spans="1:36" ht="15.75" customHeight="1" x14ac:dyDescent="0.25">
      <c r="A69" s="15" t="s">
        <v>528</v>
      </c>
      <c r="B69" s="24" t="s">
        <v>500</v>
      </c>
      <c r="C69" s="24" t="s">
        <v>501</v>
      </c>
      <c r="D69" s="222"/>
      <c r="E69" s="125" t="s">
        <v>502</v>
      </c>
      <c r="F69" s="230"/>
      <c r="G69" s="18" t="s">
        <v>529</v>
      </c>
      <c r="H69" s="33" t="s">
        <v>504</v>
      </c>
      <c r="I69" s="127" t="s">
        <v>505</v>
      </c>
      <c r="J69" s="27" t="s">
        <v>505</v>
      </c>
      <c r="K69" s="29"/>
      <c r="L69" s="29"/>
      <c r="M69" s="29"/>
      <c r="N69" s="29"/>
      <c r="O69" s="29"/>
      <c r="P69" s="29"/>
      <c r="Q69" s="29"/>
      <c r="R69" s="29"/>
      <c r="S69" s="29"/>
      <c r="T69" s="29"/>
      <c r="U69" s="29"/>
      <c r="V69" s="29"/>
      <c r="W69" s="29"/>
      <c r="X69" s="29"/>
      <c r="Y69" s="29"/>
      <c r="Z69" s="29"/>
      <c r="AA69" s="29"/>
      <c r="AB69" s="29"/>
      <c r="AC69" s="29"/>
      <c r="AD69" s="29"/>
      <c r="AE69" s="29"/>
      <c r="AF69" s="29"/>
      <c r="AG69" s="23"/>
      <c r="AH69" s="23"/>
      <c r="AI69" s="23"/>
      <c r="AJ69" s="23"/>
    </row>
    <row r="70" spans="1:36" ht="15.75" customHeight="1" x14ac:dyDescent="0.25">
      <c r="A70" s="273"/>
      <c r="B70" s="112"/>
      <c r="C70" s="112"/>
      <c r="D70" s="222"/>
      <c r="E70" s="125"/>
      <c r="F70" s="230"/>
      <c r="G70" s="18"/>
      <c r="H70" s="33" t="s">
        <v>2172</v>
      </c>
      <c r="I70" s="274" t="s">
        <v>625</v>
      </c>
      <c r="J70" s="27" t="s">
        <v>624</v>
      </c>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5"/>
      <c r="AH70" s="115"/>
      <c r="AI70" s="115"/>
      <c r="AJ70" s="115"/>
    </row>
    <row r="71" spans="1:36" ht="15.75" customHeight="1" x14ac:dyDescent="0.25">
      <c r="A71" s="15" t="s">
        <v>533</v>
      </c>
      <c r="B71" s="24" t="s">
        <v>28</v>
      </c>
      <c r="C71" s="124" t="s">
        <v>2182</v>
      </c>
      <c r="D71" s="222"/>
      <c r="E71" s="125" t="s">
        <v>510</v>
      </c>
      <c r="F71" s="230"/>
      <c r="G71" s="18" t="s">
        <v>534</v>
      </c>
      <c r="H71" s="33" t="s">
        <v>2171</v>
      </c>
      <c r="I71" s="29" t="s">
        <v>512</v>
      </c>
      <c r="J71" s="27" t="s">
        <v>511</v>
      </c>
      <c r="K71" s="29"/>
      <c r="L71" s="29"/>
      <c r="M71" s="29"/>
      <c r="N71" s="29"/>
      <c r="O71" s="29"/>
      <c r="P71" s="29"/>
      <c r="Q71" s="29"/>
      <c r="R71" s="29"/>
      <c r="S71" s="29"/>
      <c r="T71" s="29"/>
      <c r="U71" s="29"/>
      <c r="V71" s="29"/>
      <c r="W71" s="29"/>
      <c r="X71" s="29"/>
      <c r="Y71" s="29"/>
      <c r="Z71" s="29"/>
      <c r="AA71" s="29"/>
      <c r="AB71" s="29"/>
      <c r="AC71" s="29"/>
      <c r="AD71" s="29"/>
      <c r="AE71" s="29"/>
      <c r="AF71" s="29"/>
      <c r="AG71" s="23"/>
      <c r="AH71" s="23"/>
      <c r="AI71" s="23"/>
      <c r="AJ71" s="23"/>
    </row>
    <row r="72" spans="1:36" ht="15.75" customHeight="1" x14ac:dyDescent="0.25">
      <c r="A72" s="15" t="s">
        <v>671</v>
      </c>
      <c r="B72" s="24" t="s">
        <v>28</v>
      </c>
      <c r="C72" s="124" t="s">
        <v>2106</v>
      </c>
      <c r="D72" s="222" t="s">
        <v>622</v>
      </c>
      <c r="E72" s="125" t="s">
        <v>141</v>
      </c>
      <c r="F72" s="230"/>
      <c r="G72" s="18" t="s">
        <v>673</v>
      </c>
      <c r="H72" s="33" t="s">
        <v>2173</v>
      </c>
      <c r="I72" s="29" t="s">
        <v>625</v>
      </c>
      <c r="J72" s="27" t="s">
        <v>624</v>
      </c>
      <c r="K72" s="29"/>
      <c r="L72" s="43"/>
      <c r="M72" s="43"/>
      <c r="N72" s="29"/>
      <c r="O72" s="29" t="s">
        <v>626</v>
      </c>
      <c r="P72" s="89" t="s">
        <v>1577</v>
      </c>
      <c r="Q72" s="89" t="s">
        <v>627</v>
      </c>
      <c r="R72" s="89" t="s">
        <v>628</v>
      </c>
      <c r="S72" s="29"/>
      <c r="T72" s="29"/>
      <c r="U72" s="29"/>
      <c r="V72" s="89" t="s">
        <v>629</v>
      </c>
      <c r="W72" s="29" t="s">
        <v>1571</v>
      </c>
      <c r="X72" s="29"/>
      <c r="Y72" s="89" t="s">
        <v>630</v>
      </c>
      <c r="Z72" s="29" t="s">
        <v>1572</v>
      </c>
      <c r="AA72" s="29" t="s">
        <v>1574</v>
      </c>
      <c r="AB72" s="29"/>
      <c r="AC72" s="29"/>
      <c r="AD72" s="29"/>
      <c r="AE72" s="29"/>
      <c r="AF72" s="29" t="s">
        <v>1575</v>
      </c>
      <c r="AG72" s="41"/>
      <c r="AH72" s="41"/>
      <c r="AI72" s="39" t="s">
        <v>1576</v>
      </c>
      <c r="AJ72" s="39"/>
    </row>
    <row r="73" spans="1:36" ht="15.75" customHeight="1" x14ac:dyDescent="0.25">
      <c r="A73" s="15" t="s">
        <v>674</v>
      </c>
      <c r="B73" s="24"/>
      <c r="C73" s="24"/>
      <c r="D73" s="222"/>
      <c r="E73" s="125" t="s">
        <v>633</v>
      </c>
      <c r="F73" s="230"/>
      <c r="G73" s="18" t="s">
        <v>677</v>
      </c>
      <c r="H73" s="33" t="s">
        <v>2095</v>
      </c>
      <c r="I73" s="29"/>
      <c r="J73" s="27">
        <v>785946</v>
      </c>
      <c r="K73" s="29"/>
      <c r="L73" s="29"/>
      <c r="M73" s="29"/>
      <c r="N73" s="29"/>
      <c r="O73" s="29"/>
      <c r="P73" s="29"/>
      <c r="Q73" s="29"/>
      <c r="R73" s="29"/>
      <c r="S73" s="29"/>
      <c r="T73" s="29"/>
      <c r="U73" s="29"/>
      <c r="V73" s="29"/>
      <c r="W73" s="29"/>
      <c r="X73" s="29"/>
      <c r="Y73" s="29"/>
      <c r="Z73" s="29" t="s">
        <v>1573</v>
      </c>
      <c r="AA73" s="29"/>
      <c r="AB73" s="29"/>
      <c r="AC73" s="29"/>
      <c r="AD73" s="29"/>
      <c r="AE73" s="29"/>
      <c r="AF73" s="29"/>
      <c r="AG73" s="41"/>
      <c r="AH73" s="41"/>
      <c r="AI73" s="41"/>
      <c r="AJ73" s="41"/>
    </row>
    <row r="74" spans="1:36" ht="15.75" customHeight="1" x14ac:dyDescent="0.25">
      <c r="A74" s="15" t="s">
        <v>678</v>
      </c>
      <c r="B74" s="24"/>
      <c r="C74" s="24"/>
      <c r="D74" s="222"/>
      <c r="E74" s="125" t="s">
        <v>636</v>
      </c>
      <c r="F74" s="230"/>
      <c r="G74" s="18" t="s">
        <v>679</v>
      </c>
      <c r="H74" s="33" t="s">
        <v>2096</v>
      </c>
      <c r="I74" s="29"/>
      <c r="J74" s="27" t="s">
        <v>1772</v>
      </c>
      <c r="K74" s="29"/>
      <c r="L74" s="43"/>
      <c r="M74" s="43"/>
      <c r="N74" s="29"/>
      <c r="O74" s="29"/>
      <c r="P74" s="89" t="s">
        <v>637</v>
      </c>
      <c r="Q74" s="89" t="s">
        <v>638</v>
      </c>
      <c r="R74" s="29"/>
      <c r="S74" s="29"/>
      <c r="T74" s="29"/>
      <c r="U74" s="29"/>
      <c r="V74" s="29"/>
      <c r="W74" s="29"/>
      <c r="X74" s="29"/>
      <c r="Y74" s="29"/>
      <c r="Z74" s="29"/>
      <c r="AA74" s="29"/>
      <c r="AB74" s="29"/>
      <c r="AC74" s="29"/>
      <c r="AD74" s="29"/>
      <c r="AE74" s="29"/>
      <c r="AF74" s="29"/>
      <c r="AG74" s="23"/>
      <c r="AH74" s="23"/>
      <c r="AI74" s="23"/>
      <c r="AJ74" s="23"/>
    </row>
    <row r="75" spans="1:36" ht="15.75" customHeight="1" x14ac:dyDescent="0.25">
      <c r="A75" s="15" t="s">
        <v>538</v>
      </c>
      <c r="B75" s="112" t="s">
        <v>1972</v>
      </c>
      <c r="C75" s="112" t="s">
        <v>28</v>
      </c>
      <c r="D75" s="222" t="s">
        <v>1973</v>
      </c>
      <c r="E75" s="125" t="s">
        <v>1974</v>
      </c>
      <c r="F75" s="230"/>
      <c r="G75" s="18" t="s">
        <v>539</v>
      </c>
      <c r="H75" s="33" t="s">
        <v>1971</v>
      </c>
      <c r="I75" s="113" t="s">
        <v>1970</v>
      </c>
      <c r="J75" s="27"/>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5"/>
      <c r="AH75" s="115"/>
      <c r="AI75" s="115"/>
      <c r="AJ75" s="115"/>
    </row>
    <row r="76" spans="1:36" ht="15.75" customHeight="1" x14ac:dyDescent="0.25">
      <c r="A76" s="15" t="s">
        <v>541</v>
      </c>
      <c r="B76" s="24" t="s">
        <v>391</v>
      </c>
      <c r="C76" s="24" t="s">
        <v>2011</v>
      </c>
      <c r="D76" s="222"/>
      <c r="E76" s="125" t="s">
        <v>1974</v>
      </c>
      <c r="F76" s="230"/>
      <c r="G76" s="18" t="s">
        <v>543</v>
      </c>
      <c r="H76" s="33" t="s">
        <v>2010</v>
      </c>
      <c r="I76" s="29" t="s">
        <v>1970</v>
      </c>
      <c r="J76" s="27" t="s">
        <v>393</v>
      </c>
      <c r="K76" s="29"/>
      <c r="L76" s="129" t="s">
        <v>1621</v>
      </c>
      <c r="M76" s="29"/>
      <c r="N76" s="29"/>
      <c r="O76" s="29"/>
      <c r="P76" s="29"/>
      <c r="Q76" s="29"/>
      <c r="R76" s="29"/>
      <c r="S76" s="29"/>
      <c r="T76" s="29"/>
      <c r="U76" s="29"/>
      <c r="V76" s="29"/>
      <c r="W76" s="29"/>
      <c r="X76" s="29"/>
      <c r="Y76" s="29"/>
      <c r="Z76" s="29"/>
      <c r="AA76" s="29"/>
      <c r="AB76" s="29"/>
      <c r="AC76" s="29"/>
      <c r="AD76" s="29"/>
      <c r="AE76" s="29"/>
      <c r="AF76" s="29" t="s">
        <v>394</v>
      </c>
      <c r="AG76" s="23"/>
      <c r="AH76" s="23"/>
      <c r="AI76" s="23" t="s">
        <v>395</v>
      </c>
      <c r="AJ76" s="23"/>
    </row>
    <row r="77" spans="1:36" ht="15.75" customHeight="1" x14ac:dyDescent="0.25">
      <c r="A77" s="15" t="s">
        <v>544</v>
      </c>
      <c r="B77" s="24" t="s">
        <v>514</v>
      </c>
      <c r="C77" s="24" t="s">
        <v>28</v>
      </c>
      <c r="D77" s="222" t="s">
        <v>694</v>
      </c>
      <c r="E77" s="125" t="s">
        <v>515</v>
      </c>
      <c r="F77" s="230"/>
      <c r="G77" s="18" t="s">
        <v>547</v>
      </c>
      <c r="H77" s="33" t="s">
        <v>515</v>
      </c>
      <c r="I77" s="27" t="s">
        <v>517</v>
      </c>
      <c r="J77" s="27" t="s">
        <v>517</v>
      </c>
      <c r="K77" s="29"/>
      <c r="L77" s="29"/>
      <c r="M77" s="29"/>
      <c r="N77" s="29"/>
      <c r="O77" s="29"/>
      <c r="P77" s="29"/>
      <c r="Q77" s="29"/>
      <c r="R77" s="29"/>
      <c r="S77" s="29"/>
      <c r="T77" s="29"/>
      <c r="U77" s="29"/>
      <c r="V77" s="29"/>
      <c r="W77" s="29"/>
      <c r="X77" s="29"/>
      <c r="Y77" s="29"/>
      <c r="Z77" s="29"/>
      <c r="AA77" s="29"/>
      <c r="AB77" s="29"/>
      <c r="AC77" s="29"/>
      <c r="AD77" s="29"/>
      <c r="AE77" s="29"/>
      <c r="AF77" s="29"/>
      <c r="AG77" s="23"/>
      <c r="AH77" s="23"/>
      <c r="AI77" s="23"/>
      <c r="AJ77" s="23"/>
    </row>
    <row r="78" spans="1:36" ht="15.75" customHeight="1" x14ac:dyDescent="0.25">
      <c r="A78" s="15" t="s">
        <v>548</v>
      </c>
      <c r="B78" s="88"/>
      <c r="C78" s="88"/>
      <c r="D78" s="222"/>
      <c r="E78" s="125" t="s">
        <v>1558</v>
      </c>
      <c r="F78" s="230"/>
      <c r="G78" s="18" t="s">
        <v>549</v>
      </c>
      <c r="H78" s="33" t="s">
        <v>525</v>
      </c>
      <c r="I78" s="29"/>
      <c r="J78" s="27" t="s">
        <v>526</v>
      </c>
      <c r="K78" s="29"/>
      <c r="L78" s="29"/>
      <c r="M78" s="29"/>
      <c r="N78" s="29"/>
      <c r="O78" s="29"/>
      <c r="P78" s="29"/>
      <c r="Q78" s="29"/>
      <c r="R78" s="29"/>
      <c r="S78" s="29"/>
      <c r="T78" s="29"/>
      <c r="U78" s="29"/>
      <c r="V78" s="29"/>
      <c r="W78" s="29"/>
      <c r="X78" s="29"/>
      <c r="Y78" s="29"/>
      <c r="Z78" s="29"/>
      <c r="AA78" s="29"/>
      <c r="AB78" s="29"/>
      <c r="AC78" s="29"/>
      <c r="AD78" s="29"/>
      <c r="AE78" s="29"/>
      <c r="AF78" s="29"/>
      <c r="AG78" s="23"/>
      <c r="AH78" s="23"/>
      <c r="AI78" s="23" t="s">
        <v>527</v>
      </c>
      <c r="AJ78" s="23"/>
    </row>
    <row r="79" spans="1:36" ht="15.75" customHeight="1" x14ac:dyDescent="0.25">
      <c r="A79" s="15" t="s">
        <v>550</v>
      </c>
      <c r="B79" s="24"/>
      <c r="C79" s="24" t="s">
        <v>2177</v>
      </c>
      <c r="D79" s="222"/>
      <c r="E79" s="125" t="s">
        <v>530</v>
      </c>
      <c r="F79" s="230"/>
      <c r="G79" s="18" t="s">
        <v>555</v>
      </c>
      <c r="H79" s="33" t="s">
        <v>530</v>
      </c>
      <c r="I79" s="29" t="s">
        <v>531</v>
      </c>
      <c r="J79" s="27"/>
      <c r="K79" s="29"/>
      <c r="L79" s="29"/>
      <c r="M79" s="29"/>
      <c r="N79" s="29"/>
      <c r="O79" s="29"/>
      <c r="P79" s="29"/>
      <c r="Q79" s="29"/>
      <c r="R79" s="29"/>
      <c r="S79" s="29"/>
      <c r="T79" s="29"/>
      <c r="U79" s="29"/>
      <c r="V79" s="29"/>
      <c r="W79" s="29"/>
      <c r="X79" s="29"/>
      <c r="Y79" s="29"/>
      <c r="Z79" s="29"/>
      <c r="AA79" s="29"/>
      <c r="AB79" s="29"/>
      <c r="AC79" s="29"/>
      <c r="AD79" s="29"/>
      <c r="AE79" s="29"/>
      <c r="AF79" s="29"/>
      <c r="AG79" s="23"/>
      <c r="AH79" s="23"/>
      <c r="AI79" s="23" t="s">
        <v>532</v>
      </c>
      <c r="AJ79" s="23"/>
    </row>
    <row r="80" spans="1:36" ht="15.75" customHeight="1" x14ac:dyDescent="0.25">
      <c r="A80" s="15" t="s">
        <v>558</v>
      </c>
      <c r="B80" s="24" t="s">
        <v>536</v>
      </c>
      <c r="C80" s="24" t="s">
        <v>2158</v>
      </c>
      <c r="D80" s="222" t="s">
        <v>1657</v>
      </c>
      <c r="E80" s="125" t="s">
        <v>535</v>
      </c>
      <c r="F80" s="230"/>
      <c r="G80" s="18" t="s">
        <v>560</v>
      </c>
      <c r="H80" s="33" t="s">
        <v>535</v>
      </c>
      <c r="I80" s="29" t="s">
        <v>536</v>
      </c>
      <c r="J80" s="27"/>
      <c r="K80" s="29"/>
      <c r="L80" s="29"/>
      <c r="M80" s="29"/>
      <c r="N80" s="29"/>
      <c r="O80" s="29" t="s">
        <v>537</v>
      </c>
      <c r="P80" s="29"/>
      <c r="Q80" s="29"/>
      <c r="R80" s="29"/>
      <c r="S80" s="29"/>
      <c r="T80" s="29"/>
      <c r="U80" s="29"/>
      <c r="V80" s="29"/>
      <c r="W80" s="29"/>
      <c r="X80" s="29"/>
      <c r="Y80" s="29"/>
      <c r="Z80" s="29"/>
      <c r="AA80" s="29"/>
      <c r="AB80" s="29"/>
      <c r="AC80" s="29"/>
      <c r="AD80" s="29"/>
      <c r="AE80" s="29"/>
      <c r="AF80" s="29"/>
      <c r="AG80" s="23"/>
      <c r="AH80" s="23"/>
      <c r="AI80" s="23"/>
      <c r="AJ80" s="23"/>
    </row>
    <row r="81" spans="1:36" ht="15.75" customHeight="1" x14ac:dyDescent="0.25">
      <c r="A81" s="15" t="s">
        <v>561</v>
      </c>
      <c r="B81" s="24"/>
      <c r="C81" s="24" t="s">
        <v>2051</v>
      </c>
      <c r="D81" s="222" t="s">
        <v>2050</v>
      </c>
      <c r="E81" s="125" t="s">
        <v>1638</v>
      </c>
      <c r="F81" s="230"/>
      <c r="G81" s="18" t="s">
        <v>563</v>
      </c>
      <c r="H81" s="33" t="s">
        <v>1638</v>
      </c>
      <c r="I81" s="29"/>
      <c r="J81" s="27"/>
      <c r="K81" s="29"/>
      <c r="L81" s="29"/>
      <c r="M81" s="29"/>
      <c r="N81" s="29"/>
      <c r="O81" s="29"/>
      <c r="P81" s="29"/>
      <c r="Q81" s="29"/>
      <c r="R81" s="29"/>
      <c r="S81" s="29"/>
      <c r="T81" s="29"/>
      <c r="U81" s="29"/>
      <c r="V81" s="29"/>
      <c r="W81" s="29"/>
      <c r="X81" s="29"/>
      <c r="Y81" s="29"/>
      <c r="Z81" s="29"/>
      <c r="AA81" s="29"/>
      <c r="AB81" s="29"/>
      <c r="AC81" s="29"/>
      <c r="AD81" s="29"/>
      <c r="AE81" s="29"/>
      <c r="AF81" s="29"/>
      <c r="AG81" s="23"/>
      <c r="AH81" s="23"/>
      <c r="AI81" s="23"/>
      <c r="AJ81" s="23"/>
    </row>
    <row r="82" spans="1:36" ht="15.75" customHeight="1" x14ac:dyDescent="0.25">
      <c r="A82" s="15" t="s">
        <v>567</v>
      </c>
      <c r="B82" s="24">
        <v>16283</v>
      </c>
      <c r="C82" s="24" t="s">
        <v>28</v>
      </c>
      <c r="D82" s="222">
        <v>3838</v>
      </c>
      <c r="E82" s="125" t="s">
        <v>2038</v>
      </c>
      <c r="F82" s="230"/>
      <c r="G82" s="18" t="s">
        <v>568</v>
      </c>
      <c r="H82" s="33" t="s">
        <v>2048</v>
      </c>
      <c r="I82" s="29"/>
      <c r="J82" s="27">
        <v>383816283</v>
      </c>
      <c r="K82" s="29"/>
      <c r="L82" s="29"/>
      <c r="M82" s="29"/>
      <c r="N82" s="29"/>
      <c r="O82" s="29"/>
      <c r="P82" s="29"/>
      <c r="Q82" s="29"/>
      <c r="R82" s="29"/>
      <c r="S82" s="29"/>
      <c r="T82" s="29"/>
      <c r="U82" s="29"/>
      <c r="V82" s="29"/>
      <c r="W82" s="29"/>
      <c r="X82" s="29"/>
      <c r="Y82" s="29"/>
      <c r="Z82" s="29"/>
      <c r="AA82" s="29"/>
      <c r="AB82" s="29"/>
      <c r="AC82" s="29"/>
      <c r="AD82" s="29"/>
      <c r="AE82" s="29"/>
      <c r="AF82" s="29"/>
      <c r="AG82" s="23"/>
      <c r="AH82" s="23"/>
      <c r="AI82" s="23"/>
      <c r="AJ82" s="23"/>
    </row>
    <row r="83" spans="1:36" ht="15.75" customHeight="1" x14ac:dyDescent="0.25">
      <c r="A83" s="15" t="s">
        <v>572</v>
      </c>
      <c r="B83" s="24">
        <v>7993201</v>
      </c>
      <c r="C83" s="24" t="s">
        <v>28</v>
      </c>
      <c r="D83" s="222">
        <v>3733</v>
      </c>
      <c r="E83" s="125" t="s">
        <v>542</v>
      </c>
      <c r="F83" s="230"/>
      <c r="G83" s="18" t="s">
        <v>573</v>
      </c>
      <c r="H83" s="33" t="s">
        <v>2048</v>
      </c>
      <c r="I83" s="29"/>
      <c r="J83" s="27">
        <v>37337993201</v>
      </c>
      <c r="K83" s="29"/>
      <c r="L83" s="29"/>
      <c r="M83" s="29"/>
      <c r="N83" s="29"/>
      <c r="O83" s="29"/>
      <c r="P83" s="29"/>
      <c r="Q83" s="29"/>
      <c r="R83" s="29"/>
      <c r="S83" s="29"/>
      <c r="T83" s="29"/>
      <c r="U83" s="29"/>
      <c r="V83" s="29"/>
      <c r="W83" s="29"/>
      <c r="X83" s="29"/>
      <c r="Y83" s="29"/>
      <c r="Z83" s="29"/>
      <c r="AA83" s="29"/>
      <c r="AB83" s="29"/>
      <c r="AC83" s="29"/>
      <c r="AD83" s="29"/>
      <c r="AE83" s="29"/>
      <c r="AF83" s="29"/>
      <c r="AG83" s="23"/>
      <c r="AH83" s="23"/>
      <c r="AI83" s="23"/>
      <c r="AJ83" s="23"/>
    </row>
    <row r="84" spans="1:36" ht="15.75" customHeight="1" x14ac:dyDescent="0.25">
      <c r="A84" s="15" t="s">
        <v>575</v>
      </c>
      <c r="B84" s="24" t="s">
        <v>545</v>
      </c>
      <c r="C84" s="24" t="s">
        <v>546</v>
      </c>
      <c r="D84" s="222">
        <v>3838</v>
      </c>
      <c r="E84" s="125" t="s">
        <v>2039</v>
      </c>
      <c r="F84" s="230"/>
      <c r="G84" s="18" t="s">
        <v>576</v>
      </c>
      <c r="H84" s="33" t="s">
        <v>2048</v>
      </c>
      <c r="I84" s="29"/>
      <c r="J84" s="27">
        <v>383816284</v>
      </c>
      <c r="K84" s="29"/>
      <c r="L84" s="29"/>
      <c r="M84" s="29"/>
      <c r="N84" s="29"/>
      <c r="O84" s="29"/>
      <c r="P84" s="29"/>
      <c r="Q84" s="29"/>
      <c r="R84" s="29"/>
      <c r="S84" s="29"/>
      <c r="T84" s="29"/>
      <c r="U84" s="29"/>
      <c r="V84" s="29"/>
      <c r="W84" s="29"/>
      <c r="X84" s="29"/>
      <c r="Y84" s="29"/>
      <c r="Z84" s="29"/>
      <c r="AA84" s="29"/>
      <c r="AB84" s="29"/>
      <c r="AC84" s="29"/>
      <c r="AD84" s="29"/>
      <c r="AE84" s="29"/>
      <c r="AF84" s="29"/>
      <c r="AG84" s="41"/>
      <c r="AH84" s="41"/>
      <c r="AI84" s="41"/>
      <c r="AJ84" s="41"/>
    </row>
    <row r="85" spans="1:36" ht="15.75" customHeight="1" x14ac:dyDescent="0.25">
      <c r="A85" s="15" t="s">
        <v>578</v>
      </c>
      <c r="B85" s="24" t="s">
        <v>2042</v>
      </c>
      <c r="C85" s="24" t="s">
        <v>28</v>
      </c>
      <c r="D85" s="222">
        <v>3838</v>
      </c>
      <c r="E85" s="125" t="s">
        <v>2040</v>
      </c>
      <c r="F85" s="230"/>
      <c r="G85" s="18" t="s">
        <v>579</v>
      </c>
      <c r="H85" s="33" t="s">
        <v>2048</v>
      </c>
      <c r="I85" s="29"/>
      <c r="J85" s="27">
        <v>383816286</v>
      </c>
      <c r="K85" s="29"/>
      <c r="L85" s="29"/>
      <c r="M85" s="29"/>
      <c r="N85" s="29"/>
      <c r="O85" s="29"/>
      <c r="P85" s="29"/>
      <c r="Q85" s="29"/>
      <c r="R85" s="29"/>
      <c r="S85" s="29"/>
      <c r="T85" s="29"/>
      <c r="U85" s="29"/>
      <c r="V85" s="29"/>
      <c r="W85" s="29"/>
      <c r="X85" s="29"/>
      <c r="Y85" s="29"/>
      <c r="Z85" s="29"/>
      <c r="AA85" s="29"/>
      <c r="AB85" s="29"/>
      <c r="AC85" s="29"/>
      <c r="AD85" s="29"/>
      <c r="AE85" s="29"/>
      <c r="AF85" s="29"/>
      <c r="AG85" s="41"/>
      <c r="AH85" s="41"/>
      <c r="AI85" s="41"/>
      <c r="AJ85" s="41"/>
    </row>
    <row r="86" spans="1:36" ht="15.75" customHeight="1" x14ac:dyDescent="0.25">
      <c r="A86" s="15" t="s">
        <v>583</v>
      </c>
      <c r="B86" s="24">
        <v>383818408</v>
      </c>
      <c r="C86" s="24" t="s">
        <v>2037</v>
      </c>
      <c r="D86" s="222">
        <v>3838</v>
      </c>
      <c r="E86" s="125" t="s">
        <v>2041</v>
      </c>
      <c r="F86" s="230"/>
      <c r="G86" s="18" t="s">
        <v>584</v>
      </c>
      <c r="H86" s="33" t="s">
        <v>2048</v>
      </c>
      <c r="I86" s="29"/>
      <c r="J86" s="27">
        <v>383818408</v>
      </c>
      <c r="K86" s="29"/>
      <c r="L86" s="29"/>
      <c r="M86" s="29"/>
      <c r="N86" s="29"/>
      <c r="O86" s="29"/>
      <c r="P86" s="29"/>
      <c r="Q86" s="29"/>
      <c r="R86" s="29"/>
      <c r="S86" s="29"/>
      <c r="T86" s="29"/>
      <c r="U86" s="29"/>
      <c r="V86" s="29"/>
      <c r="W86" s="29"/>
      <c r="X86" s="29"/>
      <c r="Y86" s="29"/>
      <c r="Z86" s="29"/>
      <c r="AA86" s="29"/>
      <c r="AB86" s="29"/>
      <c r="AC86" s="29"/>
      <c r="AD86" s="29"/>
      <c r="AE86" s="29"/>
      <c r="AF86" s="29"/>
      <c r="AG86" s="41"/>
      <c r="AH86" s="41"/>
      <c r="AI86" s="41"/>
      <c r="AJ86" s="41"/>
    </row>
    <row r="87" spans="1:36" ht="15.75" customHeight="1" x14ac:dyDescent="0.25">
      <c r="A87" s="15" t="s">
        <v>586</v>
      </c>
      <c r="B87" s="24" t="s">
        <v>559</v>
      </c>
      <c r="C87" s="24" t="s">
        <v>552</v>
      </c>
      <c r="D87" s="238" t="s">
        <v>1595</v>
      </c>
      <c r="E87" s="125" t="s">
        <v>554</v>
      </c>
      <c r="F87" s="230"/>
      <c r="G87" s="18" t="s">
        <v>588</v>
      </c>
      <c r="H87" s="33" t="s">
        <v>554</v>
      </c>
      <c r="I87" s="39"/>
      <c r="J87" s="27"/>
      <c r="K87" s="29"/>
      <c r="L87" s="29"/>
      <c r="M87" s="29"/>
      <c r="N87" s="29"/>
      <c r="O87" s="29"/>
      <c r="P87" s="29"/>
      <c r="Q87" s="29"/>
      <c r="R87" s="29"/>
      <c r="S87" s="29"/>
      <c r="T87" s="29"/>
      <c r="U87" s="29"/>
      <c r="V87" s="29"/>
      <c r="W87" s="29"/>
      <c r="X87" s="29"/>
      <c r="Y87" s="29"/>
      <c r="Z87" s="29"/>
      <c r="AA87" s="29"/>
      <c r="AB87" s="29"/>
      <c r="AC87" s="29"/>
      <c r="AD87" s="29"/>
      <c r="AE87" s="29"/>
      <c r="AF87" s="29"/>
      <c r="AG87" s="41"/>
      <c r="AH87" s="41"/>
      <c r="AI87" s="41"/>
      <c r="AJ87" s="41"/>
    </row>
    <row r="88" spans="1:36" ht="15.75" customHeight="1" x14ac:dyDescent="0.25">
      <c r="A88" s="15" t="s">
        <v>590</v>
      </c>
      <c r="B88" s="24" t="s">
        <v>551</v>
      </c>
      <c r="C88" s="24" t="s">
        <v>552</v>
      </c>
      <c r="D88" s="222" t="s">
        <v>553</v>
      </c>
      <c r="E88" s="125" t="s">
        <v>556</v>
      </c>
      <c r="F88" s="230"/>
      <c r="G88" s="18" t="s">
        <v>591</v>
      </c>
      <c r="H88" s="33" t="s">
        <v>556</v>
      </c>
      <c r="I88" s="39" t="s">
        <v>557</v>
      </c>
      <c r="J88" s="27" t="s">
        <v>557</v>
      </c>
      <c r="K88" s="29"/>
      <c r="L88" s="29"/>
      <c r="M88" s="29"/>
      <c r="N88" s="29"/>
      <c r="O88" s="29"/>
      <c r="P88" s="29"/>
      <c r="Q88" s="29"/>
      <c r="R88" s="29"/>
      <c r="S88" s="29"/>
      <c r="T88" s="29"/>
      <c r="U88" s="29"/>
      <c r="V88" s="29"/>
      <c r="W88" s="29"/>
      <c r="X88" s="29"/>
      <c r="Y88" s="29"/>
      <c r="Z88" s="29"/>
      <c r="AA88" s="29"/>
      <c r="AB88" s="29"/>
      <c r="AC88" s="29"/>
      <c r="AD88" s="29"/>
      <c r="AE88" s="29"/>
      <c r="AF88" s="29"/>
      <c r="AG88" s="41"/>
      <c r="AH88" s="41"/>
      <c r="AI88" s="41"/>
      <c r="AJ88" s="41"/>
    </row>
    <row r="89" spans="1:36" ht="15.75" customHeight="1" x14ac:dyDescent="0.25">
      <c r="A89" s="15" t="s">
        <v>594</v>
      </c>
      <c r="B89" s="42" t="s">
        <v>562</v>
      </c>
      <c r="C89" s="24" t="s">
        <v>562</v>
      </c>
      <c r="D89" s="222"/>
      <c r="E89" s="125" t="s">
        <v>1671</v>
      </c>
      <c r="F89" s="230"/>
      <c r="G89" s="18" t="s">
        <v>597</v>
      </c>
      <c r="H89" s="33" t="s">
        <v>1671</v>
      </c>
      <c r="I89" s="138"/>
      <c r="J89" s="137" t="s">
        <v>565</v>
      </c>
      <c r="K89" s="29"/>
      <c r="L89" s="29"/>
      <c r="M89" s="29"/>
      <c r="N89" s="29"/>
      <c r="O89" s="29"/>
      <c r="P89" s="29"/>
      <c r="Q89" s="29"/>
      <c r="R89" s="29"/>
      <c r="S89" s="29"/>
      <c r="T89" s="29"/>
      <c r="U89" s="29"/>
      <c r="V89" s="29"/>
      <c r="W89" s="29"/>
      <c r="X89" s="29"/>
      <c r="Y89" s="29"/>
      <c r="Z89" s="29"/>
      <c r="AA89" s="29"/>
      <c r="AB89" s="29"/>
      <c r="AC89" s="29"/>
      <c r="AD89" s="29"/>
      <c r="AE89" s="29"/>
      <c r="AF89" s="29"/>
      <c r="AG89" s="41"/>
      <c r="AH89" s="41"/>
      <c r="AI89" s="23" t="s">
        <v>566</v>
      </c>
      <c r="AJ89" s="23"/>
    </row>
    <row r="90" spans="1:36" ht="15.75" customHeight="1" x14ac:dyDescent="0.25">
      <c r="A90" s="15" t="s">
        <v>599</v>
      </c>
      <c r="B90" s="135"/>
      <c r="C90" s="112"/>
      <c r="D90" s="222"/>
      <c r="E90" s="125" t="s">
        <v>1670</v>
      </c>
      <c r="F90" s="230"/>
      <c r="G90" s="18" t="s">
        <v>601</v>
      </c>
      <c r="H90" s="33" t="s">
        <v>1670</v>
      </c>
      <c r="I90" s="138"/>
      <c r="J90" s="139" t="s">
        <v>1672</v>
      </c>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4"/>
      <c r="AH90" s="114"/>
      <c r="AI90" s="115"/>
      <c r="AJ90" s="115"/>
    </row>
    <row r="91" spans="1:36" ht="15.75" customHeight="1" x14ac:dyDescent="0.25">
      <c r="A91" s="15" t="s">
        <v>602</v>
      </c>
      <c r="B91" s="135"/>
      <c r="C91" s="112"/>
      <c r="D91" s="222"/>
      <c r="E91" s="125" t="s">
        <v>1669</v>
      </c>
      <c r="F91" s="230"/>
      <c r="G91" s="18" t="s">
        <v>606</v>
      </c>
      <c r="H91" s="33" t="s">
        <v>1669</v>
      </c>
      <c r="I91" s="141" t="s">
        <v>1578</v>
      </c>
      <c r="J91" s="140"/>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4"/>
      <c r="AH91" s="114"/>
      <c r="AI91" s="115"/>
      <c r="AJ91" s="115"/>
    </row>
    <row r="92" spans="1:36" ht="15.75" customHeight="1" x14ac:dyDescent="0.25">
      <c r="A92" s="15" t="s">
        <v>607</v>
      </c>
      <c r="B92" s="24"/>
      <c r="C92" s="24"/>
      <c r="D92" s="222"/>
      <c r="E92" s="125" t="s">
        <v>569</v>
      </c>
      <c r="F92" s="230"/>
      <c r="G92" s="18" t="s">
        <v>609</v>
      </c>
      <c r="H92" s="33" t="s">
        <v>569</v>
      </c>
      <c r="I92" s="141" t="s">
        <v>570</v>
      </c>
      <c r="J92" s="137" t="s">
        <v>570</v>
      </c>
      <c r="K92" s="29"/>
      <c r="L92" s="29"/>
      <c r="M92" s="29"/>
      <c r="N92" s="29"/>
      <c r="O92" s="29"/>
      <c r="P92" s="29"/>
      <c r="Q92" s="29"/>
      <c r="R92" s="29"/>
      <c r="S92" s="29"/>
      <c r="T92" s="29"/>
      <c r="U92" s="29"/>
      <c r="V92" s="29"/>
      <c r="W92" s="29"/>
      <c r="X92" s="29"/>
      <c r="Y92" s="29"/>
      <c r="Z92" s="29"/>
      <c r="AA92" s="29"/>
      <c r="AB92" s="29"/>
      <c r="AC92" s="29"/>
      <c r="AD92" s="29"/>
      <c r="AE92" s="29"/>
      <c r="AF92" s="29"/>
      <c r="AG92" s="41"/>
      <c r="AH92" s="41"/>
      <c r="AI92" s="39" t="s">
        <v>571</v>
      </c>
      <c r="AJ92" s="39"/>
    </row>
    <row r="93" spans="1:36" ht="15.75" customHeight="1" x14ac:dyDescent="0.25">
      <c r="A93" s="15" t="s">
        <v>611</v>
      </c>
      <c r="B93" s="24"/>
      <c r="C93" s="24"/>
      <c r="D93" s="222"/>
      <c r="E93" s="125" t="s">
        <v>574</v>
      </c>
      <c r="F93" s="230"/>
      <c r="G93" s="18" t="s">
        <v>614</v>
      </c>
      <c r="H93" s="33" t="s">
        <v>574</v>
      </c>
      <c r="I93" s="39" t="s">
        <v>1320</v>
      </c>
      <c r="J93" s="140"/>
      <c r="K93" s="29"/>
      <c r="L93" s="29"/>
      <c r="M93" s="29"/>
      <c r="N93" s="29"/>
      <c r="O93" s="29"/>
      <c r="P93" s="29"/>
      <c r="Q93" s="29"/>
      <c r="R93" s="29"/>
      <c r="S93" s="29"/>
      <c r="T93" s="29"/>
      <c r="U93" s="29"/>
      <c r="V93" s="29"/>
      <c r="W93" s="29"/>
      <c r="X93" s="29"/>
      <c r="Y93" s="29"/>
      <c r="Z93" s="29"/>
      <c r="AA93" s="29"/>
      <c r="AB93" s="29"/>
      <c r="AC93" s="29"/>
      <c r="AD93" s="29"/>
      <c r="AE93" s="29"/>
      <c r="AF93" s="29"/>
      <c r="AG93" s="41"/>
      <c r="AH93" s="41"/>
      <c r="AI93" s="41"/>
      <c r="AJ93" s="41"/>
    </row>
    <row r="94" spans="1:36" ht="15.75" customHeight="1" x14ac:dyDescent="0.25">
      <c r="A94" s="15" t="s">
        <v>615</v>
      </c>
      <c r="B94" s="24"/>
      <c r="C94" s="24"/>
      <c r="D94" s="222"/>
      <c r="E94" s="125" t="s">
        <v>1530</v>
      </c>
      <c r="F94" s="230"/>
      <c r="G94" s="18" t="s">
        <v>616</v>
      </c>
      <c r="H94" s="33" t="s">
        <v>1530</v>
      </c>
      <c r="I94" s="39"/>
      <c r="J94" s="27" t="s">
        <v>624</v>
      </c>
      <c r="K94" s="29"/>
      <c r="L94" s="29"/>
      <c r="M94" s="29"/>
      <c r="N94" s="29"/>
      <c r="O94" s="29"/>
      <c r="P94" s="29"/>
      <c r="Q94" s="29"/>
      <c r="R94" s="29"/>
      <c r="S94" s="29"/>
      <c r="T94" s="29"/>
      <c r="U94" s="29"/>
      <c r="V94" s="29"/>
      <c r="W94" s="29"/>
      <c r="X94" s="29"/>
      <c r="Y94" s="29"/>
      <c r="Z94" s="29"/>
      <c r="AA94" s="29"/>
      <c r="AB94" s="29"/>
      <c r="AC94" s="29"/>
      <c r="AD94" s="29"/>
      <c r="AE94" s="29"/>
      <c r="AF94" s="29"/>
      <c r="AG94" s="41"/>
      <c r="AH94" s="41"/>
      <c r="AI94" s="41"/>
      <c r="AJ94" s="41"/>
    </row>
    <row r="95" spans="1:36" ht="15.75" customHeight="1" x14ac:dyDescent="0.25">
      <c r="A95" s="15" t="s">
        <v>619</v>
      </c>
      <c r="B95" s="24"/>
      <c r="C95" s="24"/>
      <c r="D95" s="222" t="s">
        <v>1658</v>
      </c>
      <c r="E95" s="125" t="s">
        <v>577</v>
      </c>
      <c r="F95" s="230"/>
      <c r="G95" s="18" t="s">
        <v>620</v>
      </c>
      <c r="H95" s="33" t="s">
        <v>577</v>
      </c>
      <c r="I95" s="29"/>
      <c r="J95" s="27" t="s">
        <v>2091</v>
      </c>
      <c r="K95" s="29"/>
      <c r="L95" s="29"/>
      <c r="M95" s="29"/>
      <c r="N95" s="29"/>
      <c r="O95" s="29"/>
      <c r="P95" s="29"/>
      <c r="Q95" s="29"/>
      <c r="R95" s="29"/>
      <c r="S95" s="29"/>
      <c r="T95" s="29"/>
      <c r="U95" s="29"/>
      <c r="V95" s="29"/>
      <c r="W95" s="29"/>
      <c r="X95" s="29"/>
      <c r="Y95" s="29"/>
      <c r="Z95" s="29"/>
      <c r="AA95" s="29"/>
      <c r="AB95" s="29"/>
      <c r="AC95" s="29"/>
      <c r="AD95" s="29"/>
      <c r="AE95" s="29"/>
      <c r="AF95" s="29"/>
      <c r="AG95" s="41"/>
      <c r="AH95" s="41"/>
      <c r="AI95" s="41"/>
      <c r="AJ95" s="41"/>
    </row>
    <row r="96" spans="1:36" ht="15.75" customHeight="1" x14ac:dyDescent="0.25">
      <c r="A96" s="15" t="s">
        <v>621</v>
      </c>
      <c r="B96" s="24" t="s">
        <v>595</v>
      </c>
      <c r="C96" s="24" t="s">
        <v>596</v>
      </c>
      <c r="D96" s="222"/>
      <c r="E96" s="125" t="s">
        <v>598</v>
      </c>
      <c r="F96" s="230"/>
      <c r="G96" s="18" t="s">
        <v>623</v>
      </c>
      <c r="H96" s="33" t="s">
        <v>598</v>
      </c>
      <c r="I96" s="29"/>
      <c r="J96" s="27" t="s">
        <v>595</v>
      </c>
      <c r="K96" s="29"/>
      <c r="L96" s="29"/>
      <c r="M96" s="29"/>
      <c r="N96" s="29"/>
      <c r="O96" s="29"/>
      <c r="P96" s="29"/>
      <c r="Q96" s="29"/>
      <c r="R96" s="29"/>
      <c r="S96" s="29"/>
      <c r="T96" s="29"/>
      <c r="U96" s="29"/>
      <c r="V96" s="29"/>
      <c r="W96" s="29"/>
      <c r="X96" s="29"/>
      <c r="Y96" s="29"/>
      <c r="Z96" s="29"/>
      <c r="AA96" s="29"/>
      <c r="AB96" s="29"/>
      <c r="AC96" s="29"/>
      <c r="AD96" s="29"/>
      <c r="AE96" s="29"/>
      <c r="AF96" s="29"/>
      <c r="AG96" s="41"/>
      <c r="AH96" s="41"/>
      <c r="AI96" s="41"/>
      <c r="AJ96" s="41"/>
    </row>
    <row r="97" spans="1:36" ht="15.75" customHeight="1" x14ac:dyDescent="0.25">
      <c r="A97" s="15" t="s">
        <v>631</v>
      </c>
      <c r="B97" s="24" t="s">
        <v>608</v>
      </c>
      <c r="C97" s="24">
        <v>62589</v>
      </c>
      <c r="D97" s="222"/>
      <c r="E97" s="125" t="s">
        <v>610</v>
      </c>
      <c r="F97" s="230"/>
      <c r="G97" s="18" t="s">
        <v>632</v>
      </c>
      <c r="H97" s="33" t="s">
        <v>610</v>
      </c>
      <c r="I97" s="29"/>
      <c r="J97" s="27" t="s">
        <v>608</v>
      </c>
      <c r="K97" s="29"/>
      <c r="L97" s="29"/>
      <c r="M97" s="31"/>
      <c r="N97" s="29"/>
      <c r="O97" s="29"/>
      <c r="P97" s="29"/>
      <c r="Q97" s="29"/>
      <c r="R97" s="29"/>
      <c r="S97" s="29"/>
      <c r="T97" s="29"/>
      <c r="U97" s="29"/>
      <c r="V97" s="29"/>
      <c r="W97" s="29"/>
      <c r="X97" s="29"/>
      <c r="Y97" s="29"/>
      <c r="Z97" s="29"/>
      <c r="AA97" s="29"/>
      <c r="AB97" s="29"/>
      <c r="AC97" s="29"/>
      <c r="AD97" s="29"/>
      <c r="AE97" s="29"/>
      <c r="AF97" s="29"/>
      <c r="AG97" s="41"/>
      <c r="AH97" s="41"/>
      <c r="AI97" s="41"/>
      <c r="AJ97" s="41"/>
    </row>
    <row r="98" spans="1:36" ht="15.75" customHeight="1" x14ac:dyDescent="0.25">
      <c r="A98" s="15" t="s">
        <v>634</v>
      </c>
      <c r="B98" s="24">
        <v>98114</v>
      </c>
      <c r="C98" s="24" t="s">
        <v>294</v>
      </c>
      <c r="D98" s="222"/>
      <c r="E98" s="125" t="s">
        <v>2044</v>
      </c>
      <c r="F98" s="230"/>
      <c r="G98" s="18" t="s">
        <v>635</v>
      </c>
      <c r="H98" s="33" t="s">
        <v>1667</v>
      </c>
      <c r="I98" s="29"/>
      <c r="J98" s="27" t="s">
        <v>581</v>
      </c>
      <c r="K98" s="29"/>
      <c r="L98" s="31" t="s">
        <v>582</v>
      </c>
      <c r="M98" s="29"/>
      <c r="N98" s="29"/>
      <c r="O98" s="29"/>
      <c r="P98" s="29"/>
      <c r="Q98" s="29"/>
      <c r="R98" s="29"/>
      <c r="S98" s="29"/>
      <c r="T98" s="31"/>
      <c r="U98" s="29"/>
      <c r="V98" s="29"/>
      <c r="W98" s="29"/>
      <c r="X98" s="29"/>
      <c r="Y98" s="29"/>
      <c r="Z98" s="29"/>
      <c r="AA98" s="29"/>
      <c r="AB98" s="29"/>
      <c r="AC98" s="29"/>
      <c r="AD98" s="29"/>
      <c r="AE98" s="29"/>
      <c r="AF98" s="29"/>
      <c r="AG98" s="41"/>
      <c r="AH98" s="41"/>
      <c r="AI98" s="41"/>
      <c r="AJ98" s="41"/>
    </row>
    <row r="99" spans="1:36" ht="15.75" customHeight="1" x14ac:dyDescent="0.25">
      <c r="A99" s="15" t="s">
        <v>639</v>
      </c>
      <c r="B99" s="24">
        <v>98162</v>
      </c>
      <c r="C99" s="24" t="s">
        <v>294</v>
      </c>
      <c r="D99" s="222"/>
      <c r="E99" s="125" t="s">
        <v>2043</v>
      </c>
      <c r="F99" s="230"/>
      <c r="G99" s="18" t="s">
        <v>640</v>
      </c>
      <c r="H99" s="33" t="s">
        <v>1666</v>
      </c>
      <c r="I99" s="29" t="s">
        <v>585</v>
      </c>
      <c r="J99" s="27"/>
      <c r="K99" s="29"/>
      <c r="L99" s="31"/>
      <c r="M99" s="29"/>
      <c r="N99" s="29"/>
      <c r="O99" s="29"/>
      <c r="P99" s="29"/>
      <c r="Q99" s="29"/>
      <c r="R99" s="29"/>
      <c r="S99" s="29"/>
      <c r="T99" s="31"/>
      <c r="U99" s="29"/>
      <c r="V99" s="29"/>
      <c r="W99" s="29"/>
      <c r="X99" s="29"/>
      <c r="Y99" s="29"/>
      <c r="Z99" s="29"/>
      <c r="AA99" s="29"/>
      <c r="AB99" s="29"/>
      <c r="AC99" s="29"/>
      <c r="AD99" s="29"/>
      <c r="AE99" s="29"/>
      <c r="AF99" s="29"/>
      <c r="AG99" s="41"/>
      <c r="AH99" s="41"/>
      <c r="AI99" s="41"/>
      <c r="AJ99" s="41"/>
    </row>
    <row r="100" spans="1:36" ht="15.75" customHeight="1" x14ac:dyDescent="0.25">
      <c r="A100" s="15" t="s">
        <v>643</v>
      </c>
      <c r="B100" s="24">
        <v>98010</v>
      </c>
      <c r="C100" s="24" t="s">
        <v>587</v>
      </c>
      <c r="D100" s="222"/>
      <c r="E100" s="125" t="s">
        <v>2045</v>
      </c>
      <c r="F100" s="230"/>
      <c r="G100" s="18" t="s">
        <v>644</v>
      </c>
      <c r="H100" s="33" t="s">
        <v>1665</v>
      </c>
      <c r="I100" s="29"/>
      <c r="J100" s="27"/>
      <c r="K100" s="29"/>
      <c r="L100" s="29"/>
      <c r="M100" s="29"/>
      <c r="N100" s="29"/>
      <c r="O100" s="29"/>
      <c r="P100" s="29"/>
      <c r="Q100" s="29" t="s">
        <v>589</v>
      </c>
      <c r="R100" s="29"/>
      <c r="S100" s="29"/>
      <c r="T100" s="29"/>
      <c r="U100" s="29"/>
      <c r="V100" s="29"/>
      <c r="W100" s="29"/>
      <c r="X100" s="29"/>
      <c r="Y100" s="29"/>
      <c r="Z100" s="29"/>
      <c r="AA100" s="29"/>
      <c r="AB100" s="29"/>
      <c r="AC100" s="29"/>
      <c r="AD100" s="29"/>
      <c r="AE100" s="29"/>
      <c r="AF100" s="29"/>
      <c r="AG100" s="41"/>
      <c r="AH100" s="41"/>
      <c r="AI100" s="41"/>
      <c r="AJ100" s="41"/>
    </row>
    <row r="101" spans="1:36" ht="15.75" customHeight="1" x14ac:dyDescent="0.25">
      <c r="A101" s="15" t="s">
        <v>648</v>
      </c>
      <c r="B101" s="24"/>
      <c r="C101" s="24"/>
      <c r="D101" s="222"/>
      <c r="E101" s="125" t="s">
        <v>592</v>
      </c>
      <c r="F101" s="230"/>
      <c r="G101" s="18" t="s">
        <v>650</v>
      </c>
      <c r="H101" s="33" t="s">
        <v>592</v>
      </c>
      <c r="I101" s="29"/>
      <c r="J101" s="27" t="s">
        <v>593</v>
      </c>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41"/>
      <c r="AH101" s="41"/>
      <c r="AI101" s="41"/>
      <c r="AJ101" s="41"/>
    </row>
    <row r="102" spans="1:36" ht="15.75" customHeight="1" x14ac:dyDescent="0.25">
      <c r="A102" s="15" t="s">
        <v>653</v>
      </c>
      <c r="B102" s="24" t="s">
        <v>600</v>
      </c>
      <c r="C102" s="24" t="s">
        <v>2005</v>
      </c>
      <c r="D102" s="222"/>
      <c r="E102" s="125" t="s">
        <v>37</v>
      </c>
      <c r="F102" s="230"/>
      <c r="G102" s="18" t="s">
        <v>654</v>
      </c>
      <c r="H102" s="33" t="s">
        <v>37</v>
      </c>
      <c r="I102" s="29"/>
      <c r="J102" s="27"/>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41"/>
      <c r="AH102" s="41"/>
      <c r="AI102" s="41"/>
      <c r="AJ102" s="41"/>
    </row>
    <row r="103" spans="1:36" ht="15.75" customHeight="1" x14ac:dyDescent="0.25">
      <c r="A103" s="15" t="s">
        <v>2016</v>
      </c>
      <c r="B103" s="24" t="s">
        <v>603</v>
      </c>
      <c r="C103" s="24" t="s">
        <v>604</v>
      </c>
      <c r="D103" s="222"/>
      <c r="E103" s="125" t="s">
        <v>605</v>
      </c>
      <c r="F103" s="230"/>
      <c r="G103" s="18" t="s">
        <v>2018</v>
      </c>
      <c r="H103" s="33" t="s">
        <v>605</v>
      </c>
      <c r="I103" s="29"/>
      <c r="J103" s="27"/>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41"/>
      <c r="AH103" s="41"/>
      <c r="AI103" s="41"/>
      <c r="AJ103" s="41"/>
    </row>
    <row r="104" spans="1:36" ht="15.75" customHeight="1" x14ac:dyDescent="0.25">
      <c r="A104" s="15" t="s">
        <v>662</v>
      </c>
      <c r="B104" s="24"/>
      <c r="C104" s="24" t="s">
        <v>612</v>
      </c>
      <c r="D104" s="222"/>
      <c r="E104" s="125" t="s">
        <v>613</v>
      </c>
      <c r="F104" s="230"/>
      <c r="G104" s="18" t="s">
        <v>663</v>
      </c>
      <c r="H104" s="33" t="s">
        <v>613</v>
      </c>
      <c r="I104" s="29"/>
      <c r="J104" s="27"/>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41"/>
      <c r="AH104" s="41"/>
      <c r="AI104" s="41"/>
      <c r="AJ104" s="41"/>
    </row>
    <row r="105" spans="1:36" ht="15.75" customHeight="1" x14ac:dyDescent="0.25">
      <c r="A105" s="15" t="s">
        <v>665</v>
      </c>
      <c r="B105" s="24"/>
      <c r="C105" s="24"/>
      <c r="D105" s="222"/>
      <c r="E105" s="125" t="s">
        <v>1934</v>
      </c>
      <c r="F105" s="230"/>
      <c r="G105" s="18" t="s">
        <v>669</v>
      </c>
      <c r="H105" s="33" t="s">
        <v>1668</v>
      </c>
      <c r="I105" s="29"/>
      <c r="J105" s="27" t="s">
        <v>618</v>
      </c>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41"/>
      <c r="AH105" s="41"/>
      <c r="AI105" s="41"/>
      <c r="AJ105" s="41"/>
    </row>
    <row r="106" spans="1:36" ht="15.75" customHeight="1" x14ac:dyDescent="0.25">
      <c r="A106" s="15" t="s">
        <v>682</v>
      </c>
      <c r="B106" s="112" t="s">
        <v>1965</v>
      </c>
      <c r="C106" s="112" t="s">
        <v>2075</v>
      </c>
      <c r="D106" s="222"/>
      <c r="E106" s="125" t="s">
        <v>1957</v>
      </c>
      <c r="F106" s="230"/>
      <c r="G106" s="18" t="s">
        <v>683</v>
      </c>
      <c r="H106" s="33" t="s">
        <v>1957</v>
      </c>
      <c r="I106" s="113" t="s">
        <v>1958</v>
      </c>
      <c r="J106" s="27" t="s">
        <v>1958</v>
      </c>
      <c r="K106" s="113"/>
      <c r="L106" s="233"/>
      <c r="M106" s="233"/>
      <c r="N106" s="113"/>
      <c r="O106" s="29"/>
      <c r="P106" s="234"/>
      <c r="Q106" s="234"/>
      <c r="R106" s="113"/>
      <c r="S106" s="113"/>
      <c r="T106" s="113"/>
      <c r="U106" s="113"/>
      <c r="V106" s="113"/>
      <c r="W106" s="113"/>
      <c r="X106" s="113"/>
      <c r="Y106" s="113"/>
      <c r="Z106" s="113"/>
      <c r="AA106" s="113"/>
      <c r="AB106" s="113"/>
      <c r="AC106" s="113"/>
      <c r="AD106" s="113"/>
      <c r="AE106" s="113"/>
      <c r="AF106" s="113"/>
      <c r="AG106" s="115"/>
      <c r="AH106" s="115"/>
      <c r="AI106" s="115"/>
      <c r="AJ106" s="115"/>
    </row>
    <row r="107" spans="1:36" ht="15.75" customHeight="1" x14ac:dyDescent="0.25">
      <c r="A107" s="15" t="s">
        <v>685</v>
      </c>
      <c r="B107" s="24"/>
      <c r="C107" s="24"/>
      <c r="D107" s="222"/>
      <c r="E107" s="125" t="s">
        <v>1527</v>
      </c>
      <c r="F107" s="230"/>
      <c r="G107" s="18" t="s">
        <v>686</v>
      </c>
      <c r="H107" s="33" t="s">
        <v>1527</v>
      </c>
      <c r="I107" s="81" t="s">
        <v>1927</v>
      </c>
      <c r="J107" s="27"/>
      <c r="K107" s="29"/>
      <c r="L107" s="39" t="s">
        <v>1477</v>
      </c>
      <c r="M107" s="39"/>
      <c r="N107" s="29"/>
      <c r="O107" s="29"/>
      <c r="P107" s="29"/>
      <c r="Q107" s="29"/>
      <c r="R107" s="29"/>
      <c r="S107" s="29"/>
      <c r="T107" s="29"/>
      <c r="U107" s="29"/>
      <c r="V107" s="29"/>
      <c r="W107" s="29"/>
      <c r="X107" s="29"/>
      <c r="Y107" s="29"/>
      <c r="Z107" s="29"/>
      <c r="AA107" s="29"/>
      <c r="AB107" s="29"/>
      <c r="AC107" s="29"/>
      <c r="AD107" s="29"/>
      <c r="AE107" s="29"/>
      <c r="AF107" s="29"/>
      <c r="AG107" s="41"/>
      <c r="AH107" s="41"/>
      <c r="AI107" s="41"/>
      <c r="AJ107" s="41"/>
    </row>
    <row r="108" spans="1:36" ht="15.75" customHeight="1" x14ac:dyDescent="0.25">
      <c r="A108" s="15" t="s">
        <v>690</v>
      </c>
      <c r="B108" s="24"/>
      <c r="C108" s="24"/>
      <c r="D108" s="222"/>
      <c r="E108" s="125" t="s">
        <v>641</v>
      </c>
      <c r="F108" s="230"/>
      <c r="G108" s="18" t="s">
        <v>691</v>
      </c>
      <c r="H108" s="33" t="s">
        <v>641</v>
      </c>
      <c r="I108" s="39" t="s">
        <v>642</v>
      </c>
      <c r="J108" s="27" t="s">
        <v>642</v>
      </c>
      <c r="K108" s="44"/>
      <c r="L108" s="44" t="s">
        <v>1480</v>
      </c>
      <c r="M108" s="44"/>
      <c r="N108" s="44"/>
      <c r="O108" s="29"/>
      <c r="P108" s="44"/>
      <c r="Q108" s="44"/>
      <c r="R108" s="44"/>
      <c r="S108" s="44"/>
      <c r="T108" s="44"/>
      <c r="U108" s="44"/>
      <c r="V108" s="44"/>
      <c r="W108" s="44"/>
      <c r="X108" s="44"/>
      <c r="Y108" s="44"/>
      <c r="Z108" s="44"/>
      <c r="AA108" s="44"/>
      <c r="AB108" s="44"/>
      <c r="AC108" s="44"/>
      <c r="AD108" s="44"/>
      <c r="AE108" s="44"/>
      <c r="AF108" s="44"/>
      <c r="AG108" s="41"/>
      <c r="AH108" s="41"/>
      <c r="AI108" s="41"/>
      <c r="AJ108" s="41"/>
    </row>
    <row r="109" spans="1:36" ht="15.75" customHeight="1" x14ac:dyDescent="0.25">
      <c r="A109" s="15" t="s">
        <v>693</v>
      </c>
      <c r="B109" s="24" t="s">
        <v>1536</v>
      </c>
      <c r="C109" s="24" t="s">
        <v>604</v>
      </c>
      <c r="D109" s="222" t="s">
        <v>1537</v>
      </c>
      <c r="E109" s="125" t="s">
        <v>645</v>
      </c>
      <c r="F109" s="230"/>
      <c r="G109" s="18" t="s">
        <v>695</v>
      </c>
      <c r="H109" s="33" t="s">
        <v>645</v>
      </c>
      <c r="I109" s="29" t="s">
        <v>1184</v>
      </c>
      <c r="J109" s="27" t="s">
        <v>1184</v>
      </c>
      <c r="K109" s="29"/>
      <c r="L109" s="39" t="s">
        <v>647</v>
      </c>
      <c r="M109" s="39"/>
      <c r="N109" s="29"/>
      <c r="O109" s="46"/>
      <c r="P109" s="29"/>
      <c r="Q109" s="29"/>
      <c r="R109" s="29"/>
      <c r="S109" s="29"/>
      <c r="T109" s="29"/>
      <c r="U109" s="29"/>
      <c r="V109" s="29"/>
      <c r="W109" s="29"/>
      <c r="X109" s="29"/>
      <c r="Y109" s="29"/>
      <c r="Z109" s="29"/>
      <c r="AA109" s="29"/>
      <c r="AB109" s="29"/>
      <c r="AC109" s="29"/>
      <c r="AD109" s="29"/>
      <c r="AE109" s="29"/>
      <c r="AF109" s="29"/>
      <c r="AG109" s="41"/>
      <c r="AH109" s="41"/>
      <c r="AI109" s="41"/>
      <c r="AJ109" s="41"/>
    </row>
    <row r="110" spans="1:36" ht="15.75" customHeight="1" x14ac:dyDescent="0.25">
      <c r="A110" s="15" t="s">
        <v>697</v>
      </c>
      <c r="B110" s="24">
        <v>3638</v>
      </c>
      <c r="C110" s="24" t="s">
        <v>649</v>
      </c>
      <c r="D110" s="222" t="s">
        <v>146</v>
      </c>
      <c r="E110" s="125" t="s">
        <v>651</v>
      </c>
      <c r="F110" s="230"/>
      <c r="G110" s="18" t="s">
        <v>699</v>
      </c>
      <c r="H110" s="33" t="s">
        <v>651</v>
      </c>
      <c r="I110" s="29" t="s">
        <v>652</v>
      </c>
      <c r="J110" s="39" t="s">
        <v>104</v>
      </c>
      <c r="K110" s="29"/>
      <c r="L110" s="39"/>
      <c r="M110" s="39"/>
      <c r="N110" s="29"/>
      <c r="O110" s="29"/>
      <c r="P110" s="29"/>
      <c r="Q110" s="29"/>
      <c r="R110" s="29"/>
      <c r="S110" s="29"/>
      <c r="T110" s="29"/>
      <c r="U110" s="29"/>
      <c r="V110" s="29"/>
      <c r="W110" s="29"/>
      <c r="X110" s="29"/>
      <c r="Y110" s="29"/>
      <c r="Z110" s="29"/>
      <c r="AA110" s="29"/>
      <c r="AB110" s="29"/>
      <c r="AC110" s="29"/>
      <c r="AD110" s="29"/>
      <c r="AE110" s="29"/>
      <c r="AF110" s="29"/>
      <c r="AG110" s="41"/>
      <c r="AH110" s="41"/>
      <c r="AI110" s="41"/>
      <c r="AJ110" s="41"/>
    </row>
    <row r="111" spans="1:36" ht="15.75" customHeight="1" x14ac:dyDescent="0.25">
      <c r="A111" s="15" t="s">
        <v>701</v>
      </c>
      <c r="B111" s="24"/>
      <c r="C111" s="24" t="s">
        <v>17</v>
      </c>
      <c r="D111" s="222"/>
      <c r="E111" s="125" t="s">
        <v>655</v>
      </c>
      <c r="F111" s="230"/>
      <c r="G111" s="18" t="s">
        <v>702</v>
      </c>
      <c r="H111" s="33" t="s">
        <v>2002</v>
      </c>
      <c r="I111" s="39" t="s">
        <v>656</v>
      </c>
      <c r="J111" s="27" t="s">
        <v>656</v>
      </c>
      <c r="K111" s="29"/>
      <c r="L111" s="45" t="s">
        <v>657</v>
      </c>
      <c r="M111" s="39"/>
      <c r="N111" s="45" t="s">
        <v>658</v>
      </c>
      <c r="O111" s="39"/>
      <c r="P111" s="29"/>
      <c r="Q111" s="29"/>
      <c r="R111" s="29"/>
      <c r="S111" s="29"/>
      <c r="T111" s="45" t="s">
        <v>659</v>
      </c>
      <c r="U111" s="29"/>
      <c r="V111" s="29"/>
      <c r="W111" s="29"/>
      <c r="X111" s="29"/>
      <c r="Y111" s="29"/>
      <c r="Z111" s="29"/>
      <c r="AA111" s="29"/>
      <c r="AB111" s="29"/>
      <c r="AC111" s="29"/>
      <c r="AD111" s="29"/>
      <c r="AE111" s="29"/>
      <c r="AF111" s="29"/>
      <c r="AG111" s="41"/>
      <c r="AH111" s="41"/>
      <c r="AI111" s="45" t="s">
        <v>660</v>
      </c>
      <c r="AJ111" s="45"/>
    </row>
    <row r="112" spans="1:36" ht="15.75" customHeight="1" x14ac:dyDescent="0.25">
      <c r="A112" s="15" t="s">
        <v>1989</v>
      </c>
      <c r="B112" s="24"/>
      <c r="C112" s="24"/>
      <c r="D112" s="222"/>
      <c r="E112" s="125" t="s">
        <v>661</v>
      </c>
      <c r="F112" s="230"/>
      <c r="G112" s="18" t="s">
        <v>1990</v>
      </c>
      <c r="H112" s="33" t="s">
        <v>661</v>
      </c>
      <c r="I112" s="39" t="s">
        <v>1935</v>
      </c>
      <c r="J112" s="137" t="s">
        <v>1335</v>
      </c>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41"/>
      <c r="AH112" s="41"/>
      <c r="AI112" s="41"/>
      <c r="AJ112" s="41"/>
    </row>
    <row r="113" spans="1:36" ht="15.75" customHeight="1" x14ac:dyDescent="0.25">
      <c r="A113" s="15" t="s">
        <v>705</v>
      </c>
      <c r="B113" s="112"/>
      <c r="C113" s="112"/>
      <c r="D113" s="222"/>
      <c r="E113" s="125" t="s">
        <v>1613</v>
      </c>
      <c r="F113" s="230"/>
      <c r="G113" s="18" t="s">
        <v>708</v>
      </c>
      <c r="H113" s="33" t="s">
        <v>1613</v>
      </c>
      <c r="I113" s="113" t="s">
        <v>2101</v>
      </c>
      <c r="J113" s="27" t="s">
        <v>2100</v>
      </c>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4"/>
      <c r="AH113" s="114"/>
      <c r="AI113" s="114">
        <v>53527000</v>
      </c>
      <c r="AJ113" s="114"/>
    </row>
    <row r="114" spans="1:36" ht="15.75" customHeight="1" x14ac:dyDescent="0.25">
      <c r="A114" s="15" t="s">
        <v>710</v>
      </c>
      <c r="B114" s="24"/>
      <c r="C114" s="24"/>
      <c r="D114" s="222"/>
      <c r="E114" s="125" t="s">
        <v>1651</v>
      </c>
      <c r="F114" s="230"/>
      <c r="G114" s="18" t="s">
        <v>713</v>
      </c>
      <c r="H114" s="33" t="s">
        <v>1651</v>
      </c>
      <c r="I114" s="29"/>
      <c r="J114" s="27" t="s">
        <v>2099</v>
      </c>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41"/>
      <c r="AH114" s="41"/>
      <c r="AI114" s="41"/>
      <c r="AJ114" s="41"/>
    </row>
    <row r="115" spans="1:36" ht="15.75" customHeight="1" x14ac:dyDescent="0.25">
      <c r="A115" s="15" t="s">
        <v>714</v>
      </c>
      <c r="B115" s="24" t="s">
        <v>666</v>
      </c>
      <c r="C115" s="24" t="s">
        <v>667</v>
      </c>
      <c r="D115" s="222" t="s">
        <v>668</v>
      </c>
      <c r="E115" s="125" t="s">
        <v>670</v>
      </c>
      <c r="F115" s="230"/>
      <c r="G115" s="18" t="s">
        <v>716</v>
      </c>
      <c r="H115" s="33" t="s">
        <v>670</v>
      </c>
      <c r="I115" s="29"/>
      <c r="J115" s="27" t="s">
        <v>1565</v>
      </c>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41"/>
      <c r="AH115" s="41"/>
      <c r="AI115" s="41"/>
      <c r="AJ115" s="41"/>
    </row>
    <row r="116" spans="1:36" ht="15.75" customHeight="1" x14ac:dyDescent="0.25">
      <c r="A116" s="15" t="s">
        <v>717</v>
      </c>
      <c r="B116" s="24">
        <v>1200468</v>
      </c>
      <c r="C116" s="24">
        <v>1200468</v>
      </c>
      <c r="D116" s="222"/>
      <c r="E116" s="125" t="s">
        <v>672</v>
      </c>
      <c r="F116" s="230"/>
      <c r="G116" s="18" t="s">
        <v>720</v>
      </c>
      <c r="H116" s="33" t="s">
        <v>672</v>
      </c>
      <c r="I116" s="29"/>
      <c r="J116" s="27" t="s">
        <v>1565</v>
      </c>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41"/>
      <c r="AH116" s="41"/>
      <c r="AI116" s="41"/>
      <c r="AJ116" s="41"/>
    </row>
    <row r="117" spans="1:36" ht="15.75" customHeight="1" x14ac:dyDescent="0.25">
      <c r="A117" s="15" t="s">
        <v>723</v>
      </c>
      <c r="B117" s="24">
        <v>3365483</v>
      </c>
      <c r="C117" s="24">
        <v>3365483</v>
      </c>
      <c r="D117" s="222" t="s">
        <v>675</v>
      </c>
      <c r="E117" s="125" t="s">
        <v>676</v>
      </c>
      <c r="F117" s="230"/>
      <c r="G117" s="18" t="s">
        <v>726</v>
      </c>
      <c r="H117" s="33" t="s">
        <v>676</v>
      </c>
      <c r="I117" s="29"/>
      <c r="J117" s="27" t="s">
        <v>1565</v>
      </c>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41"/>
      <c r="AH117" s="41"/>
      <c r="AI117" s="41"/>
      <c r="AJ117" s="41"/>
    </row>
    <row r="118" spans="1:36" ht="15.75" customHeight="1" x14ac:dyDescent="0.25">
      <c r="A118" s="15" t="s">
        <v>2147</v>
      </c>
      <c r="B118" s="112"/>
      <c r="C118" s="112"/>
      <c r="D118" s="222"/>
      <c r="E118" s="125"/>
      <c r="F118" s="230"/>
      <c r="G118" s="18"/>
      <c r="H118" s="33" t="s">
        <v>2145</v>
      </c>
      <c r="I118" s="85"/>
      <c r="J118" s="271" t="s">
        <v>2146</v>
      </c>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4"/>
      <c r="AH118" s="114"/>
      <c r="AI118" s="114"/>
      <c r="AJ118" s="114"/>
    </row>
    <row r="119" spans="1:36" ht="15.75" customHeight="1" x14ac:dyDescent="0.25">
      <c r="A119" s="15" t="s">
        <v>2148</v>
      </c>
      <c r="B119" s="112"/>
      <c r="C119" s="112"/>
      <c r="D119" s="222" t="s">
        <v>2127</v>
      </c>
      <c r="E119" s="125"/>
      <c r="F119" s="230"/>
      <c r="G119" s="18"/>
      <c r="H119" s="33" t="s">
        <v>2125</v>
      </c>
      <c r="I119" s="27" t="s">
        <v>2126</v>
      </c>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4"/>
      <c r="AH119" s="114"/>
      <c r="AI119" s="114"/>
      <c r="AJ119" s="114"/>
    </row>
    <row r="120" spans="1:36" ht="15.75" customHeight="1" x14ac:dyDescent="0.25">
      <c r="A120" s="15" t="s">
        <v>745</v>
      </c>
      <c r="B120" s="24" t="s">
        <v>289</v>
      </c>
      <c r="C120" s="24" t="s">
        <v>2157</v>
      </c>
      <c r="D120" s="222"/>
      <c r="E120" s="125" t="s">
        <v>687</v>
      </c>
      <c r="F120" s="230"/>
      <c r="G120" s="18" t="s">
        <v>748</v>
      </c>
      <c r="H120" s="33" t="s">
        <v>687</v>
      </c>
      <c r="I120" s="27" t="s">
        <v>2021</v>
      </c>
      <c r="J120" s="27" t="s">
        <v>292</v>
      </c>
      <c r="K120" s="29"/>
      <c r="L120" s="29" t="s">
        <v>688</v>
      </c>
      <c r="M120" s="29"/>
      <c r="N120" s="29"/>
      <c r="O120" s="29"/>
      <c r="P120" s="29"/>
      <c r="Q120" s="29"/>
      <c r="R120" s="29"/>
      <c r="S120" s="29"/>
      <c r="T120" s="29"/>
      <c r="U120" s="29"/>
      <c r="V120" s="29"/>
      <c r="W120" s="29"/>
      <c r="X120" s="29"/>
      <c r="Y120" s="29"/>
      <c r="Z120" s="29"/>
      <c r="AA120" s="29"/>
      <c r="AB120" s="29"/>
      <c r="AC120" s="29"/>
      <c r="AD120" s="29"/>
      <c r="AE120" s="29"/>
      <c r="AF120" s="29" t="s">
        <v>689</v>
      </c>
      <c r="AG120" s="41"/>
      <c r="AH120" s="41"/>
      <c r="AI120" s="41"/>
      <c r="AJ120" s="41"/>
    </row>
    <row r="121" spans="1:36" ht="15.75" customHeight="1" x14ac:dyDescent="0.25">
      <c r="A121" s="15" t="s">
        <v>751</v>
      </c>
      <c r="B121" s="24" t="s">
        <v>289</v>
      </c>
      <c r="C121" s="24" t="s">
        <v>2157</v>
      </c>
      <c r="D121" s="222"/>
      <c r="E121" s="125" t="s">
        <v>692</v>
      </c>
      <c r="F121" s="230"/>
      <c r="G121" s="18" t="s">
        <v>753</v>
      </c>
      <c r="H121" s="33" t="s">
        <v>692</v>
      </c>
      <c r="I121" s="29" t="s">
        <v>2065</v>
      </c>
      <c r="J121" s="27" t="s">
        <v>684</v>
      </c>
      <c r="K121" s="29"/>
      <c r="L121" s="29"/>
      <c r="M121" s="29"/>
      <c r="N121" s="29"/>
      <c r="O121" s="29" t="s">
        <v>1951</v>
      </c>
      <c r="P121" s="29"/>
      <c r="Q121" s="29"/>
      <c r="R121" s="29"/>
      <c r="S121" s="29"/>
      <c r="T121" s="29"/>
      <c r="U121" s="29"/>
      <c r="V121" s="29"/>
      <c r="W121" s="29"/>
      <c r="X121" s="29"/>
      <c r="Y121" s="29"/>
      <c r="Z121" s="29"/>
      <c r="AA121" s="29"/>
      <c r="AB121" s="29"/>
      <c r="AC121" s="29"/>
      <c r="AD121" s="29"/>
      <c r="AE121" s="29"/>
      <c r="AF121" s="29"/>
      <c r="AG121" s="41"/>
      <c r="AH121" s="41"/>
      <c r="AI121" s="41"/>
      <c r="AJ121" s="41"/>
    </row>
    <row r="122" spans="1:36" ht="15.75" customHeight="1" x14ac:dyDescent="0.25">
      <c r="A122" s="15" t="s">
        <v>754</v>
      </c>
      <c r="B122" s="24">
        <v>7001606741</v>
      </c>
      <c r="C122" s="24" t="s">
        <v>1898</v>
      </c>
      <c r="D122" s="222" t="s">
        <v>698</v>
      </c>
      <c r="E122" s="125" t="s">
        <v>700</v>
      </c>
      <c r="F122" s="230"/>
      <c r="G122" s="18" t="s">
        <v>758</v>
      </c>
      <c r="H122" s="33" t="s">
        <v>700</v>
      </c>
      <c r="I122" s="85"/>
      <c r="J122" s="27" t="s">
        <v>1893</v>
      </c>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41"/>
      <c r="AH122" s="41"/>
      <c r="AI122" s="39">
        <v>2015243</v>
      </c>
      <c r="AJ122" s="39"/>
    </row>
    <row r="123" spans="1:36" ht="15.75" customHeight="1" x14ac:dyDescent="0.25">
      <c r="A123" s="15" t="s">
        <v>759</v>
      </c>
      <c r="B123" s="112">
        <v>2003532</v>
      </c>
      <c r="C123" s="112" t="s">
        <v>2156</v>
      </c>
      <c r="D123" s="222"/>
      <c r="E123" s="125" t="s">
        <v>151</v>
      </c>
      <c r="F123" s="230"/>
      <c r="G123" s="18" t="s">
        <v>760</v>
      </c>
      <c r="H123" s="33" t="s">
        <v>151</v>
      </c>
      <c r="I123" s="27" t="s">
        <v>1567</v>
      </c>
      <c r="J123" s="27" t="s">
        <v>1567</v>
      </c>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4"/>
      <c r="AH123" s="114"/>
      <c r="AI123" s="114"/>
      <c r="AJ123" s="114"/>
    </row>
    <row r="124" spans="1:36" ht="15.75" customHeight="1" x14ac:dyDescent="0.25">
      <c r="A124" s="15" t="s">
        <v>761</v>
      </c>
      <c r="B124" s="24"/>
      <c r="C124" s="24"/>
      <c r="D124" s="222"/>
      <c r="E124" s="125" t="s">
        <v>1618</v>
      </c>
      <c r="F124" s="230"/>
      <c r="G124" s="18" t="s">
        <v>764</v>
      </c>
      <c r="H124" s="33" t="s">
        <v>1618</v>
      </c>
      <c r="I124" s="39" t="s">
        <v>1619</v>
      </c>
      <c r="J124" s="27"/>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41"/>
      <c r="AH124" s="41"/>
      <c r="AI124" s="41"/>
      <c r="AJ124" s="41"/>
    </row>
    <row r="125" spans="1:36" ht="15.75" customHeight="1" x14ac:dyDescent="0.25">
      <c r="A125" s="15" t="s">
        <v>765</v>
      </c>
      <c r="B125" s="24"/>
      <c r="C125" s="24"/>
      <c r="D125" s="222"/>
      <c r="E125" s="125" t="s">
        <v>703</v>
      </c>
      <c r="F125" s="230"/>
      <c r="G125" s="18" t="s">
        <v>769</v>
      </c>
      <c r="H125" s="33" t="s">
        <v>703</v>
      </c>
      <c r="I125" s="29"/>
      <c r="J125" s="27" t="s">
        <v>704</v>
      </c>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46"/>
      <c r="AH125" s="46"/>
      <c r="AI125" s="46"/>
      <c r="AJ125" s="46"/>
    </row>
    <row r="126" spans="1:36" ht="15.75" customHeight="1" x14ac:dyDescent="0.25">
      <c r="A126" s="15" t="s">
        <v>773</v>
      </c>
      <c r="B126" s="47" t="s">
        <v>706</v>
      </c>
      <c r="C126" s="24" t="s">
        <v>2036</v>
      </c>
      <c r="D126" s="222"/>
      <c r="E126" s="125" t="s">
        <v>154</v>
      </c>
      <c r="F126" s="230"/>
      <c r="G126" s="18" t="s">
        <v>775</v>
      </c>
      <c r="H126" s="33" t="s">
        <v>154</v>
      </c>
      <c r="I126" s="39" t="s">
        <v>706</v>
      </c>
      <c r="J126" s="27" t="s">
        <v>706</v>
      </c>
      <c r="K126" s="29"/>
      <c r="L126" s="85"/>
      <c r="M126" s="85"/>
      <c r="N126" s="29"/>
      <c r="O126" s="29"/>
      <c r="P126" s="29"/>
      <c r="Q126" s="29"/>
      <c r="R126" s="29"/>
      <c r="S126" s="29"/>
      <c r="T126" s="29"/>
      <c r="U126" s="29"/>
      <c r="V126" s="29"/>
      <c r="W126" s="29"/>
      <c r="X126" s="29"/>
      <c r="Y126" s="29"/>
      <c r="Z126" s="29"/>
      <c r="AA126" s="29"/>
      <c r="AB126" s="29"/>
      <c r="AC126" s="29"/>
      <c r="AD126" s="29"/>
      <c r="AE126" s="29"/>
      <c r="AF126" s="29" t="s">
        <v>709</v>
      </c>
      <c r="AG126" s="46"/>
      <c r="AH126" s="46"/>
      <c r="AI126" s="46"/>
      <c r="AJ126" s="46"/>
    </row>
    <row r="127" spans="1:36" ht="15.75" customHeight="1" x14ac:dyDescent="0.25">
      <c r="A127" s="15" t="s">
        <v>779</v>
      </c>
      <c r="B127" s="87"/>
      <c r="C127" s="88"/>
      <c r="D127" s="222"/>
      <c r="E127" s="125" t="s">
        <v>1546</v>
      </c>
      <c r="F127" s="230"/>
      <c r="G127" s="18" t="s">
        <v>781</v>
      </c>
      <c r="H127" s="86" t="s">
        <v>1546</v>
      </c>
      <c r="I127" s="39"/>
      <c r="J127" s="27"/>
      <c r="K127" s="29"/>
      <c r="L127" s="85"/>
      <c r="M127" s="85"/>
      <c r="N127" s="29"/>
      <c r="O127" s="29"/>
      <c r="P127" s="29"/>
      <c r="Q127" s="29"/>
      <c r="R127" s="29"/>
      <c r="S127" s="29"/>
      <c r="T127" s="29"/>
      <c r="U127" s="29"/>
      <c r="V127" s="29"/>
      <c r="W127" s="29"/>
      <c r="X127" s="29"/>
      <c r="Y127" s="29"/>
      <c r="Z127" s="29"/>
      <c r="AA127" s="29"/>
      <c r="AB127" s="29"/>
      <c r="AC127" s="29"/>
      <c r="AD127" s="29"/>
      <c r="AE127" s="29"/>
      <c r="AF127" s="29"/>
      <c r="AG127" s="46"/>
      <c r="AH127" s="46"/>
      <c r="AI127" s="46"/>
      <c r="AJ127" s="46"/>
    </row>
    <row r="128" spans="1:36" ht="15.75" customHeight="1" x14ac:dyDescent="0.25">
      <c r="A128" s="15" t="s">
        <v>782</v>
      </c>
      <c r="B128" s="24" t="s">
        <v>711</v>
      </c>
      <c r="C128" s="24" t="s">
        <v>294</v>
      </c>
      <c r="D128" s="222" t="s">
        <v>712</v>
      </c>
      <c r="E128" s="125" t="s">
        <v>156</v>
      </c>
      <c r="F128" s="230"/>
      <c r="G128" s="18" t="s">
        <v>784</v>
      </c>
      <c r="H128" s="33" t="s">
        <v>156</v>
      </c>
      <c r="I128" s="39" t="s">
        <v>385</v>
      </c>
      <c r="J128" s="27" t="s">
        <v>385</v>
      </c>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46"/>
      <c r="AH128" s="46"/>
      <c r="AI128" s="29">
        <v>631119</v>
      </c>
      <c r="AJ128" s="29"/>
    </row>
    <row r="129" spans="1:36" ht="15.75" customHeight="1" x14ac:dyDescent="0.25">
      <c r="A129" s="15" t="s">
        <v>785</v>
      </c>
      <c r="B129" s="24" t="s">
        <v>715</v>
      </c>
      <c r="C129" s="24" t="s">
        <v>294</v>
      </c>
      <c r="D129" s="222" t="s">
        <v>1941</v>
      </c>
      <c r="E129" s="125" t="s">
        <v>158</v>
      </c>
      <c r="F129" s="230"/>
      <c r="G129" s="18" t="s">
        <v>787</v>
      </c>
      <c r="H129" s="33" t="s">
        <v>158</v>
      </c>
      <c r="I129" s="29" t="s">
        <v>2022</v>
      </c>
      <c r="J129" s="27" t="s">
        <v>1545</v>
      </c>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46"/>
      <c r="AH129" s="46"/>
      <c r="AI129" s="46"/>
      <c r="AJ129" s="46"/>
    </row>
    <row r="130" spans="1:36" ht="15.75" customHeight="1" x14ac:dyDescent="0.25">
      <c r="A130" s="15" t="s">
        <v>788</v>
      </c>
      <c r="B130" s="24">
        <v>7171692</v>
      </c>
      <c r="C130" s="24" t="s">
        <v>1976</v>
      </c>
      <c r="D130" s="222" t="s">
        <v>718</v>
      </c>
      <c r="E130" s="125" t="s">
        <v>719</v>
      </c>
      <c r="F130" s="230" t="s">
        <v>2085</v>
      </c>
      <c r="G130" s="18" t="s">
        <v>790</v>
      </c>
      <c r="H130" s="33" t="s">
        <v>721</v>
      </c>
      <c r="I130" s="29" t="s">
        <v>722</v>
      </c>
      <c r="J130" s="27">
        <v>28632</v>
      </c>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46"/>
      <c r="AH130" s="46"/>
      <c r="AI130" s="29">
        <v>30720</v>
      </c>
      <c r="AJ130" s="29"/>
    </row>
    <row r="131" spans="1:36" ht="15.75" customHeight="1" x14ac:dyDescent="0.25">
      <c r="A131" s="15" t="s">
        <v>791</v>
      </c>
      <c r="B131" s="24">
        <v>7171692</v>
      </c>
      <c r="C131" s="24">
        <v>359322</v>
      </c>
      <c r="D131" s="238" t="s">
        <v>724</v>
      </c>
      <c r="E131" s="125" t="s">
        <v>725</v>
      </c>
      <c r="F131" s="230" t="s">
        <v>2085</v>
      </c>
      <c r="G131" s="18" t="s">
        <v>793</v>
      </c>
      <c r="H131" s="33" t="s">
        <v>727</v>
      </c>
      <c r="I131" s="29" t="s">
        <v>729</v>
      </c>
      <c r="J131" s="40" t="s">
        <v>728</v>
      </c>
      <c r="K131" s="29"/>
      <c r="L131" s="31" t="s">
        <v>730</v>
      </c>
      <c r="M131" s="29"/>
      <c r="N131" s="29"/>
      <c r="O131" s="29"/>
      <c r="P131" s="29"/>
      <c r="Q131" s="29"/>
      <c r="R131" s="29"/>
      <c r="S131" s="29"/>
      <c r="T131" s="29"/>
      <c r="U131" s="29"/>
      <c r="V131" s="29"/>
      <c r="W131" s="29"/>
      <c r="X131" s="29"/>
      <c r="Y131" s="29"/>
      <c r="Z131" s="29"/>
      <c r="AA131" s="29"/>
      <c r="AB131" s="29"/>
      <c r="AC131" s="29"/>
      <c r="AD131" s="29"/>
      <c r="AE131" s="29"/>
      <c r="AF131" s="29" t="s">
        <v>731</v>
      </c>
      <c r="AG131" s="46"/>
      <c r="AH131" s="46"/>
      <c r="AI131" s="29" t="s">
        <v>732</v>
      </c>
      <c r="AJ131" s="29"/>
    </row>
    <row r="132" spans="1:36" ht="15.75" customHeight="1" x14ac:dyDescent="0.25">
      <c r="A132" s="15" t="s">
        <v>794</v>
      </c>
      <c r="B132" s="24"/>
      <c r="C132" s="24"/>
      <c r="D132" s="222"/>
      <c r="E132" s="125" t="s">
        <v>752</v>
      </c>
      <c r="F132" s="230"/>
      <c r="G132" s="18" t="s">
        <v>795</v>
      </c>
      <c r="H132" s="33" t="s">
        <v>54</v>
      </c>
      <c r="I132" s="29"/>
      <c r="J132" s="27"/>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46"/>
      <c r="AH132" s="46"/>
      <c r="AI132" s="46"/>
      <c r="AJ132" s="46"/>
    </row>
    <row r="133" spans="1:36" ht="15.75" customHeight="1" x14ac:dyDescent="0.25">
      <c r="A133" s="15" t="s">
        <v>797</v>
      </c>
      <c r="B133" s="24" t="s">
        <v>755</v>
      </c>
      <c r="C133" s="24" t="s">
        <v>756</v>
      </c>
      <c r="D133" s="222"/>
      <c r="E133" s="125" t="s">
        <v>757</v>
      </c>
      <c r="F133" s="230"/>
      <c r="G133" s="18" t="s">
        <v>798</v>
      </c>
      <c r="H133" s="33" t="s">
        <v>54</v>
      </c>
      <c r="I133" s="29"/>
      <c r="J133" s="27"/>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46"/>
      <c r="AH133" s="46"/>
      <c r="AI133" s="46"/>
      <c r="AJ133" s="46"/>
    </row>
    <row r="134" spans="1:36" ht="15.75" customHeight="1" x14ac:dyDescent="0.25">
      <c r="A134" s="15" t="s">
        <v>801</v>
      </c>
      <c r="B134" s="24">
        <v>7993201</v>
      </c>
      <c r="C134" s="24" t="s">
        <v>28</v>
      </c>
      <c r="D134" s="222"/>
      <c r="E134" s="125" t="s">
        <v>54</v>
      </c>
      <c r="F134" s="230"/>
      <c r="G134" s="18" t="s">
        <v>803</v>
      </c>
      <c r="H134" s="33" t="s">
        <v>733</v>
      </c>
      <c r="I134" s="29"/>
      <c r="J134" s="27">
        <v>7993201</v>
      </c>
      <c r="K134" s="29"/>
      <c r="L134" s="29"/>
      <c r="M134" s="29"/>
      <c r="N134" s="29"/>
      <c r="O134" s="29"/>
      <c r="P134" s="29" t="s">
        <v>734</v>
      </c>
      <c r="Q134" s="29" t="s">
        <v>735</v>
      </c>
      <c r="R134" s="29" t="s">
        <v>736</v>
      </c>
      <c r="S134" s="29"/>
      <c r="T134" s="29" t="s">
        <v>737</v>
      </c>
      <c r="U134" s="29" t="s">
        <v>738</v>
      </c>
      <c r="V134" s="29" t="s">
        <v>739</v>
      </c>
      <c r="W134" s="29"/>
      <c r="X134" s="29"/>
      <c r="Y134" s="29" t="s">
        <v>740</v>
      </c>
      <c r="Z134" s="29" t="s">
        <v>741</v>
      </c>
      <c r="AA134" s="29"/>
      <c r="AB134" s="29"/>
      <c r="AC134" s="29"/>
      <c r="AD134" s="29"/>
      <c r="AE134" s="29"/>
      <c r="AF134" s="29"/>
      <c r="AG134" s="46"/>
      <c r="AH134" s="46"/>
      <c r="AI134" s="29" t="s">
        <v>742</v>
      </c>
      <c r="AJ134" s="29"/>
    </row>
    <row r="135" spans="1:36" ht="15.75" customHeight="1" x14ac:dyDescent="0.25">
      <c r="A135" s="15" t="s">
        <v>810</v>
      </c>
      <c r="B135" s="24">
        <v>7993201</v>
      </c>
      <c r="C135" s="24" t="s">
        <v>28</v>
      </c>
      <c r="D135" s="222"/>
      <c r="E135" s="125" t="s">
        <v>743</v>
      </c>
      <c r="F135" s="230"/>
      <c r="G135" s="18" t="s">
        <v>812</v>
      </c>
      <c r="H135" s="33" t="s">
        <v>744</v>
      </c>
      <c r="I135" s="29"/>
      <c r="J135" s="27">
        <v>9900133692</v>
      </c>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46"/>
      <c r="AH135" s="46"/>
      <c r="AI135" s="46"/>
      <c r="AJ135" s="46"/>
    </row>
    <row r="136" spans="1:36" ht="15.75" customHeight="1" x14ac:dyDescent="0.25">
      <c r="A136" s="15" t="s">
        <v>814</v>
      </c>
      <c r="B136" s="24" t="s">
        <v>746</v>
      </c>
      <c r="C136" s="24" t="s">
        <v>28</v>
      </c>
      <c r="D136" s="222"/>
      <c r="E136" s="125" t="s">
        <v>747</v>
      </c>
      <c r="F136" s="230"/>
      <c r="G136" s="18" t="s">
        <v>817</v>
      </c>
      <c r="H136" s="33" t="s">
        <v>749</v>
      </c>
      <c r="I136" s="29"/>
      <c r="J136" s="27" t="s">
        <v>750</v>
      </c>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46"/>
      <c r="AH136" s="46"/>
      <c r="AI136" s="46"/>
      <c r="AJ136" s="46"/>
    </row>
    <row r="137" spans="1:36" ht="15.75" customHeight="1" x14ac:dyDescent="0.25">
      <c r="A137" s="15" t="s">
        <v>819</v>
      </c>
      <c r="B137" s="24">
        <v>6776</v>
      </c>
      <c r="C137" s="47" t="s">
        <v>2142</v>
      </c>
      <c r="D137" s="222"/>
      <c r="E137" s="125" t="s">
        <v>159</v>
      </c>
      <c r="F137" s="230">
        <v>24019171003</v>
      </c>
      <c r="G137" s="18" t="s">
        <v>820</v>
      </c>
      <c r="H137" s="33" t="s">
        <v>159</v>
      </c>
      <c r="I137" s="29" t="s">
        <v>1359</v>
      </c>
      <c r="J137" s="27">
        <v>6776</v>
      </c>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46"/>
      <c r="AH137" s="46"/>
      <c r="AI137" s="29">
        <v>4459</v>
      </c>
      <c r="AJ137" s="29" t="s">
        <v>1644</v>
      </c>
    </row>
    <row r="138" spans="1:36" ht="15.75" customHeight="1" x14ac:dyDescent="0.25">
      <c r="A138" s="15" t="s">
        <v>823</v>
      </c>
      <c r="B138" s="24">
        <v>94830001</v>
      </c>
      <c r="C138" s="24" t="s">
        <v>762</v>
      </c>
      <c r="D138" s="222"/>
      <c r="E138" s="125" t="s">
        <v>763</v>
      </c>
      <c r="F138" s="230"/>
      <c r="G138" s="18" t="s">
        <v>826</v>
      </c>
      <c r="H138" s="33" t="s">
        <v>1598</v>
      </c>
      <c r="I138" s="29"/>
      <c r="J138" s="27" t="s">
        <v>1597</v>
      </c>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46"/>
      <c r="AH138" s="46"/>
      <c r="AI138" s="46"/>
      <c r="AJ138" s="46"/>
    </row>
    <row r="139" spans="1:36" ht="15.75" customHeight="1" x14ac:dyDescent="0.25">
      <c r="A139" s="15" t="s">
        <v>833</v>
      </c>
      <c r="B139" s="112">
        <v>580678001</v>
      </c>
      <c r="C139" s="47" t="s">
        <v>2163</v>
      </c>
      <c r="D139" s="222"/>
      <c r="E139" s="125" t="s">
        <v>2007</v>
      </c>
      <c r="F139" s="230"/>
      <c r="G139" s="18" t="s">
        <v>835</v>
      </c>
      <c r="H139" s="33" t="s">
        <v>2007</v>
      </c>
      <c r="I139" s="113" t="s">
        <v>1359</v>
      </c>
      <c r="J139" s="27" t="s">
        <v>256</v>
      </c>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7"/>
      <c r="AH139" s="117"/>
      <c r="AI139" s="117"/>
      <c r="AJ139" s="117"/>
    </row>
    <row r="140" spans="1:36" ht="15.75" customHeight="1" x14ac:dyDescent="0.25">
      <c r="A140" s="15" t="s">
        <v>838</v>
      </c>
      <c r="B140" s="24" t="s">
        <v>766</v>
      </c>
      <c r="C140" s="24" t="s">
        <v>767</v>
      </c>
      <c r="D140" s="222" t="s">
        <v>768</v>
      </c>
      <c r="E140" s="125" t="s">
        <v>162</v>
      </c>
      <c r="F140" s="230"/>
      <c r="G140" s="18" t="s">
        <v>839</v>
      </c>
      <c r="H140" s="33" t="s">
        <v>770</v>
      </c>
      <c r="I140" s="29" t="s">
        <v>771</v>
      </c>
      <c r="J140" s="27" t="s">
        <v>771</v>
      </c>
      <c r="K140" s="29"/>
      <c r="L140" s="39" t="s">
        <v>772</v>
      </c>
      <c r="M140" s="39"/>
      <c r="N140" s="29"/>
      <c r="O140" s="29"/>
      <c r="P140" s="29"/>
      <c r="Q140" s="29"/>
      <c r="R140" s="29"/>
      <c r="S140" s="29"/>
      <c r="T140" s="29"/>
      <c r="U140" s="29"/>
      <c r="V140" s="29"/>
      <c r="W140" s="29"/>
      <c r="X140" s="29"/>
      <c r="Y140" s="29"/>
      <c r="Z140" s="29"/>
      <c r="AA140" s="29"/>
      <c r="AB140" s="29"/>
      <c r="AC140" s="29"/>
      <c r="AD140" s="29"/>
      <c r="AE140" s="29"/>
      <c r="AF140" s="29"/>
      <c r="AG140" s="46"/>
      <c r="AH140" s="46"/>
      <c r="AI140" s="39">
        <v>62950579</v>
      </c>
      <c r="AJ140" s="39" t="s">
        <v>1933</v>
      </c>
    </row>
    <row r="141" spans="1:36" ht="15.75" customHeight="1" x14ac:dyDescent="0.25">
      <c r="A141" s="15" t="s">
        <v>842</v>
      </c>
      <c r="B141" s="24">
        <v>16283</v>
      </c>
      <c r="C141" s="24" t="s">
        <v>12</v>
      </c>
      <c r="D141" s="222"/>
      <c r="E141" s="125" t="s">
        <v>774</v>
      </c>
      <c r="F141" s="230"/>
      <c r="G141" s="18" t="s">
        <v>843</v>
      </c>
      <c r="H141" s="33" t="s">
        <v>194</v>
      </c>
      <c r="I141" s="29"/>
      <c r="J141" s="27" t="s">
        <v>776</v>
      </c>
      <c r="K141" s="29"/>
      <c r="L141" s="29"/>
      <c r="M141" s="29"/>
      <c r="N141" s="29"/>
      <c r="O141" s="29"/>
      <c r="P141" s="29" t="s">
        <v>777</v>
      </c>
      <c r="Q141" s="29"/>
      <c r="R141" s="29"/>
      <c r="S141" s="29" t="s">
        <v>778</v>
      </c>
      <c r="T141" s="29"/>
      <c r="U141" s="29"/>
      <c r="V141" s="29"/>
      <c r="W141" s="29"/>
      <c r="X141" s="29"/>
      <c r="Y141" s="29"/>
      <c r="Z141" s="29"/>
      <c r="AA141" s="29"/>
      <c r="AB141" s="29"/>
      <c r="AC141" s="29"/>
      <c r="AD141" s="29"/>
      <c r="AE141" s="29"/>
      <c r="AF141" s="29"/>
      <c r="AG141" s="46"/>
      <c r="AH141" s="46"/>
      <c r="AI141" s="29">
        <v>18408</v>
      </c>
      <c r="AJ141" s="29"/>
    </row>
    <row r="142" spans="1:36" ht="15.75" customHeight="1" x14ac:dyDescent="0.25">
      <c r="A142" s="15" t="s">
        <v>847</v>
      </c>
      <c r="B142" s="48">
        <v>4808</v>
      </c>
      <c r="C142" s="48" t="s">
        <v>546</v>
      </c>
      <c r="D142" s="222"/>
      <c r="E142" s="125" t="s">
        <v>780</v>
      </c>
      <c r="F142" s="230"/>
      <c r="G142" s="18" t="s">
        <v>850</v>
      </c>
      <c r="H142" s="33" t="s">
        <v>194</v>
      </c>
      <c r="I142" s="29"/>
      <c r="J142" s="27"/>
      <c r="K142" s="29"/>
      <c r="L142" s="29"/>
      <c r="M142" s="29"/>
      <c r="N142" s="29"/>
      <c r="O142" s="29"/>
      <c r="P142" s="29"/>
      <c r="Q142" s="29"/>
      <c r="R142" s="29"/>
      <c r="S142" s="29" t="s">
        <v>1914</v>
      </c>
      <c r="T142" s="29"/>
      <c r="U142" s="29"/>
      <c r="V142" s="29"/>
      <c r="W142" s="29"/>
      <c r="X142" s="29"/>
      <c r="Y142" s="29"/>
      <c r="Z142" s="29"/>
      <c r="AA142" s="29"/>
      <c r="AB142" s="29"/>
      <c r="AC142" s="29"/>
      <c r="AD142" s="29"/>
      <c r="AE142" s="29"/>
      <c r="AF142" s="29"/>
      <c r="AG142" s="46"/>
      <c r="AH142" s="46"/>
      <c r="AI142" s="46"/>
      <c r="AJ142" s="46"/>
    </row>
    <row r="143" spans="1:36" ht="15.75" customHeight="1" x14ac:dyDescent="0.25">
      <c r="A143" s="15" t="s">
        <v>855</v>
      </c>
      <c r="B143" s="24">
        <v>11642</v>
      </c>
      <c r="C143" s="24" t="s">
        <v>28</v>
      </c>
      <c r="D143" s="222"/>
      <c r="E143" s="125" t="s">
        <v>783</v>
      </c>
      <c r="F143" s="230"/>
      <c r="G143" s="18" t="s">
        <v>857</v>
      </c>
      <c r="H143" s="33" t="s">
        <v>194</v>
      </c>
      <c r="I143" s="29"/>
      <c r="J143" s="27"/>
      <c r="K143" s="29"/>
      <c r="L143" s="29"/>
      <c r="M143" s="29"/>
      <c r="N143" s="29"/>
      <c r="O143" s="29"/>
      <c r="P143" s="24">
        <v>11642</v>
      </c>
      <c r="Q143" s="29"/>
      <c r="R143" s="29"/>
      <c r="S143" s="29"/>
      <c r="T143" s="29"/>
      <c r="U143" s="29"/>
      <c r="V143" s="29"/>
      <c r="W143" s="29"/>
      <c r="X143" s="29"/>
      <c r="Y143" s="29"/>
      <c r="Z143" s="29"/>
      <c r="AA143" s="29"/>
      <c r="AB143" s="29"/>
      <c r="AC143" s="29"/>
      <c r="AD143" s="29"/>
      <c r="AE143" s="29"/>
      <c r="AF143" s="29"/>
      <c r="AG143" s="46"/>
      <c r="AH143" s="46"/>
      <c r="AI143" s="46"/>
      <c r="AJ143" s="46"/>
    </row>
    <row r="144" spans="1:36" ht="15.75" customHeight="1" x14ac:dyDescent="0.25">
      <c r="A144" s="15" t="s">
        <v>859</v>
      </c>
      <c r="B144" s="24">
        <v>16284</v>
      </c>
      <c r="C144" s="24" t="s">
        <v>12</v>
      </c>
      <c r="D144" s="222"/>
      <c r="E144" s="125" t="s">
        <v>786</v>
      </c>
      <c r="F144" s="230"/>
      <c r="G144" s="18" t="s">
        <v>860</v>
      </c>
      <c r="H144" s="33" t="s">
        <v>194</v>
      </c>
      <c r="I144" s="29"/>
      <c r="J144" s="27"/>
      <c r="K144" s="29"/>
      <c r="L144" s="29"/>
      <c r="M144" s="29"/>
      <c r="N144" s="29"/>
      <c r="O144" s="29"/>
      <c r="P144" s="29"/>
      <c r="Q144" s="29"/>
      <c r="R144" s="29"/>
      <c r="S144" s="24">
        <v>16284</v>
      </c>
      <c r="T144" s="29"/>
      <c r="U144" s="29"/>
      <c r="V144" s="29"/>
      <c r="W144" s="29"/>
      <c r="X144" s="29"/>
      <c r="Y144" s="29"/>
      <c r="Z144" s="29"/>
      <c r="AA144" s="29"/>
      <c r="AB144" s="29"/>
      <c r="AC144" s="29"/>
      <c r="AD144" s="29"/>
      <c r="AE144" s="29"/>
      <c r="AF144" s="29"/>
      <c r="AG144" s="46"/>
      <c r="AH144" s="46"/>
      <c r="AI144" s="46"/>
      <c r="AJ144" s="46"/>
    </row>
    <row r="145" spans="1:43" ht="15.75" customHeight="1" x14ac:dyDescent="0.25">
      <c r="A145" s="15" t="s">
        <v>863</v>
      </c>
      <c r="B145" s="24">
        <v>16286</v>
      </c>
      <c r="C145" s="24" t="s">
        <v>12</v>
      </c>
      <c r="D145" s="222"/>
      <c r="E145" s="125" t="s">
        <v>789</v>
      </c>
      <c r="F145" s="230"/>
      <c r="G145" s="18" t="s">
        <v>866</v>
      </c>
      <c r="H145" s="33" t="s">
        <v>194</v>
      </c>
      <c r="I145" s="29"/>
      <c r="J145" s="27"/>
      <c r="K145" s="29"/>
      <c r="L145" s="29"/>
      <c r="M145" s="29"/>
      <c r="N145" s="29"/>
      <c r="O145" s="29"/>
      <c r="P145" s="24">
        <v>16286</v>
      </c>
      <c r="Q145" s="29"/>
      <c r="R145" s="29"/>
      <c r="S145" s="29"/>
      <c r="T145" s="29"/>
      <c r="U145" s="29"/>
      <c r="V145" s="29"/>
      <c r="W145" s="29"/>
      <c r="X145" s="29"/>
      <c r="Y145" s="29"/>
      <c r="Z145" s="29"/>
      <c r="AA145" s="29"/>
      <c r="AB145" s="29"/>
      <c r="AC145" s="29"/>
      <c r="AD145" s="29"/>
      <c r="AE145" s="29"/>
      <c r="AF145" s="29"/>
      <c r="AG145" s="46"/>
      <c r="AH145" s="46"/>
      <c r="AI145" s="46"/>
      <c r="AJ145" s="46"/>
    </row>
    <row r="146" spans="1:43" ht="15.75" customHeight="1" x14ac:dyDescent="0.25">
      <c r="A146" s="15" t="s">
        <v>870</v>
      </c>
      <c r="B146" s="24">
        <v>18408</v>
      </c>
      <c r="C146" s="24" t="s">
        <v>12</v>
      </c>
      <c r="D146" s="222"/>
      <c r="E146" s="125" t="s">
        <v>792</v>
      </c>
      <c r="F146" s="230"/>
      <c r="G146" s="18" t="s">
        <v>871</v>
      </c>
      <c r="H146" s="33" t="s">
        <v>194</v>
      </c>
      <c r="I146" s="29"/>
      <c r="J146" s="27"/>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46"/>
      <c r="AH146" s="46"/>
      <c r="AI146" s="24">
        <v>18408</v>
      </c>
      <c r="AJ146" s="46"/>
    </row>
    <row r="147" spans="1:43" ht="15.75" customHeight="1" x14ac:dyDescent="0.25">
      <c r="A147" s="15" t="s">
        <v>874</v>
      </c>
      <c r="B147" s="112" t="s">
        <v>1984</v>
      </c>
      <c r="C147" s="112" t="s">
        <v>1985</v>
      </c>
      <c r="D147" s="222" t="s">
        <v>1986</v>
      </c>
      <c r="E147" s="125" t="s">
        <v>1983</v>
      </c>
      <c r="F147" s="230"/>
      <c r="G147" s="18" t="s">
        <v>875</v>
      </c>
      <c r="H147" s="33" t="s">
        <v>1980</v>
      </c>
      <c r="I147" s="113"/>
      <c r="J147" s="27"/>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7"/>
      <c r="AH147" s="117"/>
      <c r="AI147" s="112"/>
      <c r="AJ147" s="117"/>
    </row>
    <row r="148" spans="1:43" ht="15.75" customHeight="1" x14ac:dyDescent="0.25">
      <c r="A148" s="15" t="s">
        <v>878</v>
      </c>
      <c r="B148" s="112">
        <v>192163</v>
      </c>
      <c r="C148" s="112" t="s">
        <v>2151</v>
      </c>
      <c r="D148" s="222" t="s">
        <v>2152</v>
      </c>
      <c r="E148" s="125" t="s">
        <v>2153</v>
      </c>
      <c r="F148" s="230"/>
      <c r="G148" s="18" t="s">
        <v>879</v>
      </c>
      <c r="H148" s="33" t="s">
        <v>2149</v>
      </c>
      <c r="I148" s="113"/>
      <c r="J148" s="27" t="s">
        <v>2150</v>
      </c>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7"/>
      <c r="AH148" s="117"/>
      <c r="AI148" s="112"/>
      <c r="AJ148" s="117"/>
    </row>
    <row r="149" spans="1:43" ht="15.75" customHeight="1" x14ac:dyDescent="0.25">
      <c r="A149" s="15" t="s">
        <v>882</v>
      </c>
      <c r="B149" s="24" t="s">
        <v>43</v>
      </c>
      <c r="C149" s="24">
        <v>98527</v>
      </c>
      <c r="D149" s="222" t="s">
        <v>44</v>
      </c>
      <c r="E149" s="125" t="s">
        <v>41</v>
      </c>
      <c r="F149" s="230"/>
      <c r="G149" s="18" t="s">
        <v>883</v>
      </c>
      <c r="H149" s="33" t="s">
        <v>41</v>
      </c>
      <c r="I149" s="29"/>
      <c r="J149" s="27" t="s">
        <v>796</v>
      </c>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46"/>
      <c r="AH149" s="46"/>
      <c r="AI149" s="46"/>
      <c r="AJ149" s="46"/>
    </row>
    <row r="150" spans="1:43" ht="15.75" customHeight="1" x14ac:dyDescent="0.25">
      <c r="A150" s="15" t="s">
        <v>886</v>
      </c>
      <c r="B150" s="24">
        <v>27776</v>
      </c>
      <c r="C150" s="24" t="s">
        <v>294</v>
      </c>
      <c r="D150" s="222"/>
      <c r="E150" s="125" t="s">
        <v>799</v>
      </c>
      <c r="F150" s="230"/>
      <c r="G150" s="18" t="s">
        <v>887</v>
      </c>
      <c r="H150" s="33" t="s">
        <v>1993</v>
      </c>
      <c r="I150" s="29" t="s">
        <v>800</v>
      </c>
      <c r="J150" s="27"/>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46"/>
      <c r="AH150" s="46"/>
      <c r="AI150" s="29">
        <v>11982</v>
      </c>
      <c r="AJ150" s="29"/>
    </row>
    <row r="151" spans="1:43" ht="15.75" customHeight="1" x14ac:dyDescent="0.25">
      <c r="A151" s="15" t="s">
        <v>889</v>
      </c>
      <c r="B151" s="24" t="s">
        <v>448</v>
      </c>
      <c r="C151" s="24" t="s">
        <v>1942</v>
      </c>
      <c r="D151" s="222"/>
      <c r="E151" s="125" t="s">
        <v>802</v>
      </c>
      <c r="F151" s="230"/>
      <c r="G151" s="18" t="s">
        <v>890</v>
      </c>
      <c r="H151" s="33" t="s">
        <v>802</v>
      </c>
      <c r="I151" s="29" t="s">
        <v>2162</v>
      </c>
      <c r="J151" s="27" t="s">
        <v>2070</v>
      </c>
      <c r="K151" s="29"/>
      <c r="L151" s="29"/>
      <c r="M151" s="29"/>
      <c r="N151" s="29"/>
      <c r="O151" s="29"/>
      <c r="P151" s="29"/>
      <c r="Q151" s="29"/>
      <c r="R151" s="29"/>
      <c r="S151" s="29"/>
      <c r="T151" s="29"/>
      <c r="U151" s="29" t="s">
        <v>804</v>
      </c>
      <c r="V151" s="29"/>
      <c r="W151" s="29"/>
      <c r="X151" s="29"/>
      <c r="Y151" s="29" t="s">
        <v>806</v>
      </c>
      <c r="Z151" s="29" t="s">
        <v>807</v>
      </c>
      <c r="AA151" s="29" t="s">
        <v>808</v>
      </c>
      <c r="AB151" s="29"/>
      <c r="AC151" s="29" t="s">
        <v>809</v>
      </c>
      <c r="AD151" s="29"/>
      <c r="AE151" s="29"/>
      <c r="AF151" s="29"/>
      <c r="AG151" s="29"/>
      <c r="AH151" s="29"/>
      <c r="AI151" s="29" t="s">
        <v>805</v>
      </c>
      <c r="AJ151" s="29"/>
    </row>
    <row r="152" spans="1:43" ht="15.75" customHeight="1" x14ac:dyDescent="0.25">
      <c r="A152" s="15" t="s">
        <v>891</v>
      </c>
      <c r="B152" s="24" t="s">
        <v>815</v>
      </c>
      <c r="C152" s="24" t="s">
        <v>816</v>
      </c>
      <c r="D152" s="222" t="s">
        <v>811</v>
      </c>
      <c r="E152" s="125" t="s">
        <v>818</v>
      </c>
      <c r="F152" s="230"/>
      <c r="G152" s="18" t="s">
        <v>893</v>
      </c>
      <c r="H152" s="33" t="s">
        <v>818</v>
      </c>
      <c r="I152" s="29"/>
      <c r="J152" s="27"/>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t="s">
        <v>813</v>
      </c>
      <c r="AH152" s="29"/>
      <c r="AI152" s="29"/>
      <c r="AJ152" s="29"/>
    </row>
    <row r="153" spans="1:43" ht="15.75" customHeight="1" x14ac:dyDescent="0.25">
      <c r="A153" s="15" t="s">
        <v>896</v>
      </c>
      <c r="B153" s="24" t="s">
        <v>2140</v>
      </c>
      <c r="C153" s="24" t="s">
        <v>2078</v>
      </c>
      <c r="D153" s="222"/>
      <c r="E153" s="125" t="s">
        <v>821</v>
      </c>
      <c r="F153" s="230"/>
      <c r="G153" s="18" t="s">
        <v>899</v>
      </c>
      <c r="H153" s="33" t="s">
        <v>821</v>
      </c>
      <c r="I153" s="29"/>
      <c r="J153" s="27" t="s">
        <v>822</v>
      </c>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46"/>
      <c r="AH153" s="46"/>
      <c r="AI153" s="46"/>
      <c r="AJ153" s="46"/>
    </row>
    <row r="154" spans="1:43" ht="15.75" customHeight="1" x14ac:dyDescent="0.25">
      <c r="A154" s="15" t="s">
        <v>900</v>
      </c>
      <c r="B154" s="112">
        <v>28883</v>
      </c>
      <c r="C154" s="112" t="s">
        <v>824</v>
      </c>
      <c r="D154" s="222"/>
      <c r="E154" s="125" t="s">
        <v>825</v>
      </c>
      <c r="F154" s="230"/>
      <c r="G154" s="18" t="s">
        <v>902</v>
      </c>
      <c r="H154" s="33" t="s">
        <v>827</v>
      </c>
      <c r="I154" s="113" t="s">
        <v>829</v>
      </c>
      <c r="J154" s="27" t="s">
        <v>828</v>
      </c>
      <c r="K154" s="113"/>
      <c r="L154" s="113"/>
      <c r="M154" s="113"/>
      <c r="N154" s="113"/>
      <c r="O154" s="113"/>
      <c r="P154" s="113"/>
      <c r="Q154" s="113"/>
      <c r="R154" s="113"/>
      <c r="S154" s="113"/>
      <c r="T154" s="113"/>
      <c r="U154" s="113"/>
      <c r="V154" s="113"/>
      <c r="W154" s="113"/>
      <c r="X154" s="113"/>
      <c r="Y154" s="113"/>
      <c r="Z154" s="113"/>
      <c r="AA154" s="113" t="s">
        <v>830</v>
      </c>
      <c r="AB154" s="113"/>
      <c r="AC154" s="113"/>
      <c r="AD154" s="113"/>
      <c r="AE154" s="113"/>
      <c r="AF154" s="113" t="s">
        <v>831</v>
      </c>
      <c r="AG154" s="117"/>
      <c r="AH154" s="117"/>
      <c r="AI154" s="85" t="s">
        <v>832</v>
      </c>
      <c r="AJ154" s="85"/>
    </row>
    <row r="155" spans="1:43" ht="15.75" customHeight="1" x14ac:dyDescent="0.25">
      <c r="A155" s="15" t="s">
        <v>904</v>
      </c>
      <c r="B155" s="25" t="s">
        <v>160</v>
      </c>
      <c r="C155" s="24" t="s">
        <v>28</v>
      </c>
      <c r="D155" s="222" t="s">
        <v>834</v>
      </c>
      <c r="E155" s="125" t="s">
        <v>836</v>
      </c>
      <c r="F155" s="230"/>
      <c r="G155" s="18" t="s">
        <v>906</v>
      </c>
      <c r="H155" s="33" t="s">
        <v>836</v>
      </c>
      <c r="I155" s="29"/>
      <c r="J155" s="27" t="s">
        <v>837</v>
      </c>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46"/>
      <c r="AH155" s="46"/>
      <c r="AI155" s="27">
        <v>120734</v>
      </c>
      <c r="AJ155" s="27"/>
    </row>
    <row r="156" spans="1:43" ht="15.75" customHeight="1" x14ac:dyDescent="0.25">
      <c r="A156" s="15" t="s">
        <v>908</v>
      </c>
      <c r="B156" s="25"/>
      <c r="C156" s="24"/>
      <c r="D156" s="222"/>
      <c r="E156" s="125" t="s">
        <v>840</v>
      </c>
      <c r="F156" s="230"/>
      <c r="G156" s="18" t="s">
        <v>909</v>
      </c>
      <c r="H156" s="33" t="s">
        <v>840</v>
      </c>
      <c r="I156" s="29"/>
      <c r="J156" s="27" t="s">
        <v>841</v>
      </c>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46"/>
      <c r="AH156" s="46"/>
      <c r="AI156" s="46"/>
      <c r="AJ156" s="46"/>
    </row>
    <row r="157" spans="1:43" ht="15.75" customHeight="1" x14ac:dyDescent="0.25">
      <c r="A157" s="15" t="s">
        <v>912</v>
      </c>
      <c r="B157" s="24" t="s">
        <v>897</v>
      </c>
      <c r="C157" s="24" t="s">
        <v>28</v>
      </c>
      <c r="D157" s="222"/>
      <c r="E157" s="125" t="s">
        <v>898</v>
      </c>
      <c r="F157" s="230"/>
      <c r="G157" s="18" t="s">
        <v>914</v>
      </c>
      <c r="H157" s="33" t="s">
        <v>1915</v>
      </c>
      <c r="I157" s="29"/>
      <c r="J157" s="27"/>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41"/>
      <c r="AH157" s="41"/>
      <c r="AI157" s="41"/>
      <c r="AJ157" s="41"/>
      <c r="AK157" s="49"/>
      <c r="AL157" s="49"/>
      <c r="AM157" s="49"/>
      <c r="AN157" s="49"/>
      <c r="AO157" s="49"/>
      <c r="AP157" s="49"/>
      <c r="AQ157" s="49"/>
    </row>
    <row r="158" spans="1:43" ht="15.75" customHeight="1" x14ac:dyDescent="0.25">
      <c r="A158" s="15" t="s">
        <v>915</v>
      </c>
      <c r="B158" s="24"/>
      <c r="C158" s="24"/>
      <c r="D158" s="222"/>
      <c r="E158" s="125" t="s">
        <v>844</v>
      </c>
      <c r="F158" s="230"/>
      <c r="G158" s="18" t="s">
        <v>918</v>
      </c>
      <c r="H158" s="33" t="s">
        <v>844</v>
      </c>
      <c r="I158" s="29" t="s">
        <v>846</v>
      </c>
      <c r="J158" s="27" t="s">
        <v>845</v>
      </c>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46"/>
      <c r="AH158" s="46"/>
      <c r="AI158" s="46"/>
      <c r="AJ158" s="46"/>
    </row>
    <row r="159" spans="1:43" ht="15.75" customHeight="1" x14ac:dyDescent="0.25">
      <c r="A159" s="15" t="s">
        <v>921</v>
      </c>
      <c r="B159" s="24">
        <v>4794877</v>
      </c>
      <c r="C159" s="24" t="s">
        <v>848</v>
      </c>
      <c r="D159" s="222"/>
      <c r="E159" s="125" t="s">
        <v>849</v>
      </c>
      <c r="F159" s="230"/>
      <c r="G159" s="18" t="s">
        <v>924</v>
      </c>
      <c r="H159" s="33" t="s">
        <v>849</v>
      </c>
      <c r="I159" s="29" t="s">
        <v>852</v>
      </c>
      <c r="J159" s="27" t="s">
        <v>851</v>
      </c>
      <c r="K159" s="29"/>
      <c r="L159" s="39" t="s">
        <v>853</v>
      </c>
      <c r="M159" s="39"/>
      <c r="N159" s="29"/>
      <c r="O159" s="29"/>
      <c r="P159" s="29"/>
      <c r="Q159" s="29"/>
      <c r="R159" s="29"/>
      <c r="S159" s="29"/>
      <c r="T159" s="29"/>
      <c r="U159" s="29"/>
      <c r="V159" s="29"/>
      <c r="W159" s="29"/>
      <c r="X159" s="29"/>
      <c r="Y159" s="29"/>
      <c r="Z159" s="29"/>
      <c r="AA159" s="29"/>
      <c r="AB159" s="29"/>
      <c r="AC159" s="29"/>
      <c r="AD159" s="29"/>
      <c r="AE159" s="29"/>
      <c r="AF159" s="29"/>
      <c r="AG159" s="46"/>
      <c r="AH159" s="46"/>
      <c r="AI159" s="39" t="s">
        <v>854</v>
      </c>
      <c r="AJ159" s="39"/>
    </row>
    <row r="160" spans="1:43" ht="15.75" customHeight="1" x14ac:dyDescent="0.25">
      <c r="A160" s="15" t="s">
        <v>925</v>
      </c>
      <c r="B160" s="250" t="s">
        <v>160</v>
      </c>
      <c r="C160" s="24" t="s">
        <v>2092</v>
      </c>
      <c r="D160" s="238" t="s">
        <v>2138</v>
      </c>
      <c r="E160" s="125" t="s">
        <v>1622</v>
      </c>
      <c r="F160" s="230"/>
      <c r="G160" s="18" t="s">
        <v>928</v>
      </c>
      <c r="H160" s="33" t="s">
        <v>1622</v>
      </c>
      <c r="I160" s="29" t="s">
        <v>1623</v>
      </c>
      <c r="J160" s="27" t="s">
        <v>1623</v>
      </c>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46"/>
      <c r="AH160" s="46"/>
      <c r="AI160" s="29"/>
      <c r="AJ160" s="29"/>
    </row>
    <row r="161" spans="1:43" ht="15.75" customHeight="1" x14ac:dyDescent="0.25">
      <c r="A161" s="15" t="s">
        <v>929</v>
      </c>
      <c r="B161" s="24" t="s">
        <v>38</v>
      </c>
      <c r="C161" s="24" t="s">
        <v>28</v>
      </c>
      <c r="D161" s="222"/>
      <c r="E161" s="125" t="s">
        <v>856</v>
      </c>
      <c r="F161" s="230"/>
      <c r="G161" s="18" t="s">
        <v>934</v>
      </c>
      <c r="H161" s="33" t="s">
        <v>856</v>
      </c>
      <c r="I161" s="29"/>
      <c r="J161" s="27" t="s">
        <v>858</v>
      </c>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46"/>
      <c r="AH161" s="46"/>
      <c r="AI161" s="130"/>
      <c r="AJ161" s="130"/>
    </row>
    <row r="162" spans="1:43" ht="15.75" customHeight="1" x14ac:dyDescent="0.25">
      <c r="A162" s="15" t="s">
        <v>937</v>
      </c>
      <c r="B162" s="24"/>
      <c r="C162" s="24"/>
      <c r="D162" s="222"/>
      <c r="E162" s="125" t="s">
        <v>861</v>
      </c>
      <c r="F162" s="230"/>
      <c r="G162" s="18" t="s">
        <v>938</v>
      </c>
      <c r="H162" s="33" t="s">
        <v>861</v>
      </c>
      <c r="I162" s="29"/>
      <c r="J162" s="27" t="s">
        <v>862</v>
      </c>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46"/>
      <c r="AH162" s="46"/>
      <c r="AI162" s="46"/>
      <c r="AJ162" s="46"/>
    </row>
    <row r="163" spans="1:43" ht="15.75" customHeight="1" x14ac:dyDescent="0.25">
      <c r="A163" s="15" t="s">
        <v>941</v>
      </c>
      <c r="B163" s="24" t="s">
        <v>864</v>
      </c>
      <c r="C163" s="24" t="s">
        <v>707</v>
      </c>
      <c r="D163" s="222"/>
      <c r="E163" s="125" t="s">
        <v>867</v>
      </c>
      <c r="F163" s="230"/>
      <c r="G163" s="18" t="s">
        <v>943</v>
      </c>
      <c r="H163" s="33" t="s">
        <v>867</v>
      </c>
      <c r="I163" s="29"/>
      <c r="J163" s="27" t="s">
        <v>868</v>
      </c>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46"/>
      <c r="AH163" s="46"/>
      <c r="AI163" s="27" t="s">
        <v>869</v>
      </c>
      <c r="AJ163" s="27"/>
    </row>
    <row r="164" spans="1:43" ht="15.75" customHeight="1" x14ac:dyDescent="0.25">
      <c r="A164" s="15" t="s">
        <v>946</v>
      </c>
      <c r="B164" s="24"/>
      <c r="C164" s="24"/>
      <c r="D164" s="222"/>
      <c r="E164" s="125" t="s">
        <v>872</v>
      </c>
      <c r="F164" s="230"/>
      <c r="G164" s="18" t="s">
        <v>947</v>
      </c>
      <c r="H164" s="33" t="s">
        <v>872</v>
      </c>
      <c r="I164" s="29"/>
      <c r="J164" s="27" t="s">
        <v>873</v>
      </c>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46"/>
      <c r="AH164" s="46"/>
      <c r="AI164" s="46"/>
      <c r="AJ164" s="46"/>
    </row>
    <row r="165" spans="1:43" ht="15.75" customHeight="1" x14ac:dyDescent="0.25">
      <c r="A165" s="15" t="s">
        <v>948</v>
      </c>
      <c r="B165" s="250" t="s">
        <v>2123</v>
      </c>
      <c r="C165" s="24" t="s">
        <v>2129</v>
      </c>
      <c r="D165" s="238" t="s">
        <v>2130</v>
      </c>
      <c r="E165" s="125" t="s">
        <v>876</v>
      </c>
      <c r="F165" s="230"/>
      <c r="G165" s="18" t="s">
        <v>950</v>
      </c>
      <c r="H165" s="33" t="s">
        <v>876</v>
      </c>
      <c r="I165" s="29"/>
      <c r="J165" s="27" t="s">
        <v>169</v>
      </c>
      <c r="K165" s="29"/>
      <c r="L165" s="29"/>
      <c r="M165" s="29"/>
      <c r="N165" s="39" t="s">
        <v>877</v>
      </c>
      <c r="O165" s="39"/>
      <c r="P165" s="29"/>
      <c r="Q165" s="29"/>
      <c r="R165" s="29"/>
      <c r="S165" s="29"/>
      <c r="T165" s="29"/>
      <c r="U165" s="29"/>
      <c r="V165" s="29"/>
      <c r="W165" s="29"/>
      <c r="X165" s="29"/>
      <c r="Y165" s="29"/>
      <c r="Z165" s="29"/>
      <c r="AA165" s="29"/>
      <c r="AB165" s="29"/>
      <c r="AC165" s="29"/>
      <c r="AD165" s="29"/>
      <c r="AE165" s="29"/>
      <c r="AF165" s="29"/>
      <c r="AG165" s="46"/>
      <c r="AH165" s="46"/>
      <c r="AI165" s="39">
        <v>77543</v>
      </c>
      <c r="AJ165" s="39"/>
    </row>
    <row r="166" spans="1:43" ht="15.75" customHeight="1" x14ac:dyDescent="0.25">
      <c r="A166" s="15" t="s">
        <v>951</v>
      </c>
      <c r="B166" s="250" t="s">
        <v>160</v>
      </c>
      <c r="C166" s="24" t="s">
        <v>2129</v>
      </c>
      <c r="D166" s="238" t="s">
        <v>2130</v>
      </c>
      <c r="E166" s="125" t="s">
        <v>876</v>
      </c>
      <c r="F166" s="230"/>
      <c r="G166" s="18" t="s">
        <v>953</v>
      </c>
      <c r="H166" s="33" t="s">
        <v>876</v>
      </c>
      <c r="I166" s="29" t="s">
        <v>1924</v>
      </c>
      <c r="J166" s="27"/>
      <c r="K166" s="29"/>
      <c r="L166" s="29"/>
      <c r="M166" s="29"/>
      <c r="N166" s="39" t="s">
        <v>877</v>
      </c>
      <c r="O166" s="39"/>
      <c r="P166" s="29"/>
      <c r="Q166" s="29"/>
      <c r="R166" s="29"/>
      <c r="S166" s="29"/>
      <c r="T166" s="29"/>
      <c r="U166" s="29"/>
      <c r="V166" s="29"/>
      <c r="W166" s="29"/>
      <c r="X166" s="29"/>
      <c r="Y166" s="29"/>
      <c r="Z166" s="29"/>
      <c r="AA166" s="29"/>
      <c r="AB166" s="29"/>
      <c r="AC166" s="29"/>
      <c r="AD166" s="29"/>
      <c r="AE166" s="29"/>
      <c r="AF166" s="29"/>
      <c r="AG166" s="46"/>
      <c r="AH166" s="46"/>
      <c r="AI166" s="39">
        <v>77543</v>
      </c>
      <c r="AJ166" s="39"/>
    </row>
    <row r="167" spans="1:43" ht="15.75" customHeight="1" x14ac:dyDescent="0.25">
      <c r="A167" s="15" t="s">
        <v>956</v>
      </c>
      <c r="B167" s="24"/>
      <c r="C167" s="24"/>
      <c r="D167" s="222"/>
      <c r="E167" s="125" t="s">
        <v>880</v>
      </c>
      <c r="F167" s="230"/>
      <c r="G167" s="18" t="s">
        <v>957</v>
      </c>
      <c r="H167" s="33" t="s">
        <v>880</v>
      </c>
      <c r="I167" s="29"/>
      <c r="J167" s="27" t="s">
        <v>881</v>
      </c>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46"/>
      <c r="AH167" s="46"/>
      <c r="AI167" s="46"/>
      <c r="AJ167" s="46"/>
    </row>
    <row r="168" spans="1:43" ht="15.75" customHeight="1" x14ac:dyDescent="0.25">
      <c r="A168" s="15" t="s">
        <v>960</v>
      </c>
      <c r="B168" s="24"/>
      <c r="C168" s="24"/>
      <c r="D168" s="222"/>
      <c r="E168" s="125" t="s">
        <v>884</v>
      </c>
      <c r="F168" s="230"/>
      <c r="G168" s="18" t="s">
        <v>962</v>
      </c>
      <c r="H168" s="33" t="s">
        <v>884</v>
      </c>
      <c r="I168" s="29"/>
      <c r="J168" s="27" t="s">
        <v>885</v>
      </c>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46"/>
      <c r="AH168" s="46"/>
      <c r="AI168" s="46"/>
      <c r="AJ168" s="46"/>
      <c r="AK168" s="49"/>
      <c r="AL168" s="49"/>
      <c r="AM168" s="49"/>
      <c r="AN168" s="49"/>
      <c r="AO168" s="49"/>
      <c r="AP168" s="49"/>
      <c r="AQ168" s="49"/>
    </row>
    <row r="169" spans="1:43" ht="15.75" customHeight="1" x14ac:dyDescent="0.25">
      <c r="A169" s="15" t="s">
        <v>966</v>
      </c>
      <c r="B169" s="24"/>
      <c r="C169" s="24"/>
      <c r="D169" s="222"/>
      <c r="E169" s="125" t="s">
        <v>901</v>
      </c>
      <c r="F169" s="230"/>
      <c r="G169" s="18" t="s">
        <v>967</v>
      </c>
      <c r="H169" s="33" t="s">
        <v>901</v>
      </c>
      <c r="I169" s="29"/>
      <c r="J169" s="27"/>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41"/>
      <c r="AH169" s="41"/>
      <c r="AI169" s="39" t="s">
        <v>903</v>
      </c>
      <c r="AJ169" s="39"/>
      <c r="AK169" s="49"/>
      <c r="AL169" s="49"/>
      <c r="AM169" s="49"/>
      <c r="AN169" s="49"/>
      <c r="AO169" s="49"/>
      <c r="AP169" s="49"/>
      <c r="AQ169" s="49"/>
    </row>
    <row r="170" spans="1:43" ht="15.75" customHeight="1" x14ac:dyDescent="0.25">
      <c r="A170" s="15" t="s">
        <v>968</v>
      </c>
      <c r="B170" s="24">
        <v>1240842</v>
      </c>
      <c r="C170" s="24" t="s">
        <v>2090</v>
      </c>
      <c r="D170" s="222" t="s">
        <v>1655</v>
      </c>
      <c r="E170" s="125" t="s">
        <v>170</v>
      </c>
      <c r="F170" s="230"/>
      <c r="G170" s="18" t="s">
        <v>970</v>
      </c>
      <c r="H170" s="33" t="s">
        <v>170</v>
      </c>
      <c r="I170" s="29" t="s">
        <v>1994</v>
      </c>
      <c r="J170" s="27" t="s">
        <v>1994</v>
      </c>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46"/>
      <c r="AH170" s="46"/>
      <c r="AI170" s="46"/>
      <c r="AJ170" s="46"/>
      <c r="AK170" s="49"/>
      <c r="AL170" s="49"/>
      <c r="AM170" s="49"/>
      <c r="AN170" s="49"/>
      <c r="AO170" s="49"/>
      <c r="AP170" s="49"/>
      <c r="AQ170" s="49"/>
    </row>
    <row r="171" spans="1:43" ht="15.75" customHeight="1" x14ac:dyDescent="0.25">
      <c r="A171" s="15" t="s">
        <v>971</v>
      </c>
      <c r="B171" s="24">
        <v>1240842</v>
      </c>
      <c r="C171" s="24" t="s">
        <v>2090</v>
      </c>
      <c r="D171" s="222" t="s">
        <v>1656</v>
      </c>
      <c r="E171" s="125" t="s">
        <v>170</v>
      </c>
      <c r="F171" s="230"/>
      <c r="G171" s="18" t="s">
        <v>972</v>
      </c>
      <c r="H171" s="33" t="s">
        <v>170</v>
      </c>
      <c r="I171" s="29" t="s">
        <v>1994</v>
      </c>
      <c r="J171" s="27" t="s">
        <v>1994</v>
      </c>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41"/>
      <c r="AH171" s="41"/>
      <c r="AI171" s="41"/>
      <c r="AJ171" s="41"/>
      <c r="AK171" s="49"/>
      <c r="AL171" s="49"/>
      <c r="AM171" s="49"/>
      <c r="AN171" s="49"/>
      <c r="AO171" s="49"/>
      <c r="AP171" s="49"/>
      <c r="AQ171" s="49"/>
    </row>
    <row r="172" spans="1:43" ht="15.75" customHeight="1" x14ac:dyDescent="0.25">
      <c r="A172" s="15" t="s">
        <v>975</v>
      </c>
      <c r="B172" s="24"/>
      <c r="C172" s="24"/>
      <c r="D172" s="222"/>
      <c r="E172" s="125" t="s">
        <v>905</v>
      </c>
      <c r="F172" s="230"/>
      <c r="G172" s="18" t="s">
        <v>976</v>
      </c>
      <c r="H172" s="33" t="s">
        <v>905</v>
      </c>
      <c r="I172" s="29"/>
      <c r="J172" s="27"/>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41"/>
      <c r="AH172" s="41"/>
      <c r="AI172" s="39" t="s">
        <v>907</v>
      </c>
      <c r="AJ172" s="39"/>
      <c r="AK172" s="49"/>
      <c r="AL172" s="49"/>
      <c r="AM172" s="49"/>
      <c r="AN172" s="49"/>
      <c r="AO172" s="49"/>
      <c r="AP172" s="49"/>
      <c r="AQ172" s="49"/>
    </row>
    <row r="173" spans="1:43" ht="15.75" customHeight="1" x14ac:dyDescent="0.25">
      <c r="A173" s="15" t="s">
        <v>979</v>
      </c>
      <c r="B173" s="24" t="s">
        <v>1585</v>
      </c>
      <c r="C173" s="24" t="s">
        <v>28</v>
      </c>
      <c r="D173" s="222"/>
      <c r="E173" s="125" t="s">
        <v>892</v>
      </c>
      <c r="F173" s="230"/>
      <c r="G173" s="18" t="s">
        <v>981</v>
      </c>
      <c r="H173" s="33" t="s">
        <v>892</v>
      </c>
      <c r="I173" s="29"/>
      <c r="J173" s="27" t="s">
        <v>894</v>
      </c>
      <c r="K173" s="29"/>
      <c r="L173" s="29"/>
      <c r="M173" s="29"/>
      <c r="N173" s="29"/>
      <c r="O173" s="29"/>
      <c r="P173" s="29"/>
      <c r="Q173" s="29"/>
      <c r="R173" s="29"/>
      <c r="S173" s="29"/>
      <c r="T173" s="29"/>
      <c r="U173" s="29"/>
      <c r="V173" s="29"/>
      <c r="W173" s="29" t="s">
        <v>895</v>
      </c>
      <c r="X173" s="29"/>
      <c r="Y173" s="29"/>
      <c r="Z173" s="29"/>
      <c r="AA173" s="29"/>
      <c r="AB173" s="29"/>
      <c r="AC173" s="29"/>
      <c r="AD173" s="29"/>
      <c r="AE173" s="29"/>
      <c r="AF173" s="29"/>
      <c r="AG173" s="41"/>
      <c r="AH173" s="41"/>
      <c r="AI173" s="41"/>
      <c r="AJ173" s="41"/>
      <c r="AK173" s="49"/>
      <c r="AL173" s="49"/>
      <c r="AM173" s="49"/>
      <c r="AN173" s="49"/>
      <c r="AO173" s="49"/>
      <c r="AP173" s="49"/>
      <c r="AQ173" s="49"/>
    </row>
    <row r="174" spans="1:43" ht="15.75" customHeight="1" x14ac:dyDescent="0.25">
      <c r="A174" s="15" t="s">
        <v>983</v>
      </c>
      <c r="B174" s="24"/>
      <c r="C174" s="24"/>
      <c r="D174" s="222"/>
      <c r="E174" s="125" t="s">
        <v>910</v>
      </c>
      <c r="F174" s="230"/>
      <c r="G174" s="18" t="s">
        <v>984</v>
      </c>
      <c r="H174" s="33" t="s">
        <v>910</v>
      </c>
      <c r="I174" s="29"/>
      <c r="J174" s="27" t="s">
        <v>911</v>
      </c>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41"/>
      <c r="AH174" s="41"/>
      <c r="AI174" s="41"/>
      <c r="AJ174" s="41"/>
      <c r="AK174" s="49"/>
      <c r="AL174" s="49"/>
      <c r="AM174" s="49"/>
      <c r="AN174" s="49"/>
      <c r="AO174" s="49"/>
      <c r="AP174" s="49"/>
      <c r="AQ174" s="49"/>
    </row>
    <row r="175" spans="1:43" ht="15.75" customHeight="1" x14ac:dyDescent="0.25">
      <c r="A175" s="15" t="s">
        <v>987</v>
      </c>
      <c r="B175" s="24"/>
      <c r="C175" s="24"/>
      <c r="D175" s="222"/>
      <c r="E175" s="125" t="s">
        <v>913</v>
      </c>
      <c r="F175" s="230"/>
      <c r="G175" s="18" t="s">
        <v>988</v>
      </c>
      <c r="H175" s="33" t="s">
        <v>913</v>
      </c>
      <c r="I175" s="29"/>
      <c r="J175" s="27"/>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41"/>
      <c r="AH175" s="41"/>
      <c r="AI175" s="41"/>
      <c r="AJ175" s="41"/>
      <c r="AK175" s="49"/>
      <c r="AL175" s="49"/>
      <c r="AM175" s="49"/>
      <c r="AN175" s="49"/>
      <c r="AO175" s="49"/>
      <c r="AP175" s="49"/>
      <c r="AQ175" s="49"/>
    </row>
    <row r="176" spans="1:43" ht="15.75" customHeight="1" x14ac:dyDescent="0.25">
      <c r="A176" s="15" t="s">
        <v>991</v>
      </c>
      <c r="B176" s="24" t="s">
        <v>926</v>
      </c>
      <c r="C176" s="24" t="s">
        <v>28</v>
      </c>
      <c r="D176" s="222"/>
      <c r="E176" s="125" t="s">
        <v>927</v>
      </c>
      <c r="F176" s="230"/>
      <c r="G176" s="18" t="s">
        <v>993</v>
      </c>
      <c r="H176" s="33" t="s">
        <v>927</v>
      </c>
      <c r="I176" s="39"/>
      <c r="J176" s="27" t="s">
        <v>1943</v>
      </c>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41"/>
      <c r="AH176" s="41"/>
      <c r="AI176" s="41"/>
      <c r="AJ176" s="41"/>
      <c r="AK176" s="49"/>
      <c r="AL176" s="49"/>
      <c r="AM176" s="49"/>
      <c r="AN176" s="49"/>
      <c r="AO176" s="49"/>
      <c r="AP176" s="49"/>
      <c r="AQ176" s="49"/>
    </row>
    <row r="177" spans="1:1025" ht="15.75" customHeight="1" x14ac:dyDescent="0.25">
      <c r="A177" s="15" t="s">
        <v>996</v>
      </c>
      <c r="B177" s="24" t="s">
        <v>916</v>
      </c>
      <c r="C177" s="24" t="s">
        <v>917</v>
      </c>
      <c r="D177" s="222" t="s">
        <v>1538</v>
      </c>
      <c r="E177" s="125" t="s">
        <v>171</v>
      </c>
      <c r="F177" s="230"/>
      <c r="G177" s="18" t="s">
        <v>998</v>
      </c>
      <c r="H177" s="33" t="s">
        <v>919</v>
      </c>
      <c r="I177" s="39">
        <v>152053992</v>
      </c>
      <c r="J177" s="27" t="s">
        <v>1943</v>
      </c>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41"/>
      <c r="AH177" s="41"/>
      <c r="AI177" s="39">
        <v>152052339</v>
      </c>
      <c r="AJ177" s="39"/>
      <c r="AK177" s="49"/>
      <c r="AL177" s="49"/>
      <c r="AM177" s="49"/>
      <c r="AN177" s="49"/>
      <c r="AO177" s="49"/>
      <c r="AP177" s="49"/>
      <c r="AQ177" s="49"/>
    </row>
    <row r="178" spans="1:1025" ht="15.75" customHeight="1" x14ac:dyDescent="0.25">
      <c r="A178" s="15" t="s">
        <v>1001</v>
      </c>
      <c r="B178" s="24"/>
      <c r="C178" s="24" t="s">
        <v>922</v>
      </c>
      <c r="D178" s="222"/>
      <c r="E178" s="125" t="s">
        <v>923</v>
      </c>
      <c r="F178" s="230"/>
      <c r="G178" s="18" t="s">
        <v>1002</v>
      </c>
      <c r="H178" s="33" t="s">
        <v>919</v>
      </c>
      <c r="I178" s="39"/>
      <c r="J178" s="27"/>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41"/>
      <c r="AH178" s="41"/>
      <c r="AI178" s="41"/>
      <c r="AJ178" s="41"/>
      <c r="AK178" s="49"/>
      <c r="AL178" s="49"/>
      <c r="AM178" s="49"/>
      <c r="AN178" s="49"/>
      <c r="AO178" s="49"/>
      <c r="AP178" s="49"/>
      <c r="AQ178" s="49"/>
    </row>
    <row r="179" spans="1:1025" ht="15.75" customHeight="1" x14ac:dyDescent="0.25">
      <c r="A179" s="15" t="s">
        <v>1006</v>
      </c>
      <c r="B179" s="112" t="s">
        <v>1907</v>
      </c>
      <c r="C179" s="112" t="s">
        <v>1908</v>
      </c>
      <c r="D179" s="222" t="s">
        <v>932</v>
      </c>
      <c r="E179" s="125" t="s">
        <v>933</v>
      </c>
      <c r="F179" s="230"/>
      <c r="G179" s="18" t="s">
        <v>1007</v>
      </c>
      <c r="H179" s="33" t="s">
        <v>933</v>
      </c>
      <c r="I179" s="39" t="s">
        <v>935</v>
      </c>
      <c r="J179" s="27" t="s">
        <v>935</v>
      </c>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4"/>
      <c r="AH179" s="114"/>
      <c r="AI179" s="114"/>
      <c r="AJ179" s="114"/>
      <c r="AK179" s="49"/>
      <c r="AL179" s="49"/>
      <c r="AM179" s="49"/>
      <c r="AN179" s="49"/>
      <c r="AO179" s="49"/>
      <c r="AP179" s="49"/>
      <c r="AQ179" s="49"/>
    </row>
    <row r="180" spans="1:1025" ht="15.75" customHeight="1" x14ac:dyDescent="0.25">
      <c r="A180" s="15" t="s">
        <v>1009</v>
      </c>
      <c r="B180" s="24" t="s">
        <v>930</v>
      </c>
      <c r="C180" s="24" t="s">
        <v>931</v>
      </c>
      <c r="D180" s="222" t="s">
        <v>932</v>
      </c>
      <c r="E180" s="125" t="s">
        <v>1906</v>
      </c>
      <c r="F180" s="230"/>
      <c r="G180" s="18" t="s">
        <v>1010</v>
      </c>
      <c r="H180" s="33" t="s">
        <v>1906</v>
      </c>
      <c r="K180" s="29"/>
      <c r="L180" s="29" t="s">
        <v>936</v>
      </c>
      <c r="M180" s="29"/>
      <c r="N180" s="29"/>
      <c r="O180" s="29"/>
      <c r="P180" s="29"/>
      <c r="Q180" s="29"/>
      <c r="R180" s="29"/>
      <c r="S180" s="29"/>
      <c r="T180" s="29"/>
      <c r="U180" s="29"/>
      <c r="V180" s="29"/>
      <c r="W180" s="29"/>
      <c r="X180" s="29"/>
      <c r="Y180" s="29"/>
      <c r="Z180" s="29"/>
      <c r="AA180" s="29"/>
      <c r="AB180" s="29"/>
      <c r="AC180" s="29"/>
      <c r="AD180" s="29"/>
      <c r="AE180" s="29"/>
      <c r="AF180" s="29"/>
      <c r="AG180" s="41"/>
      <c r="AH180" s="41"/>
      <c r="AI180" s="41"/>
      <c r="AJ180" s="41"/>
      <c r="AK180" s="49"/>
      <c r="AL180" s="49"/>
      <c r="AM180" s="49"/>
      <c r="AN180" s="49"/>
      <c r="AO180" s="49"/>
      <c r="AP180" s="49"/>
      <c r="AQ180" s="49"/>
    </row>
    <row r="181" spans="1:1025" ht="15.75" customHeight="1" x14ac:dyDescent="0.25">
      <c r="A181" s="15" t="s">
        <v>1013</v>
      </c>
      <c r="B181" s="24" t="s">
        <v>1542</v>
      </c>
      <c r="C181" s="24" t="s">
        <v>28</v>
      </c>
      <c r="D181" s="222" t="s">
        <v>1543</v>
      </c>
      <c r="E181" s="125" t="s">
        <v>1541</v>
      </c>
      <c r="F181" s="230"/>
      <c r="G181" s="18" t="s">
        <v>1014</v>
      </c>
      <c r="H181" s="33" t="s">
        <v>1541</v>
      </c>
      <c r="I181" s="27">
        <v>790451</v>
      </c>
      <c r="J181" s="27" t="s">
        <v>1544</v>
      </c>
      <c r="K181" s="29"/>
      <c r="L181" s="29"/>
      <c r="M181" s="29"/>
      <c r="N181" s="29"/>
      <c r="O181" s="29"/>
      <c r="P181" s="29" t="s">
        <v>1059</v>
      </c>
      <c r="Q181" s="29"/>
      <c r="R181" s="29"/>
      <c r="S181" s="29"/>
      <c r="T181" s="29"/>
      <c r="U181" s="29"/>
      <c r="V181" s="29"/>
      <c r="W181" s="29"/>
      <c r="X181" s="29"/>
      <c r="Y181" s="29"/>
      <c r="Z181" s="29"/>
      <c r="AA181" s="29"/>
      <c r="AB181" s="29"/>
      <c r="AC181" s="29"/>
      <c r="AD181" s="29"/>
      <c r="AE181" s="29"/>
      <c r="AF181" s="29"/>
      <c r="AG181" s="46"/>
      <c r="AH181" s="46"/>
      <c r="AI181" s="46"/>
      <c r="AJ181" s="46"/>
    </row>
    <row r="182" spans="1:1025" ht="15.75" customHeight="1" x14ac:dyDescent="0.25">
      <c r="A182" s="15" t="s">
        <v>1016</v>
      </c>
      <c r="B182" s="24">
        <v>2500242</v>
      </c>
      <c r="C182" s="24" t="s">
        <v>2156</v>
      </c>
      <c r="D182" s="222" t="s">
        <v>1570</v>
      </c>
      <c r="E182" s="125" t="s">
        <v>1923</v>
      </c>
      <c r="F182" s="230"/>
      <c r="G182" s="18" t="s">
        <v>1017</v>
      </c>
      <c r="H182" s="33" t="s">
        <v>1923</v>
      </c>
      <c r="I182" s="39" t="s">
        <v>1662</v>
      </c>
      <c r="J182" s="50"/>
      <c r="K182" s="29"/>
      <c r="L182" s="39" t="s">
        <v>940</v>
      </c>
      <c r="M182" s="39"/>
      <c r="N182" s="29"/>
      <c r="O182" s="29"/>
      <c r="P182" s="29"/>
      <c r="Q182" s="29"/>
      <c r="R182" s="29"/>
      <c r="S182" s="29"/>
      <c r="T182" s="29"/>
      <c r="U182" s="29"/>
      <c r="V182" s="29"/>
      <c r="W182" s="29"/>
      <c r="X182" s="29"/>
      <c r="Y182" s="29"/>
      <c r="Z182" s="29"/>
      <c r="AA182" s="29"/>
      <c r="AB182" s="29"/>
      <c r="AC182" s="29"/>
      <c r="AD182" s="29"/>
      <c r="AE182" s="29"/>
      <c r="AF182" s="29"/>
      <c r="AG182" s="41"/>
      <c r="AH182" s="41"/>
      <c r="AI182" s="41"/>
      <c r="AJ182" s="41"/>
      <c r="AK182" s="51"/>
      <c r="AL182" s="51"/>
      <c r="AM182" s="51"/>
      <c r="AN182" s="51"/>
      <c r="AO182" s="51"/>
      <c r="AP182" s="51"/>
      <c r="AQ182" s="51"/>
    </row>
    <row r="183" spans="1:1025" ht="15.75" customHeight="1" x14ac:dyDescent="0.25">
      <c r="A183" s="15" t="s">
        <v>1020</v>
      </c>
      <c r="B183" s="24">
        <v>8800706</v>
      </c>
      <c r="C183" s="24" t="s">
        <v>28</v>
      </c>
      <c r="D183" s="222" t="s">
        <v>942</v>
      </c>
      <c r="E183" s="125" t="s">
        <v>944</v>
      </c>
      <c r="F183" s="230"/>
      <c r="G183" s="18" t="s">
        <v>1023</v>
      </c>
      <c r="H183" s="33" t="s">
        <v>944</v>
      </c>
      <c r="I183" s="29"/>
      <c r="J183" s="27" t="s">
        <v>945</v>
      </c>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41"/>
      <c r="AH183" s="41"/>
      <c r="AI183" s="41"/>
      <c r="AJ183" s="41"/>
    </row>
    <row r="184" spans="1:1025" ht="15.75" customHeight="1" x14ac:dyDescent="0.25">
      <c r="A184" s="15" t="s">
        <v>1025</v>
      </c>
      <c r="B184" s="24">
        <v>7993201</v>
      </c>
      <c r="C184" s="24" t="s">
        <v>28</v>
      </c>
      <c r="D184" s="222" t="s">
        <v>942</v>
      </c>
      <c r="E184" s="125" t="s">
        <v>944</v>
      </c>
      <c r="F184" s="230"/>
      <c r="G184" s="18" t="s">
        <v>1027</v>
      </c>
      <c r="H184" s="33" t="s">
        <v>944</v>
      </c>
      <c r="I184" s="29"/>
      <c r="J184" s="27"/>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41"/>
      <c r="AH184" s="41"/>
      <c r="AI184" s="41"/>
      <c r="AJ184" s="41"/>
    </row>
    <row r="185" spans="1:1025" ht="15.75" customHeight="1" x14ac:dyDescent="0.25">
      <c r="A185" s="15" t="s">
        <v>1032</v>
      </c>
      <c r="B185" s="24">
        <v>1611079</v>
      </c>
      <c r="C185" s="24" t="s">
        <v>949</v>
      </c>
      <c r="D185" s="222" t="s">
        <v>942</v>
      </c>
      <c r="E185" s="125" t="s">
        <v>944</v>
      </c>
      <c r="F185" s="230"/>
      <c r="G185" s="18" t="s">
        <v>1034</v>
      </c>
      <c r="H185" s="33" t="s">
        <v>944</v>
      </c>
      <c r="I185" s="29"/>
      <c r="J185" s="27"/>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41"/>
      <c r="AH185" s="41"/>
      <c r="AI185" s="131"/>
      <c r="AJ185" s="131"/>
    </row>
    <row r="186" spans="1:1025" ht="15.75" customHeight="1" x14ac:dyDescent="0.25">
      <c r="A186" s="15" t="s">
        <v>1038</v>
      </c>
      <c r="B186" s="24" t="s">
        <v>38</v>
      </c>
      <c r="C186" s="24" t="s">
        <v>952</v>
      </c>
      <c r="D186" s="222"/>
      <c r="E186" s="125" t="s">
        <v>954</v>
      </c>
      <c r="F186" s="230"/>
      <c r="G186" s="18" t="s">
        <v>1040</v>
      </c>
      <c r="H186" s="33" t="s">
        <v>954</v>
      </c>
      <c r="I186" s="29"/>
      <c r="J186" s="27" t="s">
        <v>955</v>
      </c>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41"/>
      <c r="AH186" s="41"/>
      <c r="AI186" s="39">
        <v>614395</v>
      </c>
      <c r="AJ186" s="39"/>
    </row>
    <row r="187" spans="1:1025" ht="15.75" customHeight="1" x14ac:dyDescent="0.25">
      <c r="A187" s="15" t="s">
        <v>1042</v>
      </c>
      <c r="B187" s="24" t="s">
        <v>969</v>
      </c>
      <c r="C187" s="24" t="s">
        <v>2137</v>
      </c>
      <c r="D187" s="222" t="s">
        <v>1930</v>
      </c>
      <c r="E187" s="125" t="s">
        <v>1929</v>
      </c>
      <c r="F187" s="230"/>
      <c r="G187" s="18" t="s">
        <v>1043</v>
      </c>
      <c r="H187" s="33" t="s">
        <v>2124</v>
      </c>
      <c r="I187" s="39"/>
      <c r="J187" s="27"/>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46"/>
      <c r="AH187" s="46"/>
      <c r="AI187" s="46"/>
      <c r="AJ187" s="46"/>
    </row>
    <row r="188" spans="1:1025" ht="15.75" customHeight="1" x14ac:dyDescent="0.25">
      <c r="A188" s="15" t="s">
        <v>1045</v>
      </c>
      <c r="B188" s="24" t="s">
        <v>448</v>
      </c>
      <c r="C188" s="24" t="s">
        <v>1942</v>
      </c>
      <c r="D188" s="222"/>
      <c r="E188" s="125" t="s">
        <v>958</v>
      </c>
      <c r="F188" s="230"/>
      <c r="G188" s="18" t="s">
        <v>1049</v>
      </c>
      <c r="H188" s="33" t="s">
        <v>958</v>
      </c>
      <c r="I188" s="39" t="s">
        <v>965</v>
      </c>
      <c r="J188" s="27" t="s">
        <v>959</v>
      </c>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52"/>
      <c r="AH188" s="52"/>
      <c r="AI188" s="52"/>
      <c r="AJ188" s="52"/>
    </row>
    <row r="189" spans="1:1025" ht="15.75" customHeight="1" x14ac:dyDescent="0.25">
      <c r="A189" s="15" t="s">
        <v>1050</v>
      </c>
      <c r="B189" s="24" t="s">
        <v>448</v>
      </c>
      <c r="C189" s="24" t="s">
        <v>1942</v>
      </c>
      <c r="D189" s="222" t="s">
        <v>961</v>
      </c>
      <c r="E189" s="125" t="s">
        <v>963</v>
      </c>
      <c r="F189" s="230"/>
      <c r="G189" s="18" t="s">
        <v>1051</v>
      </c>
      <c r="H189" s="33" t="s">
        <v>963</v>
      </c>
      <c r="I189" s="39" t="s">
        <v>965</v>
      </c>
      <c r="J189" s="27" t="s">
        <v>964</v>
      </c>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46"/>
      <c r="AH189" s="46"/>
      <c r="AI189" s="46"/>
      <c r="AJ189" s="46"/>
    </row>
    <row r="190" spans="1:1025" s="265" customFormat="1" ht="15.75" customHeight="1" x14ac:dyDescent="0.25">
      <c r="A190" s="15" t="s">
        <v>1053</v>
      </c>
      <c r="B190" s="257"/>
      <c r="C190" s="257"/>
      <c r="D190" s="238" t="s">
        <v>2159</v>
      </c>
      <c r="E190" s="258" t="s">
        <v>973</v>
      </c>
      <c r="F190" s="259"/>
      <c r="G190" s="18" t="s">
        <v>1055</v>
      </c>
      <c r="H190" s="260" t="s">
        <v>973</v>
      </c>
      <c r="I190" s="261"/>
      <c r="J190" s="262" t="s">
        <v>974</v>
      </c>
      <c r="K190" s="261"/>
      <c r="L190" s="261"/>
      <c r="M190" s="261"/>
      <c r="N190" s="261"/>
      <c r="O190" s="261"/>
      <c r="P190" s="261"/>
      <c r="Q190" s="261"/>
      <c r="R190" s="261"/>
      <c r="S190" s="261"/>
      <c r="T190" s="261"/>
      <c r="U190" s="261"/>
      <c r="V190" s="261"/>
      <c r="W190" s="261"/>
      <c r="X190" s="261"/>
      <c r="Y190" s="261"/>
      <c r="Z190" s="261"/>
      <c r="AA190" s="261"/>
      <c r="AB190" s="261"/>
      <c r="AC190" s="261"/>
      <c r="AD190" s="261"/>
      <c r="AE190" s="261"/>
      <c r="AF190" s="261"/>
      <c r="AG190" s="263"/>
      <c r="AH190" s="263"/>
      <c r="AI190" s="263"/>
      <c r="AJ190" s="263"/>
      <c r="AK190" s="264"/>
      <c r="AL190" s="264"/>
      <c r="AM190" s="264"/>
      <c r="AN190" s="264"/>
      <c r="AO190" s="264"/>
      <c r="AP190" s="264"/>
      <c r="AQ190" s="264"/>
      <c r="AR190" s="264"/>
      <c r="AS190" s="264"/>
      <c r="AT190" s="264"/>
      <c r="AU190" s="264"/>
      <c r="AV190" s="264"/>
      <c r="AW190" s="264"/>
      <c r="AX190" s="264"/>
      <c r="AY190" s="264"/>
      <c r="AZ190" s="264"/>
      <c r="BA190" s="264"/>
      <c r="BB190" s="264"/>
      <c r="BC190" s="264"/>
      <c r="BD190" s="264"/>
      <c r="BE190" s="264"/>
      <c r="BF190" s="264"/>
      <c r="BG190" s="264"/>
      <c r="BH190" s="264"/>
      <c r="BI190" s="264"/>
      <c r="BJ190" s="264"/>
      <c r="BK190" s="264"/>
      <c r="BL190" s="264"/>
      <c r="BM190" s="264"/>
      <c r="BN190" s="264"/>
      <c r="BO190" s="264"/>
      <c r="BP190" s="264"/>
      <c r="BQ190" s="264"/>
      <c r="BR190" s="264"/>
      <c r="BS190" s="264"/>
      <c r="BT190" s="264"/>
      <c r="BU190" s="264"/>
      <c r="BV190" s="264"/>
      <c r="BW190" s="264"/>
      <c r="BX190" s="264"/>
      <c r="BY190" s="264"/>
      <c r="BZ190" s="264"/>
      <c r="CA190" s="264"/>
      <c r="CB190" s="264"/>
      <c r="CC190" s="264"/>
      <c r="CD190" s="264"/>
      <c r="CE190" s="264"/>
      <c r="CF190" s="264"/>
      <c r="CG190" s="264"/>
      <c r="CH190" s="264"/>
      <c r="CI190" s="264"/>
      <c r="CJ190" s="264"/>
      <c r="CK190" s="264"/>
      <c r="CL190" s="264"/>
      <c r="CM190" s="264"/>
      <c r="CN190" s="264"/>
      <c r="CO190" s="264"/>
      <c r="CP190" s="264"/>
      <c r="CQ190" s="264"/>
      <c r="CR190" s="264"/>
      <c r="CS190" s="264"/>
      <c r="CT190" s="264"/>
      <c r="CU190" s="264"/>
      <c r="CV190" s="264"/>
      <c r="CW190" s="264"/>
      <c r="CX190" s="264"/>
      <c r="CY190" s="264"/>
      <c r="CZ190" s="264"/>
      <c r="DA190" s="264"/>
      <c r="DB190" s="264"/>
      <c r="DC190" s="264"/>
      <c r="DD190" s="264"/>
      <c r="DE190" s="264"/>
      <c r="DF190" s="264"/>
      <c r="DG190" s="264"/>
      <c r="DH190" s="264"/>
      <c r="DI190" s="264"/>
      <c r="DJ190" s="264"/>
      <c r="DK190" s="264"/>
      <c r="DL190" s="264"/>
      <c r="DM190" s="264"/>
      <c r="DN190" s="264"/>
      <c r="DO190" s="264"/>
      <c r="DP190" s="264"/>
      <c r="DQ190" s="264"/>
      <c r="DR190" s="264"/>
      <c r="DS190" s="264"/>
      <c r="DT190" s="264"/>
      <c r="DU190" s="264"/>
      <c r="DV190" s="264"/>
      <c r="DW190" s="264"/>
      <c r="DX190" s="264"/>
      <c r="DY190" s="264"/>
      <c r="DZ190" s="264"/>
      <c r="EA190" s="264"/>
      <c r="EB190" s="264"/>
      <c r="EC190" s="264"/>
      <c r="ED190" s="264"/>
      <c r="EE190" s="264"/>
      <c r="EF190" s="264"/>
      <c r="EG190" s="264"/>
      <c r="EH190" s="264"/>
      <c r="EI190" s="264"/>
      <c r="EJ190" s="264"/>
      <c r="EK190" s="264"/>
      <c r="EL190" s="264"/>
      <c r="EM190" s="264"/>
      <c r="EN190" s="264"/>
      <c r="EO190" s="264"/>
      <c r="EP190" s="264"/>
      <c r="EQ190" s="264"/>
      <c r="ER190" s="264"/>
      <c r="ES190" s="264"/>
      <c r="ET190" s="264"/>
      <c r="EU190" s="264"/>
      <c r="EV190" s="264"/>
      <c r="EW190" s="264"/>
      <c r="EX190" s="264"/>
      <c r="EY190" s="264"/>
      <c r="EZ190" s="264"/>
      <c r="FA190" s="264"/>
      <c r="FB190" s="264"/>
      <c r="FC190" s="264"/>
      <c r="FD190" s="264"/>
      <c r="FE190" s="264"/>
      <c r="FF190" s="264"/>
      <c r="FG190" s="264"/>
      <c r="FH190" s="264"/>
      <c r="FI190" s="264"/>
      <c r="FJ190" s="264"/>
      <c r="FK190" s="264"/>
      <c r="FL190" s="264"/>
      <c r="FM190" s="264"/>
      <c r="FN190" s="264"/>
      <c r="FO190" s="264"/>
      <c r="FP190" s="264"/>
      <c r="FQ190" s="264"/>
      <c r="FR190" s="264"/>
      <c r="FS190" s="264"/>
      <c r="FT190" s="264"/>
      <c r="FU190" s="264"/>
      <c r="FV190" s="264"/>
      <c r="FW190" s="264"/>
      <c r="FX190" s="264"/>
      <c r="FY190" s="264"/>
      <c r="FZ190" s="264"/>
      <c r="GA190" s="264"/>
      <c r="GB190" s="264"/>
      <c r="GC190" s="264"/>
      <c r="GD190" s="264"/>
      <c r="GE190" s="264"/>
      <c r="GF190" s="264"/>
      <c r="GG190" s="264"/>
      <c r="GH190" s="264"/>
      <c r="GI190" s="264"/>
      <c r="GJ190" s="264"/>
      <c r="GK190" s="264"/>
      <c r="GL190" s="264"/>
      <c r="GM190" s="264"/>
      <c r="GN190" s="264"/>
      <c r="GO190" s="264"/>
      <c r="GP190" s="264"/>
      <c r="GQ190" s="264"/>
      <c r="GR190" s="264"/>
      <c r="GS190" s="264"/>
      <c r="GT190" s="264"/>
      <c r="GU190" s="264"/>
      <c r="GV190" s="264"/>
      <c r="GW190" s="264"/>
      <c r="GX190" s="264"/>
      <c r="GY190" s="264"/>
      <c r="GZ190" s="264"/>
      <c r="HA190" s="264"/>
      <c r="HB190" s="264"/>
      <c r="HC190" s="264"/>
      <c r="HD190" s="264"/>
      <c r="HE190" s="264"/>
      <c r="HF190" s="264"/>
      <c r="HG190" s="264"/>
      <c r="HH190" s="264"/>
      <c r="HI190" s="264"/>
      <c r="HJ190" s="264"/>
      <c r="HK190" s="264"/>
      <c r="HL190" s="264"/>
      <c r="HM190" s="264"/>
      <c r="HN190" s="264"/>
      <c r="HO190" s="264"/>
      <c r="HP190" s="264"/>
      <c r="HQ190" s="264"/>
      <c r="HR190" s="264"/>
      <c r="HS190" s="264"/>
      <c r="HT190" s="264"/>
      <c r="HU190" s="264"/>
      <c r="HV190" s="264"/>
      <c r="HW190" s="264"/>
      <c r="HX190" s="264"/>
      <c r="HY190" s="264"/>
      <c r="HZ190" s="264"/>
      <c r="IA190" s="264"/>
      <c r="IB190" s="264"/>
      <c r="IC190" s="264"/>
      <c r="ID190" s="264"/>
      <c r="IE190" s="264"/>
      <c r="IF190" s="264"/>
      <c r="IG190" s="264"/>
      <c r="IH190" s="264"/>
      <c r="II190" s="264"/>
      <c r="IJ190" s="264"/>
      <c r="IK190" s="264"/>
      <c r="IL190" s="264"/>
      <c r="IM190" s="264"/>
      <c r="IN190" s="264"/>
      <c r="IO190" s="264"/>
      <c r="IP190" s="264"/>
      <c r="IQ190" s="264"/>
      <c r="IR190" s="264"/>
      <c r="IS190" s="264"/>
      <c r="IT190" s="264"/>
      <c r="IU190" s="264"/>
      <c r="IV190" s="264"/>
      <c r="IW190" s="264"/>
      <c r="IX190" s="264"/>
      <c r="IY190" s="264"/>
      <c r="IZ190" s="264"/>
      <c r="JA190" s="264"/>
      <c r="JB190" s="264"/>
      <c r="JC190" s="264"/>
      <c r="JD190" s="264"/>
      <c r="JE190" s="264"/>
      <c r="JF190" s="264"/>
      <c r="JG190" s="264"/>
      <c r="JH190" s="264"/>
      <c r="JI190" s="264"/>
      <c r="JJ190" s="264"/>
      <c r="JK190" s="264"/>
      <c r="JL190" s="264"/>
      <c r="JM190" s="264"/>
      <c r="JN190" s="264"/>
      <c r="JO190" s="264"/>
      <c r="JP190" s="264"/>
      <c r="JQ190" s="264"/>
      <c r="JR190" s="264"/>
      <c r="JS190" s="264"/>
      <c r="JT190" s="264"/>
      <c r="JU190" s="264"/>
      <c r="JV190" s="264"/>
      <c r="JW190" s="264"/>
      <c r="JX190" s="264"/>
      <c r="JY190" s="264"/>
      <c r="JZ190" s="264"/>
      <c r="KA190" s="264"/>
      <c r="KB190" s="264"/>
      <c r="KC190" s="264"/>
      <c r="KD190" s="264"/>
      <c r="KE190" s="264"/>
      <c r="KF190" s="264"/>
      <c r="KG190" s="264"/>
      <c r="KH190" s="264"/>
      <c r="KI190" s="264"/>
      <c r="KJ190" s="264"/>
      <c r="KK190" s="264"/>
      <c r="KL190" s="264"/>
      <c r="KM190" s="264"/>
      <c r="KN190" s="264"/>
      <c r="KO190" s="264"/>
      <c r="KP190" s="264"/>
      <c r="KQ190" s="264"/>
      <c r="KR190" s="264"/>
      <c r="KS190" s="264"/>
      <c r="KT190" s="264"/>
      <c r="KU190" s="264"/>
      <c r="KV190" s="264"/>
      <c r="KW190" s="264"/>
      <c r="KX190" s="264"/>
      <c r="KY190" s="264"/>
      <c r="KZ190" s="264"/>
      <c r="LA190" s="264"/>
      <c r="LB190" s="264"/>
      <c r="LC190" s="264"/>
      <c r="LD190" s="264"/>
      <c r="LE190" s="264"/>
      <c r="LF190" s="264"/>
      <c r="LG190" s="264"/>
      <c r="LH190" s="264"/>
      <c r="LI190" s="264"/>
      <c r="LJ190" s="264"/>
      <c r="LK190" s="264"/>
      <c r="LL190" s="264"/>
      <c r="LM190" s="264"/>
      <c r="LN190" s="264"/>
      <c r="LO190" s="264"/>
      <c r="LP190" s="264"/>
      <c r="LQ190" s="264"/>
      <c r="LR190" s="264"/>
      <c r="LS190" s="264"/>
      <c r="LT190" s="264"/>
      <c r="LU190" s="264"/>
      <c r="LV190" s="264"/>
      <c r="LW190" s="264"/>
      <c r="LX190" s="264"/>
      <c r="LY190" s="264"/>
      <c r="LZ190" s="264"/>
      <c r="MA190" s="264"/>
      <c r="MB190" s="264"/>
      <c r="MC190" s="264"/>
      <c r="MD190" s="264"/>
      <c r="ME190" s="264"/>
      <c r="MF190" s="264"/>
      <c r="MG190" s="264"/>
      <c r="MH190" s="264"/>
      <c r="MI190" s="264"/>
      <c r="MJ190" s="264"/>
      <c r="MK190" s="264"/>
      <c r="ML190" s="264"/>
      <c r="MM190" s="264"/>
      <c r="MN190" s="264"/>
      <c r="MO190" s="264"/>
      <c r="MP190" s="264"/>
      <c r="MQ190" s="264"/>
      <c r="MR190" s="264"/>
      <c r="MS190" s="264"/>
      <c r="MT190" s="264"/>
      <c r="MU190" s="264"/>
      <c r="MV190" s="264"/>
      <c r="MW190" s="264"/>
      <c r="MX190" s="264"/>
      <c r="MY190" s="264"/>
      <c r="MZ190" s="264"/>
      <c r="NA190" s="264"/>
      <c r="NB190" s="264"/>
      <c r="NC190" s="264"/>
      <c r="ND190" s="264"/>
      <c r="NE190" s="264"/>
      <c r="NF190" s="264"/>
      <c r="NG190" s="264"/>
      <c r="NH190" s="264"/>
      <c r="NI190" s="264"/>
      <c r="NJ190" s="264"/>
      <c r="NK190" s="264"/>
      <c r="NL190" s="264"/>
      <c r="NM190" s="264"/>
      <c r="NN190" s="264"/>
      <c r="NO190" s="264"/>
      <c r="NP190" s="264"/>
      <c r="NQ190" s="264"/>
      <c r="NR190" s="264"/>
      <c r="NS190" s="264"/>
      <c r="NT190" s="264"/>
      <c r="NU190" s="264"/>
      <c r="NV190" s="264"/>
      <c r="NW190" s="264"/>
      <c r="NX190" s="264"/>
      <c r="NY190" s="264"/>
      <c r="NZ190" s="264"/>
      <c r="OA190" s="264"/>
      <c r="OB190" s="264"/>
      <c r="OC190" s="264"/>
      <c r="OD190" s="264"/>
      <c r="OE190" s="264"/>
      <c r="OF190" s="264"/>
      <c r="OG190" s="264"/>
      <c r="OH190" s="264"/>
      <c r="OI190" s="264"/>
      <c r="OJ190" s="264"/>
      <c r="OK190" s="264"/>
      <c r="OL190" s="264"/>
      <c r="OM190" s="264"/>
      <c r="ON190" s="264"/>
      <c r="OO190" s="264"/>
      <c r="OP190" s="264"/>
      <c r="OQ190" s="264"/>
      <c r="OR190" s="264"/>
      <c r="OS190" s="264"/>
      <c r="OT190" s="264"/>
      <c r="OU190" s="264"/>
      <c r="OV190" s="264"/>
      <c r="OW190" s="264"/>
      <c r="OX190" s="264"/>
      <c r="OY190" s="264"/>
      <c r="OZ190" s="264"/>
      <c r="PA190" s="264"/>
      <c r="PB190" s="264"/>
      <c r="PC190" s="264"/>
      <c r="PD190" s="264"/>
      <c r="PE190" s="264"/>
      <c r="PF190" s="264"/>
      <c r="PG190" s="264"/>
      <c r="PH190" s="264"/>
      <c r="PI190" s="264"/>
      <c r="PJ190" s="264"/>
      <c r="PK190" s="264"/>
      <c r="PL190" s="264"/>
      <c r="PM190" s="264"/>
      <c r="PN190" s="264"/>
      <c r="PO190" s="264"/>
      <c r="PP190" s="264"/>
      <c r="PQ190" s="264"/>
      <c r="PR190" s="264"/>
      <c r="PS190" s="264"/>
      <c r="PT190" s="264"/>
      <c r="PU190" s="264"/>
      <c r="PV190" s="264"/>
      <c r="PW190" s="264"/>
      <c r="PX190" s="264"/>
      <c r="PY190" s="264"/>
      <c r="PZ190" s="264"/>
      <c r="QA190" s="264"/>
      <c r="QB190" s="264"/>
      <c r="QC190" s="264"/>
      <c r="QD190" s="264"/>
      <c r="QE190" s="264"/>
      <c r="QF190" s="264"/>
      <c r="QG190" s="264"/>
      <c r="QH190" s="264"/>
      <c r="QI190" s="264"/>
      <c r="QJ190" s="264"/>
      <c r="QK190" s="264"/>
      <c r="QL190" s="264"/>
      <c r="QM190" s="264"/>
      <c r="QN190" s="264"/>
      <c r="QO190" s="264"/>
      <c r="QP190" s="264"/>
      <c r="QQ190" s="264"/>
      <c r="QR190" s="264"/>
      <c r="QS190" s="264"/>
      <c r="QT190" s="264"/>
      <c r="QU190" s="264"/>
      <c r="QV190" s="264"/>
      <c r="QW190" s="264"/>
      <c r="QX190" s="264"/>
      <c r="QY190" s="264"/>
      <c r="QZ190" s="264"/>
      <c r="RA190" s="264"/>
      <c r="RB190" s="264"/>
      <c r="RC190" s="264"/>
      <c r="RD190" s="264"/>
      <c r="RE190" s="264"/>
      <c r="RF190" s="264"/>
      <c r="RG190" s="264"/>
      <c r="RH190" s="264"/>
      <c r="RI190" s="264"/>
      <c r="RJ190" s="264"/>
      <c r="RK190" s="264"/>
      <c r="RL190" s="264"/>
      <c r="RM190" s="264"/>
      <c r="RN190" s="264"/>
      <c r="RO190" s="264"/>
      <c r="RP190" s="264"/>
      <c r="RQ190" s="264"/>
      <c r="RR190" s="264"/>
      <c r="RS190" s="264"/>
      <c r="RT190" s="264"/>
      <c r="RU190" s="264"/>
      <c r="RV190" s="264"/>
      <c r="RW190" s="264"/>
      <c r="RX190" s="264"/>
      <c r="RY190" s="264"/>
      <c r="RZ190" s="264"/>
      <c r="SA190" s="264"/>
      <c r="SB190" s="264"/>
      <c r="SC190" s="264"/>
      <c r="SD190" s="264"/>
      <c r="SE190" s="264"/>
      <c r="SF190" s="264"/>
      <c r="SG190" s="264"/>
      <c r="SH190" s="264"/>
      <c r="SI190" s="264"/>
      <c r="SJ190" s="264"/>
      <c r="SK190" s="264"/>
      <c r="SL190" s="264"/>
      <c r="SM190" s="264"/>
      <c r="SN190" s="264"/>
      <c r="SO190" s="264"/>
      <c r="SP190" s="264"/>
      <c r="SQ190" s="264"/>
      <c r="SR190" s="264"/>
      <c r="SS190" s="264"/>
      <c r="ST190" s="264"/>
      <c r="SU190" s="264"/>
      <c r="SV190" s="264"/>
      <c r="SW190" s="264"/>
      <c r="SX190" s="264"/>
      <c r="SY190" s="264"/>
      <c r="SZ190" s="264"/>
      <c r="TA190" s="264"/>
      <c r="TB190" s="264"/>
      <c r="TC190" s="264"/>
      <c r="TD190" s="264"/>
      <c r="TE190" s="264"/>
      <c r="TF190" s="264"/>
      <c r="TG190" s="264"/>
      <c r="TH190" s="264"/>
      <c r="TI190" s="264"/>
      <c r="TJ190" s="264"/>
      <c r="TK190" s="264"/>
      <c r="TL190" s="264"/>
      <c r="TM190" s="264"/>
      <c r="TN190" s="264"/>
      <c r="TO190" s="264"/>
      <c r="TP190" s="264"/>
      <c r="TQ190" s="264"/>
      <c r="TR190" s="264"/>
      <c r="TS190" s="264"/>
      <c r="TT190" s="264"/>
      <c r="TU190" s="264"/>
      <c r="TV190" s="264"/>
      <c r="TW190" s="264"/>
      <c r="TX190" s="264"/>
      <c r="TY190" s="264"/>
      <c r="TZ190" s="264"/>
      <c r="UA190" s="264"/>
      <c r="UB190" s="264"/>
      <c r="UC190" s="264"/>
      <c r="UD190" s="264"/>
      <c r="UE190" s="264"/>
      <c r="UF190" s="264"/>
      <c r="UG190" s="264"/>
      <c r="UH190" s="264"/>
      <c r="UI190" s="264"/>
      <c r="UJ190" s="264"/>
      <c r="UK190" s="264"/>
      <c r="UL190" s="264"/>
      <c r="UM190" s="264"/>
      <c r="UN190" s="264"/>
      <c r="UO190" s="264"/>
      <c r="UP190" s="264"/>
      <c r="UQ190" s="264"/>
      <c r="UR190" s="264"/>
      <c r="US190" s="264"/>
      <c r="UT190" s="264"/>
      <c r="UU190" s="264"/>
      <c r="UV190" s="264"/>
      <c r="UW190" s="264"/>
      <c r="UX190" s="264"/>
      <c r="UY190" s="264"/>
      <c r="UZ190" s="264"/>
      <c r="VA190" s="264"/>
      <c r="VB190" s="264"/>
      <c r="VC190" s="264"/>
      <c r="VD190" s="264"/>
      <c r="VE190" s="264"/>
      <c r="VF190" s="264"/>
      <c r="VG190" s="264"/>
      <c r="VH190" s="264"/>
      <c r="VI190" s="264"/>
      <c r="VJ190" s="264"/>
      <c r="VK190" s="264"/>
      <c r="VL190" s="264"/>
      <c r="VM190" s="264"/>
      <c r="VN190" s="264"/>
      <c r="VO190" s="264"/>
      <c r="VP190" s="264"/>
      <c r="VQ190" s="264"/>
      <c r="VR190" s="264"/>
      <c r="VS190" s="264"/>
      <c r="VT190" s="264"/>
      <c r="VU190" s="264"/>
      <c r="VV190" s="264"/>
      <c r="VW190" s="264"/>
      <c r="VX190" s="264"/>
      <c r="VY190" s="264"/>
      <c r="VZ190" s="264"/>
      <c r="WA190" s="264"/>
      <c r="WB190" s="264"/>
      <c r="WC190" s="264"/>
      <c r="WD190" s="264"/>
      <c r="WE190" s="264"/>
      <c r="WF190" s="264"/>
      <c r="WG190" s="264"/>
      <c r="WH190" s="264"/>
      <c r="WI190" s="264"/>
      <c r="WJ190" s="264"/>
      <c r="WK190" s="264"/>
      <c r="WL190" s="264"/>
      <c r="WM190" s="264"/>
      <c r="WN190" s="264"/>
      <c r="WO190" s="264"/>
      <c r="WP190" s="264"/>
      <c r="WQ190" s="264"/>
      <c r="WR190" s="264"/>
      <c r="WS190" s="264"/>
      <c r="WT190" s="264"/>
      <c r="WU190" s="264"/>
      <c r="WV190" s="264"/>
      <c r="WW190" s="264"/>
      <c r="WX190" s="264"/>
      <c r="WY190" s="264"/>
      <c r="WZ190" s="264"/>
      <c r="XA190" s="264"/>
      <c r="XB190" s="264"/>
      <c r="XC190" s="264"/>
      <c r="XD190" s="264"/>
      <c r="XE190" s="264"/>
      <c r="XF190" s="264"/>
      <c r="XG190" s="264"/>
      <c r="XH190" s="264"/>
      <c r="XI190" s="264"/>
      <c r="XJ190" s="264"/>
      <c r="XK190" s="264"/>
      <c r="XL190" s="264"/>
      <c r="XM190" s="264"/>
      <c r="XN190" s="264"/>
      <c r="XO190" s="264"/>
      <c r="XP190" s="264"/>
      <c r="XQ190" s="264"/>
      <c r="XR190" s="264"/>
      <c r="XS190" s="264"/>
      <c r="XT190" s="264"/>
      <c r="XU190" s="264"/>
      <c r="XV190" s="264"/>
      <c r="XW190" s="264"/>
      <c r="XX190" s="264"/>
      <c r="XY190" s="264"/>
      <c r="XZ190" s="264"/>
      <c r="YA190" s="264"/>
      <c r="YB190" s="264"/>
      <c r="YC190" s="264"/>
      <c r="YD190" s="264"/>
      <c r="YE190" s="264"/>
      <c r="YF190" s="264"/>
      <c r="YG190" s="264"/>
      <c r="YH190" s="264"/>
      <c r="YI190" s="264"/>
      <c r="YJ190" s="264"/>
      <c r="YK190" s="264"/>
      <c r="YL190" s="264"/>
      <c r="YM190" s="264"/>
      <c r="YN190" s="264"/>
      <c r="YO190" s="264"/>
      <c r="YP190" s="264"/>
      <c r="YQ190" s="264"/>
      <c r="YR190" s="264"/>
      <c r="YS190" s="264"/>
      <c r="YT190" s="264"/>
      <c r="YU190" s="264"/>
      <c r="YV190" s="264"/>
      <c r="YW190" s="264"/>
      <c r="YX190" s="264"/>
      <c r="YY190" s="264"/>
      <c r="YZ190" s="264"/>
      <c r="ZA190" s="264"/>
      <c r="ZB190" s="264"/>
      <c r="ZC190" s="264"/>
      <c r="ZD190" s="264"/>
      <c r="ZE190" s="264"/>
      <c r="ZF190" s="264"/>
      <c r="ZG190" s="264"/>
      <c r="ZH190" s="264"/>
      <c r="ZI190" s="264"/>
      <c r="ZJ190" s="264"/>
      <c r="ZK190" s="264"/>
      <c r="ZL190" s="264"/>
      <c r="ZM190" s="264"/>
      <c r="ZN190" s="264"/>
      <c r="ZO190" s="264"/>
      <c r="ZP190" s="264"/>
      <c r="ZQ190" s="264"/>
      <c r="ZR190" s="264"/>
      <c r="ZS190" s="264"/>
      <c r="ZT190" s="264"/>
      <c r="ZU190" s="264"/>
      <c r="ZV190" s="264"/>
      <c r="ZW190" s="264"/>
      <c r="ZX190" s="264"/>
      <c r="ZY190" s="264"/>
      <c r="ZZ190" s="264"/>
      <c r="AAA190" s="264"/>
      <c r="AAB190" s="264"/>
      <c r="AAC190" s="264"/>
      <c r="AAD190" s="264"/>
      <c r="AAE190" s="264"/>
      <c r="AAF190" s="264"/>
      <c r="AAG190" s="264"/>
      <c r="AAH190" s="264"/>
      <c r="AAI190" s="264"/>
      <c r="AAJ190" s="264"/>
      <c r="AAK190" s="264"/>
      <c r="AAL190" s="264"/>
      <c r="AAM190" s="264"/>
      <c r="AAN190" s="264"/>
      <c r="AAO190" s="264"/>
      <c r="AAP190" s="264"/>
      <c r="AAQ190" s="264"/>
      <c r="AAR190" s="264"/>
      <c r="AAS190" s="264"/>
      <c r="AAT190" s="264"/>
      <c r="AAU190" s="264"/>
      <c r="AAV190" s="264"/>
      <c r="AAW190" s="264"/>
      <c r="AAX190" s="264"/>
      <c r="AAY190" s="264"/>
      <c r="AAZ190" s="264"/>
      <c r="ABA190" s="264"/>
      <c r="ABB190" s="264"/>
      <c r="ABC190" s="264"/>
      <c r="ABD190" s="264"/>
      <c r="ABE190" s="264"/>
      <c r="ABF190" s="264"/>
      <c r="ABG190" s="264"/>
      <c r="ABH190" s="264"/>
      <c r="ABI190" s="264"/>
      <c r="ABJ190" s="264"/>
      <c r="ABK190" s="264"/>
      <c r="ABL190" s="264"/>
      <c r="ABM190" s="264"/>
      <c r="ABN190" s="264"/>
      <c r="ABO190" s="264"/>
      <c r="ABP190" s="264"/>
      <c r="ABQ190" s="264"/>
      <c r="ABR190" s="264"/>
      <c r="ABS190" s="264"/>
      <c r="ABT190" s="264"/>
      <c r="ABU190" s="264"/>
      <c r="ABV190" s="264"/>
      <c r="ABW190" s="264"/>
      <c r="ABX190" s="264"/>
      <c r="ABY190" s="264"/>
      <c r="ABZ190" s="264"/>
      <c r="ACA190" s="264"/>
      <c r="ACB190" s="264"/>
      <c r="ACC190" s="264"/>
      <c r="ACD190" s="264"/>
      <c r="ACE190" s="264"/>
      <c r="ACF190" s="264"/>
      <c r="ACG190" s="264"/>
      <c r="ACH190" s="264"/>
      <c r="ACI190" s="264"/>
      <c r="ACJ190" s="264"/>
      <c r="ACK190" s="264"/>
      <c r="ACL190" s="264"/>
      <c r="ACM190" s="264"/>
      <c r="ACN190" s="264"/>
      <c r="ACO190" s="264"/>
      <c r="ACP190" s="264"/>
      <c r="ACQ190" s="264"/>
      <c r="ACR190" s="264"/>
      <c r="ACS190" s="264"/>
      <c r="ACT190" s="264"/>
      <c r="ACU190" s="264"/>
      <c r="ACV190" s="264"/>
      <c r="ACW190" s="264"/>
      <c r="ACX190" s="264"/>
      <c r="ACY190" s="264"/>
      <c r="ACZ190" s="264"/>
      <c r="ADA190" s="264"/>
      <c r="ADB190" s="264"/>
      <c r="ADC190" s="264"/>
      <c r="ADD190" s="264"/>
      <c r="ADE190" s="264"/>
      <c r="ADF190" s="264"/>
      <c r="ADG190" s="264"/>
      <c r="ADH190" s="264"/>
      <c r="ADI190" s="264"/>
      <c r="ADJ190" s="264"/>
      <c r="ADK190" s="264"/>
      <c r="ADL190" s="264"/>
      <c r="ADM190" s="264"/>
      <c r="ADN190" s="264"/>
      <c r="ADO190" s="264"/>
      <c r="ADP190" s="264"/>
      <c r="ADQ190" s="264"/>
      <c r="ADR190" s="264"/>
      <c r="ADS190" s="264"/>
      <c r="ADT190" s="264"/>
      <c r="ADU190" s="264"/>
      <c r="ADV190" s="264"/>
      <c r="ADW190" s="264"/>
      <c r="ADX190" s="264"/>
      <c r="ADY190" s="264"/>
      <c r="ADZ190" s="264"/>
      <c r="AEA190" s="264"/>
      <c r="AEB190" s="264"/>
      <c r="AEC190" s="264"/>
      <c r="AED190" s="264"/>
      <c r="AEE190" s="264"/>
      <c r="AEF190" s="264"/>
      <c r="AEG190" s="264"/>
      <c r="AEH190" s="264"/>
      <c r="AEI190" s="264"/>
      <c r="AEJ190" s="264"/>
      <c r="AEK190" s="264"/>
      <c r="AEL190" s="264"/>
      <c r="AEM190" s="264"/>
      <c r="AEN190" s="264"/>
      <c r="AEO190" s="264"/>
      <c r="AEP190" s="264"/>
      <c r="AEQ190" s="264"/>
      <c r="AER190" s="264"/>
      <c r="AES190" s="264"/>
      <c r="AET190" s="264"/>
      <c r="AEU190" s="264"/>
      <c r="AEV190" s="264"/>
      <c r="AEW190" s="264"/>
      <c r="AEX190" s="264"/>
      <c r="AEY190" s="264"/>
      <c r="AEZ190" s="264"/>
      <c r="AFA190" s="264"/>
      <c r="AFB190" s="264"/>
      <c r="AFC190" s="264"/>
      <c r="AFD190" s="264"/>
      <c r="AFE190" s="264"/>
      <c r="AFF190" s="264"/>
      <c r="AFG190" s="264"/>
      <c r="AFH190" s="264"/>
      <c r="AFI190" s="264"/>
      <c r="AFJ190" s="264"/>
      <c r="AFK190" s="264"/>
      <c r="AFL190" s="264"/>
      <c r="AFM190" s="264"/>
      <c r="AFN190" s="264"/>
      <c r="AFO190" s="264"/>
      <c r="AFP190" s="264"/>
      <c r="AFQ190" s="264"/>
      <c r="AFR190" s="264"/>
      <c r="AFS190" s="264"/>
      <c r="AFT190" s="264"/>
      <c r="AFU190" s="264"/>
      <c r="AFV190" s="264"/>
      <c r="AFW190" s="264"/>
      <c r="AFX190" s="264"/>
      <c r="AFY190" s="264"/>
      <c r="AFZ190" s="264"/>
      <c r="AGA190" s="264"/>
      <c r="AGB190" s="264"/>
      <c r="AGC190" s="264"/>
      <c r="AGD190" s="264"/>
      <c r="AGE190" s="264"/>
      <c r="AGF190" s="264"/>
      <c r="AGG190" s="264"/>
      <c r="AGH190" s="264"/>
      <c r="AGI190" s="264"/>
      <c r="AGJ190" s="264"/>
      <c r="AGK190" s="264"/>
      <c r="AGL190" s="264"/>
      <c r="AGM190" s="264"/>
      <c r="AGN190" s="264"/>
      <c r="AGO190" s="264"/>
      <c r="AGP190" s="264"/>
      <c r="AGQ190" s="264"/>
      <c r="AGR190" s="264"/>
      <c r="AGS190" s="264"/>
      <c r="AGT190" s="264"/>
      <c r="AGU190" s="264"/>
      <c r="AGV190" s="264"/>
      <c r="AGW190" s="264"/>
      <c r="AGX190" s="264"/>
      <c r="AGY190" s="264"/>
      <c r="AGZ190" s="264"/>
      <c r="AHA190" s="264"/>
      <c r="AHB190" s="264"/>
      <c r="AHC190" s="264"/>
      <c r="AHD190" s="264"/>
      <c r="AHE190" s="264"/>
      <c r="AHF190" s="264"/>
      <c r="AHG190" s="264"/>
      <c r="AHH190" s="264"/>
      <c r="AHI190" s="264"/>
      <c r="AHJ190" s="264"/>
      <c r="AHK190" s="264"/>
      <c r="AHL190" s="264"/>
      <c r="AHM190" s="264"/>
      <c r="AHN190" s="264"/>
      <c r="AHO190" s="264"/>
      <c r="AHP190" s="264"/>
      <c r="AHQ190" s="264"/>
      <c r="AHR190" s="264"/>
      <c r="AHS190" s="264"/>
      <c r="AHT190" s="264"/>
      <c r="AHU190" s="264"/>
      <c r="AHV190" s="264"/>
      <c r="AHW190" s="264"/>
      <c r="AHX190" s="264"/>
      <c r="AHY190" s="264"/>
      <c r="AHZ190" s="264"/>
      <c r="AIA190" s="264"/>
      <c r="AIB190" s="264"/>
      <c r="AIC190" s="264"/>
      <c r="AID190" s="264"/>
      <c r="AIE190" s="264"/>
      <c r="AIF190" s="264"/>
      <c r="AIG190" s="264"/>
      <c r="AIH190" s="264"/>
      <c r="AII190" s="264"/>
      <c r="AIJ190" s="264"/>
      <c r="AIK190" s="264"/>
      <c r="AIL190" s="264"/>
      <c r="AIM190" s="264"/>
      <c r="AIN190" s="264"/>
      <c r="AIO190" s="264"/>
      <c r="AIP190" s="264"/>
      <c r="AIQ190" s="264"/>
      <c r="AIR190" s="264"/>
      <c r="AIS190" s="264"/>
      <c r="AIT190" s="264"/>
      <c r="AIU190" s="264"/>
      <c r="AIV190" s="264"/>
      <c r="AIW190" s="264"/>
      <c r="AIX190" s="264"/>
      <c r="AIY190" s="264"/>
      <c r="AIZ190" s="264"/>
      <c r="AJA190" s="264"/>
      <c r="AJB190" s="264"/>
      <c r="AJC190" s="264"/>
      <c r="AJD190" s="264"/>
      <c r="AJE190" s="264"/>
      <c r="AJF190" s="264"/>
      <c r="AJG190" s="264"/>
      <c r="AJH190" s="264"/>
      <c r="AJI190" s="264"/>
      <c r="AJJ190" s="264"/>
      <c r="AJK190" s="264"/>
      <c r="AJL190" s="264"/>
      <c r="AJM190" s="264"/>
      <c r="AJN190" s="264"/>
      <c r="AJO190" s="264"/>
      <c r="AJP190" s="264"/>
      <c r="AJQ190" s="264"/>
      <c r="AJR190" s="264"/>
      <c r="AJS190" s="264"/>
      <c r="AJT190" s="264"/>
      <c r="AJU190" s="264"/>
      <c r="AJV190" s="264"/>
      <c r="AJW190" s="264"/>
      <c r="AJX190" s="264"/>
      <c r="AJY190" s="264"/>
      <c r="AJZ190" s="264"/>
      <c r="AKA190" s="264"/>
      <c r="AKB190" s="264"/>
      <c r="AKC190" s="264"/>
      <c r="AKD190" s="264"/>
      <c r="AKE190" s="264"/>
      <c r="AKF190" s="264"/>
      <c r="AKG190" s="264"/>
      <c r="AKH190" s="264"/>
      <c r="AKI190" s="264"/>
      <c r="AKJ190" s="264"/>
      <c r="AKK190" s="264"/>
      <c r="AKL190" s="264"/>
      <c r="AKM190" s="264"/>
      <c r="AKN190" s="264"/>
      <c r="AKO190" s="264"/>
      <c r="AKP190" s="264"/>
      <c r="AKQ190" s="264"/>
      <c r="AKR190" s="264"/>
      <c r="AKS190" s="264"/>
      <c r="AKT190" s="264"/>
      <c r="AKU190" s="264"/>
      <c r="AKV190" s="264"/>
      <c r="AKW190" s="264"/>
      <c r="AKX190" s="264"/>
      <c r="AKY190" s="264"/>
      <c r="AKZ190" s="264"/>
      <c r="ALA190" s="264"/>
      <c r="ALB190" s="264"/>
      <c r="ALC190" s="264"/>
      <c r="ALD190" s="264"/>
      <c r="ALE190" s="264"/>
      <c r="ALF190" s="264"/>
      <c r="ALG190" s="264"/>
      <c r="ALH190" s="264"/>
      <c r="ALI190" s="264"/>
      <c r="ALJ190" s="264"/>
      <c r="ALK190" s="264"/>
      <c r="ALL190" s="264"/>
      <c r="ALM190" s="264"/>
      <c r="ALN190" s="264"/>
      <c r="ALO190" s="264"/>
      <c r="ALP190" s="264"/>
      <c r="ALQ190" s="264"/>
      <c r="ALR190" s="264"/>
      <c r="ALS190" s="264"/>
      <c r="ALT190" s="264"/>
      <c r="ALU190" s="264"/>
      <c r="ALV190" s="264"/>
      <c r="ALW190" s="264"/>
      <c r="ALX190" s="264"/>
      <c r="ALY190" s="264"/>
      <c r="ALZ190" s="264"/>
      <c r="AMA190" s="264"/>
      <c r="AMB190" s="264"/>
      <c r="AMC190" s="264"/>
      <c r="AMD190" s="264"/>
      <c r="AME190" s="264"/>
      <c r="AMF190" s="264"/>
      <c r="AMG190" s="264"/>
      <c r="AMH190" s="264"/>
      <c r="AMI190" s="264"/>
      <c r="AMJ190" s="264"/>
      <c r="AMK190" s="264"/>
    </row>
    <row r="191" spans="1:1025" ht="15.75" customHeight="1" x14ac:dyDescent="0.25">
      <c r="A191" s="15" t="s">
        <v>1057</v>
      </c>
      <c r="B191" s="24"/>
      <c r="C191" s="24"/>
      <c r="D191" s="222"/>
      <c r="E191" s="125" t="s">
        <v>977</v>
      </c>
      <c r="F191" s="230"/>
      <c r="G191" s="18" t="s">
        <v>1058</v>
      </c>
      <c r="H191" s="33" t="s">
        <v>977</v>
      </c>
      <c r="I191" s="29"/>
      <c r="J191" s="27" t="s">
        <v>978</v>
      </c>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46"/>
      <c r="AH191" s="46"/>
      <c r="AI191" s="46"/>
      <c r="AJ191" s="46"/>
    </row>
    <row r="192" spans="1:1025" ht="15.75" customHeight="1" x14ac:dyDescent="0.25">
      <c r="A192" s="15" t="s">
        <v>1060</v>
      </c>
      <c r="B192" s="24" t="s">
        <v>980</v>
      </c>
      <c r="C192" s="24" t="s">
        <v>2139</v>
      </c>
      <c r="D192" s="222"/>
      <c r="E192" s="125" t="s">
        <v>174</v>
      </c>
      <c r="F192" s="230"/>
      <c r="G192" s="18" t="s">
        <v>1061</v>
      </c>
      <c r="H192" s="33" t="s">
        <v>2012</v>
      </c>
      <c r="I192" s="39" t="s">
        <v>982</v>
      </c>
      <c r="J192" s="27" t="s">
        <v>982</v>
      </c>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46"/>
      <c r="AH192" s="46"/>
      <c r="AI192" s="46"/>
      <c r="AJ192" s="46"/>
    </row>
    <row r="193" spans="1:36" ht="15.75" customHeight="1" x14ac:dyDescent="0.25">
      <c r="A193" s="15" t="s">
        <v>1062</v>
      </c>
      <c r="B193" s="24" t="s">
        <v>64</v>
      </c>
      <c r="C193" s="24" t="s">
        <v>2078</v>
      </c>
      <c r="D193" s="222"/>
      <c r="E193" s="125" t="s">
        <v>2030</v>
      </c>
      <c r="F193" s="230"/>
      <c r="G193" s="18" t="s">
        <v>1063</v>
      </c>
      <c r="H193" s="33" t="s">
        <v>985</v>
      </c>
      <c r="I193" s="39" t="s">
        <v>986</v>
      </c>
      <c r="J193" s="27" t="s">
        <v>986</v>
      </c>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46"/>
      <c r="AH193" s="46"/>
      <c r="AI193" s="46"/>
      <c r="AJ193" s="46"/>
    </row>
    <row r="194" spans="1:36" ht="15.75" customHeight="1" x14ac:dyDescent="0.25">
      <c r="A194" s="15" t="s">
        <v>1064</v>
      </c>
      <c r="B194" s="24"/>
      <c r="C194" s="24"/>
      <c r="D194" s="222"/>
      <c r="E194" s="125" t="s">
        <v>989</v>
      </c>
      <c r="F194" s="230"/>
      <c r="G194" s="18" t="s">
        <v>1065</v>
      </c>
      <c r="H194" s="33" t="s">
        <v>989</v>
      </c>
      <c r="I194" s="29" t="s">
        <v>2080</v>
      </c>
      <c r="J194" s="27" t="s">
        <v>990</v>
      </c>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46"/>
      <c r="AH194" s="46"/>
      <c r="AI194" s="46"/>
      <c r="AJ194" s="46"/>
    </row>
    <row r="195" spans="1:36" ht="15.75" customHeight="1" x14ac:dyDescent="0.25">
      <c r="A195" s="15" t="s">
        <v>1066</v>
      </c>
      <c r="B195" s="24">
        <v>26711</v>
      </c>
      <c r="C195" s="24" t="s">
        <v>992</v>
      </c>
      <c r="D195" s="222"/>
      <c r="E195" s="125" t="s">
        <v>994</v>
      </c>
      <c r="F195" s="230"/>
      <c r="G195" s="18" t="s">
        <v>1067</v>
      </c>
      <c r="H195" s="33" t="s">
        <v>994</v>
      </c>
      <c r="I195" s="29"/>
      <c r="J195" s="27" t="s">
        <v>995</v>
      </c>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46"/>
      <c r="AH195" s="46"/>
      <c r="AI195" s="46"/>
      <c r="AJ195" s="46"/>
    </row>
    <row r="196" spans="1:36" ht="15.75" customHeight="1" x14ac:dyDescent="0.25">
      <c r="A196" s="15" t="s">
        <v>1068</v>
      </c>
      <c r="B196" s="24" t="s">
        <v>997</v>
      </c>
      <c r="C196" s="24">
        <v>971382</v>
      </c>
      <c r="D196" s="222"/>
      <c r="E196" s="125" t="s">
        <v>999</v>
      </c>
      <c r="F196" s="230"/>
      <c r="G196" s="18" t="s">
        <v>1069</v>
      </c>
      <c r="H196" s="33" t="s">
        <v>999</v>
      </c>
      <c r="I196" s="29"/>
      <c r="J196" s="27" t="s">
        <v>1000</v>
      </c>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46"/>
      <c r="AH196" s="46"/>
      <c r="AI196" s="130"/>
      <c r="AJ196" s="130"/>
    </row>
    <row r="197" spans="1:36" ht="15.75" customHeight="1" x14ac:dyDescent="0.25">
      <c r="A197" s="15" t="s">
        <v>1070</v>
      </c>
      <c r="B197" s="24" t="s">
        <v>500</v>
      </c>
      <c r="C197" s="24" t="s">
        <v>2180</v>
      </c>
      <c r="D197" s="222"/>
      <c r="E197" s="125" t="s">
        <v>2105</v>
      </c>
      <c r="F197" s="230">
        <v>1489575500000000</v>
      </c>
      <c r="G197" s="18" t="s">
        <v>1071</v>
      </c>
      <c r="H197" s="34" t="s">
        <v>1003</v>
      </c>
      <c r="I197" s="267" t="s">
        <v>2102</v>
      </c>
      <c r="J197" s="40" t="s">
        <v>2104</v>
      </c>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46"/>
      <c r="AH197" s="46"/>
      <c r="AI197" s="39" t="s">
        <v>1005</v>
      </c>
      <c r="AJ197" s="39"/>
    </row>
    <row r="198" spans="1:36" ht="15.75" customHeight="1" x14ac:dyDescent="0.25">
      <c r="A198" s="15" t="s">
        <v>1072</v>
      </c>
      <c r="B198" s="24" t="s">
        <v>500</v>
      </c>
      <c r="C198" s="24" t="s">
        <v>2180</v>
      </c>
      <c r="D198" s="222"/>
      <c r="E198" s="125" t="s">
        <v>2103</v>
      </c>
      <c r="F198" s="230"/>
      <c r="G198" s="18" t="s">
        <v>1073</v>
      </c>
      <c r="H198" s="33" t="s">
        <v>1008</v>
      </c>
      <c r="I198" s="243" t="s">
        <v>1399</v>
      </c>
      <c r="J198" s="27" t="s">
        <v>2104</v>
      </c>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46"/>
      <c r="AH198" s="46"/>
      <c r="AI198" s="46"/>
      <c r="AJ198" s="46"/>
    </row>
    <row r="199" spans="1:36" ht="15.75" customHeight="1" x14ac:dyDescent="0.25">
      <c r="A199" s="15" t="s">
        <v>1074</v>
      </c>
      <c r="B199" s="112">
        <v>4004147</v>
      </c>
      <c r="C199" s="112" t="s">
        <v>2106</v>
      </c>
      <c r="D199" s="222" t="s">
        <v>2141</v>
      </c>
      <c r="E199" s="125" t="s">
        <v>1011</v>
      </c>
      <c r="F199" s="230"/>
      <c r="G199" s="18" t="s">
        <v>1075</v>
      </c>
      <c r="H199" s="33" t="s">
        <v>1011</v>
      </c>
      <c r="I199" s="122" t="s">
        <v>1012</v>
      </c>
      <c r="J199" s="27" t="s">
        <v>1012</v>
      </c>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7"/>
      <c r="AH199" s="117"/>
      <c r="AI199" s="117"/>
      <c r="AJ199" s="117"/>
    </row>
    <row r="200" spans="1:36" ht="15.75" customHeight="1" x14ac:dyDescent="0.25">
      <c r="A200" s="15" t="s">
        <v>1076</v>
      </c>
      <c r="B200" s="24"/>
      <c r="C200" s="24"/>
      <c r="D200" s="222"/>
      <c r="E200" s="125" t="s">
        <v>1648</v>
      </c>
      <c r="F200" s="230"/>
      <c r="G200" s="18" t="s">
        <v>1078</v>
      </c>
      <c r="H200" s="33" t="s">
        <v>2003</v>
      </c>
      <c r="I200" s="39"/>
      <c r="J200" s="27" t="s">
        <v>1037</v>
      </c>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46"/>
      <c r="AH200" s="46"/>
      <c r="AI200" s="46"/>
      <c r="AJ200" s="46"/>
    </row>
    <row r="201" spans="1:36" ht="15.75" customHeight="1" x14ac:dyDescent="0.25">
      <c r="A201" s="15" t="s">
        <v>1083</v>
      </c>
      <c r="B201" s="24"/>
      <c r="C201" s="24"/>
      <c r="D201" s="222"/>
      <c r="E201" s="125" t="s">
        <v>1018</v>
      </c>
      <c r="F201" s="230"/>
      <c r="G201" s="18" t="s">
        <v>1084</v>
      </c>
      <c r="H201" s="33" t="s">
        <v>1018</v>
      </c>
      <c r="I201" s="39" t="s">
        <v>1019</v>
      </c>
      <c r="J201" s="27"/>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46"/>
      <c r="AH201" s="46"/>
      <c r="AI201" s="46"/>
      <c r="AJ201" s="46"/>
    </row>
    <row r="202" spans="1:36" ht="15.75" customHeight="1" x14ac:dyDescent="0.25">
      <c r="A202" s="15" t="s">
        <v>1087</v>
      </c>
      <c r="B202" s="112"/>
      <c r="C202" s="112"/>
      <c r="D202" s="222"/>
      <c r="E202" s="125" t="s">
        <v>2046</v>
      </c>
      <c r="F202" s="230"/>
      <c r="G202" s="18" t="s">
        <v>1090</v>
      </c>
      <c r="H202" s="33" t="s">
        <v>2046</v>
      </c>
      <c r="I202" s="122"/>
      <c r="J202" s="27"/>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7"/>
      <c r="AH202" s="117"/>
      <c r="AI202" s="117"/>
      <c r="AJ202" s="117"/>
    </row>
    <row r="203" spans="1:36" ht="15.75" customHeight="1" x14ac:dyDescent="0.25">
      <c r="A203" s="15" t="s">
        <v>1095</v>
      </c>
      <c r="B203" s="24" t="s">
        <v>1021</v>
      </c>
      <c r="C203" s="24" t="s">
        <v>1909</v>
      </c>
      <c r="D203" s="222" t="s">
        <v>1022</v>
      </c>
      <c r="E203" s="125" t="s">
        <v>1024</v>
      </c>
      <c r="F203" s="230"/>
      <c r="G203" s="18" t="s">
        <v>1097</v>
      </c>
      <c r="H203" s="33" t="s">
        <v>1024</v>
      </c>
      <c r="I203" s="39"/>
      <c r="J203" s="27" t="s">
        <v>1021</v>
      </c>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46"/>
      <c r="AH203" s="46"/>
      <c r="AI203" s="46"/>
      <c r="AJ203" s="46"/>
    </row>
    <row r="204" spans="1:36" ht="15.75" customHeight="1" x14ac:dyDescent="0.25">
      <c r="A204" s="15" t="s">
        <v>1099</v>
      </c>
      <c r="B204" s="24" t="s">
        <v>1026</v>
      </c>
      <c r="C204" s="24">
        <v>369363048</v>
      </c>
      <c r="D204" s="222"/>
      <c r="E204" s="125" t="s">
        <v>179</v>
      </c>
      <c r="F204" s="230"/>
      <c r="G204" s="18" t="s">
        <v>1101</v>
      </c>
      <c r="H204" s="33" t="s">
        <v>179</v>
      </c>
      <c r="I204" s="29" t="s">
        <v>1029</v>
      </c>
      <c r="J204" s="27" t="s">
        <v>1028</v>
      </c>
      <c r="K204" s="29"/>
      <c r="L204" s="39" t="s">
        <v>1030</v>
      </c>
      <c r="M204" s="39"/>
      <c r="N204" s="29"/>
      <c r="O204" s="29"/>
      <c r="P204" s="29"/>
      <c r="Q204" s="29"/>
      <c r="R204" s="29"/>
      <c r="S204" s="29"/>
      <c r="T204" s="29"/>
      <c r="U204" s="29"/>
      <c r="V204" s="29"/>
      <c r="W204" s="29"/>
      <c r="X204" s="29"/>
      <c r="Y204" s="29"/>
      <c r="Z204" s="29"/>
      <c r="AA204" s="29" t="s">
        <v>1031</v>
      </c>
      <c r="AB204" s="29"/>
      <c r="AC204" s="29"/>
      <c r="AD204" s="29"/>
      <c r="AE204" s="29"/>
      <c r="AF204" s="29"/>
      <c r="AG204" s="46"/>
      <c r="AH204" s="46"/>
      <c r="AI204" s="46"/>
      <c r="AJ204" s="46"/>
    </row>
    <row r="205" spans="1:36" ht="15.75" customHeight="1" x14ac:dyDescent="0.25">
      <c r="A205" s="15" t="s">
        <v>1104</v>
      </c>
      <c r="B205" t="s">
        <v>2009</v>
      </c>
      <c r="C205" s="24" t="s">
        <v>1603</v>
      </c>
      <c r="D205" s="222" t="s">
        <v>1550</v>
      </c>
      <c r="E205" s="125" t="s">
        <v>1663</v>
      </c>
      <c r="F205" s="230"/>
      <c r="G205" s="18" t="s">
        <v>1107</v>
      </c>
      <c r="H205" s="33" t="s">
        <v>2004</v>
      </c>
      <c r="I205" s="39" t="s">
        <v>1548</v>
      </c>
      <c r="J205" s="27" t="s">
        <v>104</v>
      </c>
      <c r="K205" s="29"/>
      <c r="L205" s="29"/>
      <c r="M205" s="29"/>
      <c r="N205" s="29"/>
      <c r="O205" s="29"/>
      <c r="P205" s="29"/>
      <c r="Q205" s="29"/>
      <c r="R205" s="29"/>
      <c r="S205" s="29"/>
      <c r="T205" s="29"/>
      <c r="U205" s="29"/>
      <c r="V205" s="29"/>
      <c r="W205" s="29"/>
      <c r="X205" s="29"/>
      <c r="Y205" s="29"/>
      <c r="Z205" s="29"/>
      <c r="AA205" s="29"/>
      <c r="AB205" s="29"/>
      <c r="AC205" s="29"/>
      <c r="AD205" s="29"/>
      <c r="AE205" s="29"/>
      <c r="AF205" s="29" t="s">
        <v>1015</v>
      </c>
      <c r="AG205" s="46"/>
      <c r="AH205" s="46"/>
      <c r="AI205" s="46"/>
      <c r="AJ205" s="46"/>
    </row>
    <row r="206" spans="1:36" ht="15.75" customHeight="1" x14ac:dyDescent="0.25">
      <c r="A206" s="15" t="s">
        <v>1110</v>
      </c>
      <c r="B206" s="24" t="s">
        <v>1033</v>
      </c>
      <c r="C206" s="24" t="s">
        <v>28</v>
      </c>
      <c r="D206" s="222"/>
      <c r="E206" s="125" t="s">
        <v>1035</v>
      </c>
      <c r="F206" s="230"/>
      <c r="G206" s="18" t="s">
        <v>1111</v>
      </c>
      <c r="H206" s="33" t="s">
        <v>1035</v>
      </c>
      <c r="I206" s="29" t="s">
        <v>1037</v>
      </c>
      <c r="J206" s="27" t="s">
        <v>1036</v>
      </c>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46"/>
      <c r="AH206" s="46"/>
      <c r="AI206" s="46"/>
      <c r="AJ206" s="46"/>
    </row>
    <row r="207" spans="1:36" ht="15.75" customHeight="1" x14ac:dyDescent="0.25">
      <c r="A207" s="15" t="s">
        <v>1114</v>
      </c>
      <c r="B207" s="24" t="s">
        <v>1039</v>
      </c>
      <c r="C207" s="24" t="s">
        <v>28</v>
      </c>
      <c r="D207" s="222"/>
      <c r="E207" s="125" t="s">
        <v>1041</v>
      </c>
      <c r="F207" s="230"/>
      <c r="G207" s="18" t="s">
        <v>1115</v>
      </c>
      <c r="H207" s="33" t="s">
        <v>1041</v>
      </c>
      <c r="I207" s="29"/>
      <c r="J207" s="27" t="s">
        <v>1039</v>
      </c>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46"/>
      <c r="AH207" s="46"/>
      <c r="AI207" s="46"/>
      <c r="AJ207" s="46"/>
    </row>
    <row r="208" spans="1:36" ht="15.75" customHeight="1" x14ac:dyDescent="0.25">
      <c r="A208" s="15" t="s">
        <v>1120</v>
      </c>
      <c r="B208" s="24" t="s">
        <v>1033</v>
      </c>
      <c r="C208" s="24" t="s">
        <v>28</v>
      </c>
      <c r="D208" s="222"/>
      <c r="E208" s="125" t="s">
        <v>1044</v>
      </c>
      <c r="F208" s="230"/>
      <c r="G208" s="18" t="s">
        <v>1121</v>
      </c>
      <c r="H208" s="33" t="s">
        <v>1044</v>
      </c>
      <c r="I208" s="29"/>
      <c r="J208" s="27"/>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46"/>
      <c r="AH208" s="46"/>
      <c r="AI208" s="46"/>
      <c r="AJ208" s="46"/>
    </row>
    <row r="209" spans="1:36" ht="15.75" customHeight="1" x14ac:dyDescent="0.25">
      <c r="A209" s="15" t="s">
        <v>1124</v>
      </c>
      <c r="B209" s="24" t="s">
        <v>1046</v>
      </c>
      <c r="C209" s="24" t="s">
        <v>1047</v>
      </c>
      <c r="D209" s="222" t="s">
        <v>1564</v>
      </c>
      <c r="E209" s="125" t="s">
        <v>1048</v>
      </c>
      <c r="F209" s="230"/>
      <c r="G209" s="18" t="s">
        <v>1126</v>
      </c>
      <c r="H209" s="33" t="s">
        <v>1048</v>
      </c>
      <c r="I209" s="29"/>
      <c r="J209" s="27"/>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46"/>
      <c r="AH209" s="46"/>
      <c r="AI209" s="46"/>
      <c r="AJ209" s="46"/>
    </row>
    <row r="210" spans="1:36" ht="15.75" customHeight="1" x14ac:dyDescent="0.25">
      <c r="A210" s="15" t="s">
        <v>1127</v>
      </c>
      <c r="B210" s="24" t="s">
        <v>1887</v>
      </c>
      <c r="C210" s="24" t="s">
        <v>1562</v>
      </c>
      <c r="D210" s="222"/>
      <c r="E210" s="125" t="s">
        <v>1052</v>
      </c>
      <c r="F210" s="230"/>
      <c r="G210" s="18" t="s">
        <v>1129</v>
      </c>
      <c r="H210" s="33" t="s">
        <v>1052</v>
      </c>
      <c r="I210" s="29"/>
      <c r="J210" s="27" t="s">
        <v>1887</v>
      </c>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46"/>
      <c r="AH210" s="46"/>
      <c r="AI210" s="46"/>
      <c r="AJ210" s="39" t="s">
        <v>1887</v>
      </c>
    </row>
    <row r="211" spans="1:36" ht="15.75" customHeight="1" x14ac:dyDescent="0.25">
      <c r="A211" s="15" t="s">
        <v>1132</v>
      </c>
      <c r="B211" s="24" t="s">
        <v>2174</v>
      </c>
      <c r="C211" s="24" t="s">
        <v>2175</v>
      </c>
      <c r="D211" s="222" t="s">
        <v>1054</v>
      </c>
      <c r="E211" s="125" t="s">
        <v>181</v>
      </c>
      <c r="F211" s="230"/>
      <c r="G211" s="18" t="s">
        <v>1135</v>
      </c>
      <c r="H211" s="33" t="s">
        <v>181</v>
      </c>
      <c r="I211" s="29" t="s">
        <v>1056</v>
      </c>
      <c r="J211" s="27" t="s">
        <v>1640</v>
      </c>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46"/>
      <c r="AH211" s="46"/>
      <c r="AI211" s="46"/>
      <c r="AJ211" s="46"/>
    </row>
    <row r="212" spans="1:36" ht="15.75" customHeight="1" x14ac:dyDescent="0.25">
      <c r="A212" s="15" t="s">
        <v>1137</v>
      </c>
      <c r="B212" s="112" t="s">
        <v>104</v>
      </c>
      <c r="C212" s="112" t="s">
        <v>104</v>
      </c>
      <c r="D212" s="222" t="s">
        <v>1641</v>
      </c>
      <c r="E212" s="125" t="s">
        <v>68</v>
      </c>
      <c r="F212" s="230"/>
      <c r="G212" s="18" t="s">
        <v>1139</v>
      </c>
      <c r="H212" s="33" t="s">
        <v>68</v>
      </c>
      <c r="I212" s="85"/>
      <c r="J212" s="27" t="s">
        <v>1059</v>
      </c>
      <c r="K212" s="113"/>
      <c r="L212" s="113"/>
      <c r="M212" s="113"/>
      <c r="N212" s="113"/>
      <c r="O212" s="113"/>
      <c r="P212" s="113"/>
      <c r="Q212" s="113"/>
      <c r="R212" s="113"/>
      <c r="S212" s="113" t="s">
        <v>1059</v>
      </c>
      <c r="T212" s="113"/>
      <c r="U212" s="113"/>
      <c r="V212" s="113"/>
      <c r="W212" s="113"/>
      <c r="X212" s="113"/>
      <c r="Y212" s="113"/>
      <c r="Z212" s="113"/>
      <c r="AA212" s="113"/>
      <c r="AB212" s="113"/>
      <c r="AC212" s="113"/>
      <c r="AD212" s="113"/>
      <c r="AE212" s="113"/>
      <c r="AF212" s="113"/>
      <c r="AG212" s="117"/>
      <c r="AH212" s="117"/>
      <c r="AI212" s="117"/>
      <c r="AJ212" s="117"/>
    </row>
    <row r="213" spans="1:36" ht="15.75" customHeight="1" x14ac:dyDescent="0.25">
      <c r="A213" s="15" t="s">
        <v>1142</v>
      </c>
      <c r="B213" s="112"/>
      <c r="C213" s="112"/>
      <c r="D213" s="222"/>
      <c r="E213" s="125" t="s">
        <v>1904</v>
      </c>
      <c r="F213" s="230"/>
      <c r="G213" s="18" t="s">
        <v>1144</v>
      </c>
      <c r="H213" s="33" t="s">
        <v>1904</v>
      </c>
      <c r="I213" s="85"/>
      <c r="J213" s="27" t="s">
        <v>1905</v>
      </c>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7"/>
      <c r="AH213" s="117"/>
      <c r="AI213" s="117"/>
      <c r="AJ213" s="117"/>
    </row>
    <row r="214" spans="1:36" ht="15.75" customHeight="1" x14ac:dyDescent="0.25">
      <c r="A214" s="15" t="s">
        <v>1147</v>
      </c>
      <c r="B214" s="24" t="s">
        <v>2000</v>
      </c>
      <c r="C214" s="24" t="s">
        <v>2170</v>
      </c>
      <c r="D214" s="222"/>
      <c r="E214" s="125" t="s">
        <v>1642</v>
      </c>
      <c r="F214" s="230"/>
      <c r="G214" s="18" t="s">
        <v>1149</v>
      </c>
      <c r="H214" s="33" t="s">
        <v>1991</v>
      </c>
      <c r="I214" s="39" t="s">
        <v>1643</v>
      </c>
      <c r="J214" s="27" t="s">
        <v>1643</v>
      </c>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46"/>
      <c r="AH214" s="46"/>
      <c r="AI214" s="46"/>
      <c r="AJ214" s="46"/>
    </row>
    <row r="215" spans="1:36" ht="15.75" customHeight="1" x14ac:dyDescent="0.25">
      <c r="A215" s="15" t="s">
        <v>1152</v>
      </c>
      <c r="B215" s="24" t="s">
        <v>2000</v>
      </c>
      <c r="C215" s="24" t="s">
        <v>2170</v>
      </c>
      <c r="D215" s="222" t="s">
        <v>2001</v>
      </c>
      <c r="E215" s="125" t="s">
        <v>1642</v>
      </c>
      <c r="F215" s="230"/>
      <c r="G215" s="18" t="s">
        <v>1154</v>
      </c>
      <c r="H215" s="33" t="s">
        <v>1992</v>
      </c>
      <c r="I215" s="39" t="s">
        <v>1987</v>
      </c>
      <c r="J215" s="27" t="s">
        <v>1987</v>
      </c>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46"/>
      <c r="AH215" s="46"/>
      <c r="AI215" s="46"/>
      <c r="AJ215" s="46"/>
    </row>
    <row r="216" spans="1:36" ht="15.75" customHeight="1" x14ac:dyDescent="0.25">
      <c r="A216" s="15" t="s">
        <v>1526</v>
      </c>
      <c r="B216" s="24" t="s">
        <v>2084</v>
      </c>
      <c r="C216" s="24" t="s">
        <v>2176</v>
      </c>
      <c r="D216" s="222" t="s">
        <v>519</v>
      </c>
      <c r="E216" s="125" t="s">
        <v>1559</v>
      </c>
      <c r="F216" s="230"/>
      <c r="G216" s="18" t="s">
        <v>1525</v>
      </c>
      <c r="H216" s="33" t="s">
        <v>1559</v>
      </c>
      <c r="I216" s="29"/>
      <c r="J216" s="27" t="s">
        <v>522</v>
      </c>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3"/>
      <c r="AH216" s="23"/>
      <c r="AI216" s="23"/>
      <c r="AJ216" s="23"/>
    </row>
    <row r="217" spans="1:36" ht="15.75" customHeight="1" x14ac:dyDescent="0.25">
      <c r="A217" s="15" t="s">
        <v>1528</v>
      </c>
      <c r="B217" s="24">
        <v>119717000</v>
      </c>
      <c r="C217" s="24" t="s">
        <v>1077</v>
      </c>
      <c r="D217" s="222"/>
      <c r="E217" s="125" t="s">
        <v>20</v>
      </c>
      <c r="F217" s="230"/>
      <c r="G217" s="18" t="s">
        <v>1529</v>
      </c>
      <c r="H217" s="33" t="s">
        <v>20</v>
      </c>
      <c r="I217" s="39" t="s">
        <v>1589</v>
      </c>
      <c r="J217" s="27" t="s">
        <v>1588</v>
      </c>
      <c r="K217" s="39" t="s">
        <v>1590</v>
      </c>
      <c r="L217" s="39" t="s">
        <v>1591</v>
      </c>
      <c r="M217" s="39"/>
      <c r="N217" s="29"/>
      <c r="O217" s="29" t="s">
        <v>1950</v>
      </c>
      <c r="P217" s="29"/>
      <c r="Q217" s="29"/>
      <c r="R217" s="29"/>
      <c r="S217" s="29"/>
      <c r="T217" s="29"/>
      <c r="U217" s="29"/>
      <c r="V217" s="29"/>
      <c r="W217" s="29" t="s">
        <v>1592</v>
      </c>
      <c r="X217" s="29"/>
      <c r="Y217" s="29"/>
      <c r="Z217" s="29"/>
      <c r="AA217" s="29"/>
      <c r="AB217" s="29"/>
      <c r="AC217" s="29"/>
      <c r="AD217" s="29"/>
      <c r="AE217" s="29"/>
      <c r="AF217" s="29" t="s">
        <v>1082</v>
      </c>
      <c r="AG217" s="46"/>
      <c r="AH217" s="46"/>
      <c r="AI217" s="39">
        <v>53527</v>
      </c>
      <c r="AJ217" s="39"/>
    </row>
    <row r="218" spans="1:36" ht="15.75" customHeight="1" x14ac:dyDescent="0.25">
      <c r="A218" s="15" t="s">
        <v>1532</v>
      </c>
      <c r="B218" s="24"/>
      <c r="C218" s="24"/>
      <c r="D218" s="222"/>
      <c r="E218" s="125" t="s">
        <v>1085</v>
      </c>
      <c r="F218" s="230"/>
      <c r="G218" s="18" t="s">
        <v>1531</v>
      </c>
      <c r="H218" s="33" t="s">
        <v>1085</v>
      </c>
      <c r="I218" s="29"/>
      <c r="J218" s="27" t="s">
        <v>1086</v>
      </c>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46"/>
      <c r="AH218" s="46"/>
      <c r="AI218" s="46"/>
      <c r="AJ218" s="46"/>
    </row>
    <row r="219" spans="1:36" ht="15.75" customHeight="1" x14ac:dyDescent="0.25">
      <c r="A219" s="15" t="s">
        <v>1539</v>
      </c>
      <c r="B219" s="24" t="s">
        <v>1092</v>
      </c>
      <c r="C219" s="24" t="s">
        <v>1088</v>
      </c>
      <c r="D219" s="222" t="s">
        <v>1089</v>
      </c>
      <c r="E219" s="125" t="s">
        <v>1091</v>
      </c>
      <c r="F219" s="230"/>
      <c r="G219" s="18" t="s">
        <v>1540</v>
      </c>
      <c r="H219" s="33" t="s">
        <v>1091</v>
      </c>
      <c r="I219" s="29" t="s">
        <v>1093</v>
      </c>
      <c r="J219" s="27" t="s">
        <v>1092</v>
      </c>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46"/>
      <c r="AH219" s="46"/>
      <c r="AI219" s="29" t="s">
        <v>1094</v>
      </c>
      <c r="AJ219" s="29"/>
    </row>
    <row r="220" spans="1:36" ht="15.75" customHeight="1" x14ac:dyDescent="0.25">
      <c r="A220" s="15" t="s">
        <v>1556</v>
      </c>
      <c r="B220" s="24" t="s">
        <v>1982</v>
      </c>
      <c r="C220" s="24" t="s">
        <v>28</v>
      </c>
      <c r="D220" s="222" t="s">
        <v>1096</v>
      </c>
      <c r="E220" s="125" t="s">
        <v>1098</v>
      </c>
      <c r="F220" s="230"/>
      <c r="G220" s="18" t="s">
        <v>1555</v>
      </c>
      <c r="H220" s="33" t="s">
        <v>1098</v>
      </c>
      <c r="I220" s="29" t="s">
        <v>1093</v>
      </c>
      <c r="J220" s="27" t="s">
        <v>1092</v>
      </c>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46"/>
      <c r="AH220" s="46"/>
      <c r="AI220" s="29"/>
      <c r="AJ220" s="29"/>
    </row>
    <row r="221" spans="1:36" ht="15.75" customHeight="1" x14ac:dyDescent="0.25">
      <c r="A221" s="15" t="s">
        <v>1650</v>
      </c>
      <c r="B221" s="24">
        <v>106655</v>
      </c>
      <c r="C221" s="24" t="s">
        <v>28</v>
      </c>
      <c r="D221" s="222" t="s">
        <v>1100</v>
      </c>
      <c r="E221" s="125" t="s">
        <v>1102</v>
      </c>
      <c r="F221" s="230"/>
      <c r="G221" s="18" t="s">
        <v>1649</v>
      </c>
      <c r="H221" s="33" t="s">
        <v>1102</v>
      </c>
      <c r="I221" s="29"/>
      <c r="J221" s="27"/>
      <c r="K221" s="29"/>
      <c r="L221" s="29"/>
      <c r="M221" s="29"/>
      <c r="N221" s="29"/>
      <c r="O221" s="29"/>
      <c r="P221" s="29" t="s">
        <v>1103</v>
      </c>
      <c r="Q221" s="29"/>
      <c r="R221" s="29"/>
      <c r="S221" s="29"/>
      <c r="T221" s="29"/>
      <c r="U221" s="29"/>
      <c r="V221" s="29"/>
      <c r="W221" s="29"/>
      <c r="X221" s="29"/>
      <c r="Y221" s="29"/>
      <c r="Z221" s="29"/>
      <c r="AA221" s="29"/>
      <c r="AB221" s="29"/>
      <c r="AC221" s="29"/>
      <c r="AD221" s="29"/>
      <c r="AE221" s="29"/>
      <c r="AF221" s="29"/>
      <c r="AG221" s="46"/>
      <c r="AH221" s="46"/>
      <c r="AI221" s="29"/>
      <c r="AJ221" s="29"/>
    </row>
    <row r="222" spans="1:36" s="54" customFormat="1" ht="15.75" customHeight="1" x14ac:dyDescent="0.2">
      <c r="A222" s="15" t="s">
        <v>1653</v>
      </c>
      <c r="B222" s="24" t="s">
        <v>184</v>
      </c>
      <c r="C222" s="47" t="s">
        <v>2179</v>
      </c>
      <c r="D222" s="222" t="s">
        <v>1896</v>
      </c>
      <c r="E222" s="125" t="s">
        <v>1112</v>
      </c>
      <c r="F222" s="230"/>
      <c r="G222" s="18" t="s">
        <v>1652</v>
      </c>
      <c r="H222" s="33" t="s">
        <v>1112</v>
      </c>
      <c r="I222" s="29"/>
      <c r="J222" s="27" t="s">
        <v>1113</v>
      </c>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53"/>
      <c r="AH222" s="53"/>
      <c r="AI222" s="53"/>
      <c r="AJ222" s="53"/>
    </row>
    <row r="223" spans="1:36" ht="15.75" customHeight="1" x14ac:dyDescent="0.25">
      <c r="A223" s="15" t="s">
        <v>1676</v>
      </c>
      <c r="B223" s="24" t="s">
        <v>184</v>
      </c>
      <c r="C223" s="47" t="s">
        <v>2179</v>
      </c>
      <c r="D223" s="222" t="s">
        <v>1896</v>
      </c>
      <c r="E223" s="125" t="s">
        <v>1116</v>
      </c>
      <c r="F223" s="230"/>
      <c r="G223" s="18" t="s">
        <v>1674</v>
      </c>
      <c r="H223" s="33" t="s">
        <v>1116</v>
      </c>
      <c r="I223" s="39" t="s">
        <v>1118</v>
      </c>
      <c r="J223" s="27" t="s">
        <v>1117</v>
      </c>
      <c r="K223" s="29"/>
      <c r="L223" s="39" t="s">
        <v>2074</v>
      </c>
      <c r="M223" s="39"/>
      <c r="N223" s="29"/>
      <c r="O223" s="29" t="s">
        <v>1533</v>
      </c>
      <c r="P223" s="29"/>
      <c r="Q223" s="29"/>
      <c r="R223" s="29"/>
      <c r="S223" s="29"/>
      <c r="T223" s="29"/>
      <c r="U223" s="29"/>
      <c r="V223" s="29"/>
      <c r="W223" s="29"/>
      <c r="X223" s="29"/>
      <c r="Y223" s="29"/>
      <c r="Z223" s="29"/>
      <c r="AA223" s="29"/>
      <c r="AB223" s="29"/>
      <c r="AC223" s="29"/>
      <c r="AD223" s="29"/>
      <c r="AE223" s="29"/>
      <c r="AF223" s="29"/>
      <c r="AG223" s="46"/>
      <c r="AH223" s="46"/>
      <c r="AI223" s="46"/>
      <c r="AJ223" s="46"/>
    </row>
    <row r="224" spans="1:36" ht="15.75" customHeight="1" x14ac:dyDescent="0.25">
      <c r="A224" s="15" t="s">
        <v>1677</v>
      </c>
      <c r="B224" s="24" t="s">
        <v>184</v>
      </c>
      <c r="C224" s="47" t="s">
        <v>2179</v>
      </c>
      <c r="D224" s="222" t="s">
        <v>1896</v>
      </c>
      <c r="E224" s="125" t="s">
        <v>1122</v>
      </c>
      <c r="F224" s="230"/>
      <c r="G224" s="18" t="s">
        <v>1675</v>
      </c>
      <c r="H224" s="55" t="s">
        <v>1122</v>
      </c>
      <c r="I224" s="23"/>
      <c r="J224" s="82" t="s">
        <v>1584</v>
      </c>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46"/>
      <c r="AH224" s="46"/>
      <c r="AI224" s="46"/>
      <c r="AJ224" s="46"/>
    </row>
    <row r="225" spans="1:36" ht="15.75" customHeight="1" x14ac:dyDescent="0.25">
      <c r="A225" s="15" t="s">
        <v>1910</v>
      </c>
      <c r="B225" s="57"/>
      <c r="C225" s="57"/>
      <c r="D225" s="222"/>
      <c r="E225" s="125" t="s">
        <v>1581</v>
      </c>
      <c r="F225" s="230"/>
      <c r="G225" s="18" t="s">
        <v>1912</v>
      </c>
      <c r="H225" s="55" t="s">
        <v>1581</v>
      </c>
      <c r="I225" s="23" t="s">
        <v>1426</v>
      </c>
      <c r="J225" s="56"/>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46"/>
      <c r="AH225" s="46"/>
      <c r="AI225" s="46"/>
      <c r="AJ225" s="46"/>
    </row>
    <row r="226" spans="1:36" ht="15.75" customHeight="1" x14ac:dyDescent="0.25">
      <c r="A226" s="15" t="s">
        <v>1911</v>
      </c>
      <c r="B226" s="57"/>
      <c r="C226" s="57"/>
      <c r="D226" s="222"/>
      <c r="E226" s="125" t="s">
        <v>1579</v>
      </c>
      <c r="F226" s="230"/>
      <c r="G226" s="18" t="s">
        <v>1913</v>
      </c>
      <c r="H226" s="55" t="s">
        <v>1579</v>
      </c>
      <c r="I226" s="23" t="s">
        <v>1424</v>
      </c>
      <c r="J226" s="56"/>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46"/>
      <c r="AH226" s="46"/>
      <c r="AI226" s="46"/>
      <c r="AJ226" s="46"/>
    </row>
    <row r="227" spans="1:36" ht="15.75" customHeight="1" x14ac:dyDescent="0.25">
      <c r="A227" s="15" t="s">
        <v>1959</v>
      </c>
      <c r="B227" s="205" t="s">
        <v>1125</v>
      </c>
      <c r="C227" s="57" t="s">
        <v>294</v>
      </c>
      <c r="D227" s="222"/>
      <c r="E227" s="125" t="s">
        <v>1580</v>
      </c>
      <c r="F227" s="230"/>
      <c r="G227" s="18" t="s">
        <v>1960</v>
      </c>
      <c r="H227" s="55" t="s">
        <v>1580</v>
      </c>
      <c r="I227" s="23" t="s">
        <v>1428</v>
      </c>
      <c r="J227" s="56"/>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46"/>
      <c r="AH227" s="46"/>
      <c r="AI227" s="46"/>
      <c r="AJ227" s="46"/>
    </row>
    <row r="228" spans="1:36" ht="15.75" customHeight="1" x14ac:dyDescent="0.25">
      <c r="A228" s="15" t="s">
        <v>2117</v>
      </c>
      <c r="B228" s="24" t="s">
        <v>1128</v>
      </c>
      <c r="C228" s="24" t="s">
        <v>28</v>
      </c>
      <c r="D228" s="222"/>
      <c r="E228" s="125" t="s">
        <v>1130</v>
      </c>
      <c r="F228" s="230"/>
      <c r="G228" s="18" t="s">
        <v>2120</v>
      </c>
      <c r="H228" s="33" t="s">
        <v>1130</v>
      </c>
      <c r="I228" s="29"/>
      <c r="J228" s="27" t="s">
        <v>1131</v>
      </c>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46"/>
      <c r="AH228" s="46"/>
      <c r="AI228" s="46"/>
      <c r="AJ228" s="46"/>
    </row>
    <row r="229" spans="1:36" ht="15.75" customHeight="1" x14ac:dyDescent="0.25">
      <c r="A229" s="15" t="s">
        <v>2054</v>
      </c>
      <c r="B229" s="24" t="s">
        <v>1926</v>
      </c>
      <c r="C229" s="24" t="s">
        <v>1928</v>
      </c>
      <c r="D229" s="222" t="s">
        <v>1895</v>
      </c>
      <c r="E229" s="125" t="s">
        <v>1136</v>
      </c>
      <c r="F229" s="230"/>
      <c r="G229" s="18" t="s">
        <v>2057</v>
      </c>
      <c r="H229" s="33" t="s">
        <v>1136</v>
      </c>
      <c r="I229" s="29" t="s">
        <v>1926</v>
      </c>
      <c r="J229" s="50"/>
      <c r="K229" s="29"/>
      <c r="L229" s="39" t="s">
        <v>1133</v>
      </c>
      <c r="M229" s="39"/>
      <c r="N229" s="29"/>
      <c r="O229" s="29"/>
      <c r="P229" s="29"/>
      <c r="Q229" s="29"/>
      <c r="R229" s="29"/>
      <c r="S229" s="29"/>
      <c r="T229" s="29"/>
      <c r="U229" s="29"/>
      <c r="V229" s="29"/>
      <c r="W229" s="29"/>
      <c r="X229" s="29"/>
      <c r="Y229" s="29"/>
      <c r="Z229" s="29"/>
      <c r="AA229" s="29"/>
      <c r="AB229" s="29"/>
      <c r="AC229" s="29"/>
      <c r="AD229" s="29"/>
      <c r="AE229" s="29"/>
      <c r="AF229" s="29"/>
      <c r="AG229" s="46"/>
      <c r="AH229" s="46"/>
      <c r="AI229" s="46"/>
      <c r="AJ229" s="46"/>
    </row>
    <row r="230" spans="1:36" ht="15.75" customHeight="1" x14ac:dyDescent="0.25">
      <c r="A230" s="15" t="s">
        <v>2055</v>
      </c>
      <c r="B230" s="24">
        <v>9157445</v>
      </c>
      <c r="C230" s="47" t="s">
        <v>2131</v>
      </c>
      <c r="D230" s="222" t="s">
        <v>1138</v>
      </c>
      <c r="E230" s="125" t="s">
        <v>1148</v>
      </c>
      <c r="F230" s="230"/>
      <c r="G230" s="18" t="s">
        <v>2058</v>
      </c>
      <c r="H230" s="33" t="s">
        <v>1148</v>
      </c>
      <c r="I230" s="27" t="s">
        <v>1150</v>
      </c>
      <c r="J230" s="27" t="s">
        <v>1150</v>
      </c>
      <c r="K230" s="29"/>
      <c r="L230" s="39" t="s">
        <v>2109</v>
      </c>
      <c r="M230" s="39"/>
      <c r="N230" s="29"/>
      <c r="O230" s="29" t="s">
        <v>1151</v>
      </c>
      <c r="P230" s="29"/>
      <c r="Q230" s="29"/>
      <c r="R230" s="29"/>
      <c r="S230" s="29"/>
      <c r="T230" s="29"/>
      <c r="U230" s="29"/>
      <c r="V230" s="29"/>
      <c r="W230" s="29"/>
      <c r="X230" s="29"/>
      <c r="Y230" s="29"/>
      <c r="Z230" s="29"/>
      <c r="AA230" s="29"/>
      <c r="AB230" s="29"/>
      <c r="AC230" s="29"/>
      <c r="AD230" s="29"/>
      <c r="AE230" s="29"/>
      <c r="AF230" s="29"/>
      <c r="AG230" s="46"/>
      <c r="AH230" s="46"/>
      <c r="AI230" s="46"/>
      <c r="AJ230" s="46"/>
    </row>
    <row r="231" spans="1:36" ht="15.75" customHeight="1" x14ac:dyDescent="0.25">
      <c r="A231" s="15" t="s">
        <v>2118</v>
      </c>
      <c r="B231" s="24">
        <v>9157438</v>
      </c>
      <c r="C231" s="24" t="s">
        <v>2106</v>
      </c>
      <c r="D231" s="222" t="s">
        <v>1138</v>
      </c>
      <c r="E231" s="125" t="s">
        <v>1153</v>
      </c>
      <c r="F231" s="230" t="s">
        <v>2107</v>
      </c>
      <c r="G231" s="18" t="s">
        <v>2121</v>
      </c>
      <c r="H231" s="33" t="s">
        <v>2108</v>
      </c>
      <c r="I231" s="27"/>
      <c r="J231" s="27" t="s">
        <v>1969</v>
      </c>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46"/>
      <c r="AH231" s="46"/>
      <c r="AI231" s="46"/>
      <c r="AJ231" s="46"/>
    </row>
    <row r="232" spans="1:36" ht="15.75" customHeight="1" x14ac:dyDescent="0.25">
      <c r="A232" s="15" t="s">
        <v>2119</v>
      </c>
      <c r="B232" s="24">
        <v>9161929</v>
      </c>
      <c r="C232" s="30" t="s">
        <v>2132</v>
      </c>
      <c r="D232" s="238" t="s">
        <v>1138</v>
      </c>
      <c r="E232" s="125" t="s">
        <v>2110</v>
      </c>
      <c r="F232" s="230"/>
      <c r="G232" s="18" t="s">
        <v>2122</v>
      </c>
      <c r="H232" s="33" t="s">
        <v>1551</v>
      </c>
      <c r="I232" s="39" t="s">
        <v>1962</v>
      </c>
      <c r="J232" s="50" t="s">
        <v>1962</v>
      </c>
      <c r="K232" s="29"/>
      <c r="L232" s="39"/>
      <c r="M232" s="39"/>
      <c r="N232" s="29"/>
      <c r="O232" s="29"/>
      <c r="P232" s="29"/>
      <c r="Q232" s="29"/>
      <c r="R232" s="29"/>
      <c r="S232" s="29"/>
      <c r="T232" s="29"/>
      <c r="U232" s="29"/>
      <c r="V232" s="29"/>
      <c r="W232" s="29"/>
      <c r="X232" s="29"/>
      <c r="Y232" s="29"/>
      <c r="Z232" s="29"/>
      <c r="AA232" s="29"/>
      <c r="AB232" s="29"/>
      <c r="AC232" s="29"/>
      <c r="AD232" s="29"/>
      <c r="AE232" s="29"/>
      <c r="AF232" s="39" t="s">
        <v>1140</v>
      </c>
      <c r="AG232" s="46"/>
      <c r="AH232" s="46"/>
      <c r="AI232" s="39" t="s">
        <v>1141</v>
      </c>
      <c r="AJ232" s="39"/>
    </row>
    <row r="233" spans="1:36" ht="15.75" customHeight="1" x14ac:dyDescent="0.25">
      <c r="A233" s="15" t="s">
        <v>2155</v>
      </c>
      <c r="B233" s="24" t="s">
        <v>1143</v>
      </c>
      <c r="C233" s="24"/>
      <c r="D233" s="222" t="s">
        <v>2181</v>
      </c>
      <c r="E233" s="125" t="s">
        <v>187</v>
      </c>
      <c r="F233" s="230"/>
      <c r="G233" s="18" t="s">
        <v>2154</v>
      </c>
      <c r="H233" s="33" t="s">
        <v>187</v>
      </c>
      <c r="I233" s="31" t="s">
        <v>1145</v>
      </c>
      <c r="J233" s="27"/>
      <c r="K233" s="29"/>
      <c r="L233" s="39" t="s">
        <v>1146</v>
      </c>
      <c r="M233" s="39"/>
      <c r="N233" s="29"/>
      <c r="O233" s="29"/>
      <c r="P233" s="29" t="s">
        <v>1549</v>
      </c>
      <c r="Q233" s="29"/>
      <c r="R233" s="29"/>
      <c r="S233" s="29"/>
      <c r="T233" s="29"/>
      <c r="U233" s="29"/>
      <c r="V233" s="29"/>
      <c r="W233" s="29"/>
      <c r="X233" s="29"/>
      <c r="Y233" s="29"/>
      <c r="Z233" s="29"/>
      <c r="AA233" s="29"/>
      <c r="AB233" s="29"/>
      <c r="AC233" s="29"/>
      <c r="AD233" s="29"/>
      <c r="AE233" s="29"/>
      <c r="AF233" s="29"/>
      <c r="AG233" s="46"/>
      <c r="AH233" s="46"/>
      <c r="AI233" s="46"/>
      <c r="AJ233" s="46"/>
    </row>
    <row r="234" spans="1:36" ht="15.75" customHeight="1" x14ac:dyDescent="0.25">
      <c r="F234" s="7"/>
    </row>
    <row r="235" spans="1:36" ht="15.75" customHeight="1" x14ac:dyDescent="0.25">
      <c r="F235" s="7"/>
    </row>
    <row r="236" spans="1:36" ht="15.75" customHeight="1" x14ac:dyDescent="0.25">
      <c r="F236" s="7"/>
    </row>
    <row r="237" spans="1:36" ht="15.75" customHeight="1" x14ac:dyDescent="0.25">
      <c r="F237" s="7"/>
    </row>
    <row r="238" spans="1:36" ht="15.75" customHeight="1" x14ac:dyDescent="0.25">
      <c r="F238" s="7"/>
    </row>
    <row r="239" spans="1:36" ht="15.75" customHeight="1" x14ac:dyDescent="0.25">
      <c r="F239" s="7"/>
    </row>
    <row r="240" spans="1:36" ht="15.75" customHeight="1" x14ac:dyDescent="0.25">
      <c r="F240" s="7"/>
    </row>
    <row r="241" spans="6:6" ht="15.75" customHeight="1" x14ac:dyDescent="0.25">
      <c r="F241" s="7"/>
    </row>
    <row r="242" spans="6:6" ht="15.75" customHeight="1" x14ac:dyDescent="0.25">
      <c r="F242" s="7"/>
    </row>
    <row r="243" spans="6:6" ht="15.75" customHeight="1" x14ac:dyDescent="0.25">
      <c r="F243" s="7"/>
    </row>
    <row r="244" spans="6:6" ht="15.75" customHeight="1" x14ac:dyDescent="0.25">
      <c r="F244" s="7"/>
    </row>
    <row r="245" spans="6:6" ht="15.75" customHeight="1" x14ac:dyDescent="0.25">
      <c r="F245" s="7"/>
    </row>
    <row r="246" spans="6:6" ht="15.75" customHeight="1" x14ac:dyDescent="0.25">
      <c r="F246" s="7"/>
    </row>
    <row r="247" spans="6:6" ht="15.75" customHeight="1" x14ac:dyDescent="0.25">
      <c r="F247" s="7"/>
    </row>
    <row r="248" spans="6:6" ht="15.75" customHeight="1" x14ac:dyDescent="0.25">
      <c r="F248" s="7"/>
    </row>
    <row r="249" spans="6:6" ht="15.75" customHeight="1" x14ac:dyDescent="0.25">
      <c r="F249" s="7"/>
    </row>
    <row r="250" spans="6:6" ht="15.75" customHeight="1" x14ac:dyDescent="0.25">
      <c r="F250" s="7"/>
    </row>
    <row r="251" spans="6:6" ht="15.75" customHeight="1" x14ac:dyDescent="0.25">
      <c r="F251" s="7"/>
    </row>
    <row r="252" spans="6:6" ht="15.75" customHeight="1" x14ac:dyDescent="0.25">
      <c r="F252" s="7"/>
    </row>
    <row r="253" spans="6:6" ht="15.75" customHeight="1" x14ac:dyDescent="0.25">
      <c r="F253" s="7"/>
    </row>
    <row r="254" spans="6:6" ht="15.75" customHeight="1" x14ac:dyDescent="0.25">
      <c r="F254" s="7"/>
    </row>
    <row r="255" spans="6:6" ht="15.75" customHeight="1" x14ac:dyDescent="0.25">
      <c r="F255" s="7"/>
    </row>
    <row r="256" spans="6:6" ht="15.75" customHeight="1" x14ac:dyDescent="0.25">
      <c r="F256" s="7"/>
    </row>
    <row r="257" spans="6:6" ht="15.75" customHeight="1" x14ac:dyDescent="0.25">
      <c r="F257" s="7"/>
    </row>
    <row r="258" spans="6:6" ht="15.75" customHeight="1" x14ac:dyDescent="0.25">
      <c r="F258" s="7"/>
    </row>
    <row r="259" spans="6:6" ht="15.75" customHeight="1" x14ac:dyDescent="0.25">
      <c r="F259" s="7"/>
    </row>
    <row r="260" spans="6:6" ht="15.75" customHeight="1" x14ac:dyDescent="0.25">
      <c r="F260" s="7"/>
    </row>
    <row r="261" spans="6:6" ht="15.75" customHeight="1" x14ac:dyDescent="0.25">
      <c r="F261" s="7"/>
    </row>
    <row r="262" spans="6:6" ht="15.75" customHeight="1" x14ac:dyDescent="0.25">
      <c r="F262" s="7"/>
    </row>
    <row r="263" spans="6:6" ht="15.75" customHeight="1" x14ac:dyDescent="0.25">
      <c r="F263" s="7"/>
    </row>
    <row r="264" spans="6:6" ht="15.75" customHeight="1" x14ac:dyDescent="0.25">
      <c r="F264" s="7"/>
    </row>
    <row r="265" spans="6:6" ht="15.75" customHeight="1" x14ac:dyDescent="0.25">
      <c r="F265" s="7"/>
    </row>
    <row r="266" spans="6:6" ht="15.75" customHeight="1" x14ac:dyDescent="0.25">
      <c r="F266" s="7"/>
    </row>
    <row r="267" spans="6:6" ht="15.75" customHeight="1" x14ac:dyDescent="0.25">
      <c r="F267" s="7"/>
    </row>
    <row r="268" spans="6:6" ht="15.75" customHeight="1" x14ac:dyDescent="0.25">
      <c r="F268" s="7"/>
    </row>
    <row r="269" spans="6:6" ht="15.75" customHeight="1" x14ac:dyDescent="0.25">
      <c r="F269" s="7"/>
    </row>
    <row r="270" spans="6:6" ht="15.75" customHeight="1" x14ac:dyDescent="0.25">
      <c r="F270" s="7"/>
    </row>
    <row r="271" spans="6:6" ht="15.75" customHeight="1" x14ac:dyDescent="0.25">
      <c r="F271" s="7"/>
    </row>
    <row r="272" spans="6:6" ht="15.75" customHeight="1" x14ac:dyDescent="0.25">
      <c r="F272" s="7"/>
    </row>
  </sheetData>
  <sortState xmlns:xlrd2="http://schemas.microsoft.com/office/spreadsheetml/2017/richdata2" ref="A2:AMK57214">
    <sortCondition ref="H2:H57214"/>
  </sortState>
  <customSheetViews>
    <customSheetView guid="{EF60762C-634B-4E37-9575-37987277FB5D}" scale="84">
      <pane xSplit="1" ySplit="1" topLeftCell="B83" activePane="bottomRight" state="frozen"/>
      <selection pane="bottomRight" activeCell="C95" sqref="C95"/>
      <pageMargins left="0.43333333333333302" right="0.23611111111111099" top="0.78749999999999998" bottom="0.78749999999999998" header="0.51180555555555496" footer="0.51180555555555496"/>
      <printOptions gridLines="1"/>
      <pageSetup paperSize="8" firstPageNumber="0" orientation="landscape" horizontalDpi="300" verticalDpi="300" r:id="rId1"/>
    </customSheetView>
    <customSheetView guid="{BCD1B658-489F-4064-A696-D5FA21A794F2}" scale="84">
      <pane xSplit="1" ySplit="1" topLeftCell="B155" activePane="bottomRight" state="frozen"/>
      <selection pane="bottomRight" activeCell="C45" sqref="C45"/>
      <pageMargins left="0.43333333333333302" right="0.23611111111111099" top="0.78749999999999998" bottom="0.78749999999999998" header="0.51180555555555496" footer="0.51180555555555496"/>
      <printOptions gridLines="1"/>
      <pageSetup paperSize="8" firstPageNumber="0" orientation="landscape" horizontalDpi="300" verticalDpi="300" r:id="rId2"/>
    </customSheetView>
    <customSheetView guid="{B17FADA9-6408-445B-BA12-02AB62834AE3}" scale="105" showPageBreaks="1">
      <pane xSplit="1" ySplit="1" topLeftCell="B49" activePane="bottomRight" state="frozen"/>
      <selection pane="bottomRight" activeCell="B59" sqref="B59"/>
      <pageMargins left="0.43333333333333302" right="0.23611111111111099" top="0.78749999999999998" bottom="0.78749999999999998" header="0.51180555555555496" footer="0.51180555555555496"/>
      <printOptions gridLines="1"/>
      <pageSetup paperSize="8" firstPageNumber="0" orientation="landscape" horizontalDpi="300" verticalDpi="300" r:id="rId3"/>
    </customSheetView>
    <customSheetView guid="{3306A449-89C6-46B4-ABF7-658F003FF274}" scale="84">
      <pane xSplit="7" ySplit="1" topLeftCell="H101" activePane="bottomRight" state="frozen"/>
      <selection pane="bottomRight" activeCell="F129" sqref="F129"/>
      <pageMargins left="0.43333333333333302" right="0.23611111111111099" top="0.78749999999999998" bottom="0.78749999999999998" header="0.51180555555555496" footer="0.51180555555555496"/>
      <printOptions gridLines="1"/>
      <pageSetup paperSize="8" firstPageNumber="0" orientation="landscape" horizontalDpi="300" verticalDpi="300" r:id="rId4"/>
    </customSheetView>
  </customSheetViews>
  <phoneticPr fontId="55" type="noConversion"/>
  <hyperlinks>
    <hyperlink ref="B29" r:id="rId5" xr:uid="{00000000-0004-0000-0300-000000000000}"/>
    <hyperlink ref="B51" r:id="rId6" xr:uid="{00000000-0004-0000-0300-000001000000}"/>
    <hyperlink ref="D51" r:id="rId7" xr:uid="{00000000-0004-0000-0300-000002000000}"/>
    <hyperlink ref="B9" r:id="rId8" xr:uid="{00000000-0004-0000-0300-000003000000}"/>
    <hyperlink ref="D117" r:id="rId9" xr:uid="{00000000-0004-0000-0300-000004000000}"/>
    <hyperlink ref="D87" r:id="rId10" xr:uid="{00000000-0004-0000-0300-000005000000}"/>
    <hyperlink ref="D131" r:id="rId11" xr:uid="{00000000-0004-0000-0300-000006000000}"/>
    <hyperlink ref="D12" r:id="rId12" location="!/aig" xr:uid="{BC830FFE-2AFE-40E6-9C7A-DE04AB337DFD}"/>
    <hyperlink ref="B18" r:id="rId13" xr:uid="{DE8EBD75-BE41-40DF-BEFD-0E4D62FCC73C}"/>
    <hyperlink ref="B40" r:id="rId14" xr:uid="{E49EABA1-F33E-4386-BA03-AD105CF1C4BA}"/>
    <hyperlink ref="B41" r:id="rId15" xr:uid="{AE905C3F-4C61-4D24-808D-F6D6CA971276}"/>
    <hyperlink ref="D232" r:id="rId16" xr:uid="{C15A784D-E8E4-48FE-96F6-2E471B3A3733}"/>
    <hyperlink ref="B165" r:id="rId17" xr:uid="{C29430B3-9AE0-413B-BD76-DD424DA759CC}"/>
    <hyperlink ref="D165" r:id="rId18" xr:uid="{0EF42622-CF9A-4EEC-9C68-C1760C503E26}"/>
    <hyperlink ref="D166" r:id="rId19" xr:uid="{CA349074-66B0-4446-9E52-DFBE9CC5464C}"/>
    <hyperlink ref="B166" r:id="rId20" xr:uid="{8E8CB1F7-90E0-459D-A0F7-8C7280FF23B4}"/>
    <hyperlink ref="D44" r:id="rId21" xr:uid="{35FC877A-152E-44E1-BBB8-CE4AFBD6DB63}"/>
    <hyperlink ref="B160" r:id="rId22" xr:uid="{3EE345EA-F424-469A-AF8D-131CB05E0C4B}"/>
    <hyperlink ref="D160" r:id="rId23" xr:uid="{B262E4F4-92D9-4CF5-8E4E-C4B662F706DD}"/>
    <hyperlink ref="D48" r:id="rId24" xr:uid="{9B92028F-FE5C-496E-B1FF-92AEE1C8F6CA}"/>
    <hyperlink ref="B19" r:id="rId25" xr:uid="{D47D9577-59EC-48AE-9B57-054319AF28F1}"/>
    <hyperlink ref="B20" r:id="rId26" xr:uid="{3C42247E-50F2-4431-A049-4760897535DB}"/>
    <hyperlink ref="D190" r:id="rId27" xr:uid="{957A3B99-F8A9-4D70-84E7-B982135E85F7}"/>
  </hyperlinks>
  <printOptions gridLines="1"/>
  <pageMargins left="0.43333333333333302" right="0.23611111111111099" top="0.78749999999999998" bottom="0.78749999999999998" header="0.51180555555555496" footer="0.51180555555555496"/>
  <pageSetup paperSize="8" firstPageNumber="0" orientation="landscape" horizontalDpi="300" verticalDpi="300" r:id="rId28"/>
  <drawing r:id="rId29"/>
  <legacyDrawing r:id="rId3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AMK39"/>
  <sheetViews>
    <sheetView zoomScaleNormal="100" workbookViewId="0">
      <pane xSplit="2" ySplit="2" topLeftCell="H3" activePane="bottomRight" state="frozen"/>
      <selection pane="topRight" activeCell="C1" sqref="C1"/>
      <selection pane="bottomLeft" activeCell="A3" sqref="A3"/>
      <selection pane="bottomRight" activeCell="B25" sqref="B25"/>
    </sheetView>
  </sheetViews>
  <sheetFormatPr baseColWidth="10" defaultColWidth="8.5703125" defaultRowHeight="15" x14ac:dyDescent="0.25"/>
  <cols>
    <col min="1" max="1" width="20.42578125" style="49" customWidth="1"/>
    <col min="2" max="2" width="34.42578125" style="49" customWidth="1"/>
    <col min="3" max="3" width="11.5703125" style="49" customWidth="1"/>
    <col min="4" max="4" width="6.42578125" style="49" customWidth="1"/>
    <col min="5" max="5" width="10.42578125" style="49" customWidth="1"/>
    <col min="6" max="6" width="8.5703125" style="49" customWidth="1"/>
    <col min="7" max="7" width="13.42578125" style="49" customWidth="1"/>
    <col min="8" max="8" width="6.42578125" style="49" customWidth="1"/>
    <col min="9" max="9" width="9.5703125" style="49" customWidth="1"/>
    <col min="10" max="11" width="11.42578125" style="49"/>
    <col min="12" max="12" width="8.42578125" style="49" customWidth="1"/>
    <col min="13" max="13" width="27" style="49" customWidth="1"/>
    <col min="14" max="14" width="12.42578125" style="49" customWidth="1"/>
    <col min="15" max="15" width="22.42578125" style="49" customWidth="1"/>
    <col min="16" max="16" width="13" style="49" customWidth="1"/>
    <col min="17" max="1025" width="11.42578125" style="49"/>
  </cols>
  <sheetData>
    <row r="1" spans="1:16" ht="18" customHeight="1" x14ac:dyDescent="0.25">
      <c r="A1" s="275" t="s">
        <v>1155</v>
      </c>
      <c r="B1" s="275"/>
      <c r="C1" s="276" t="s">
        <v>1156</v>
      </c>
      <c r="D1" s="276"/>
      <c r="E1" s="276"/>
      <c r="F1" s="276"/>
      <c r="G1" s="276"/>
      <c r="H1" s="276"/>
      <c r="I1" s="276"/>
      <c r="J1" s="276"/>
      <c r="K1" s="276"/>
      <c r="L1" s="276"/>
      <c r="M1" s="276"/>
      <c r="N1" s="276"/>
      <c r="O1" s="276"/>
      <c r="P1" s="276"/>
    </row>
    <row r="2" spans="1:16" ht="18" customHeight="1" x14ac:dyDescent="0.25">
      <c r="A2" s="275"/>
      <c r="B2" s="275"/>
      <c r="C2" s="58" t="s">
        <v>64</v>
      </c>
      <c r="D2" s="58" t="s">
        <v>68</v>
      </c>
      <c r="E2" s="58" t="s">
        <v>54</v>
      </c>
      <c r="F2" s="58" t="s">
        <v>865</v>
      </c>
      <c r="G2" s="58" t="s">
        <v>87</v>
      </c>
      <c r="H2" s="58" t="s">
        <v>197</v>
      </c>
      <c r="I2" s="58" t="s">
        <v>89</v>
      </c>
      <c r="J2" s="58" t="s">
        <v>200</v>
      </c>
      <c r="K2" s="58" t="s">
        <v>91</v>
      </c>
      <c r="L2" s="58" t="s">
        <v>199</v>
      </c>
      <c r="M2" s="58" t="s">
        <v>1157</v>
      </c>
      <c r="N2" s="58" t="s">
        <v>1158</v>
      </c>
      <c r="O2" s="58" t="s">
        <v>1159</v>
      </c>
      <c r="P2" s="58" t="s">
        <v>1160</v>
      </c>
    </row>
    <row r="3" spans="1:16" ht="18" customHeight="1" x14ac:dyDescent="0.25">
      <c r="A3" s="59" t="s">
        <v>316</v>
      </c>
      <c r="B3" s="60" t="s">
        <v>1522</v>
      </c>
      <c r="C3" s="61"/>
      <c r="D3" s="61"/>
      <c r="E3" s="61"/>
      <c r="F3" s="61"/>
      <c r="G3" s="61">
        <v>1048001764</v>
      </c>
      <c r="H3" s="61"/>
      <c r="I3" s="61"/>
      <c r="J3" s="61"/>
      <c r="K3" s="61"/>
      <c r="L3" s="61"/>
      <c r="M3" s="61" t="s">
        <v>1161</v>
      </c>
      <c r="N3" s="61">
        <v>130040363</v>
      </c>
      <c r="O3" s="61" t="s">
        <v>346</v>
      </c>
      <c r="P3" s="61">
        <v>5707000805</v>
      </c>
    </row>
    <row r="4" spans="1:16" ht="18" customHeight="1" x14ac:dyDescent="0.25">
      <c r="A4" s="59" t="s">
        <v>1162</v>
      </c>
      <c r="B4" s="59" t="s">
        <v>1522</v>
      </c>
      <c r="C4" s="61"/>
      <c r="D4" s="61"/>
      <c r="E4" s="61"/>
      <c r="F4" s="61"/>
      <c r="G4" s="61">
        <v>1048001783</v>
      </c>
      <c r="H4" s="61"/>
      <c r="I4" s="61"/>
      <c r="J4" s="61"/>
      <c r="K4" s="61"/>
      <c r="L4" s="61"/>
      <c r="M4" s="61"/>
      <c r="N4" s="62"/>
      <c r="O4" s="62"/>
      <c r="P4" s="62"/>
    </row>
    <row r="5" spans="1:16" ht="18" customHeight="1" x14ac:dyDescent="0.25">
      <c r="A5" s="59" t="s">
        <v>345</v>
      </c>
      <c r="B5" s="60" t="s">
        <v>1522</v>
      </c>
      <c r="C5" s="61"/>
      <c r="D5" s="61"/>
      <c r="E5" s="61"/>
      <c r="F5" s="61"/>
      <c r="G5" s="61"/>
      <c r="H5" s="61"/>
      <c r="I5" s="61"/>
      <c r="J5" s="61"/>
      <c r="K5" s="61"/>
      <c r="L5" s="61"/>
      <c r="M5" s="61"/>
      <c r="N5" s="62"/>
      <c r="O5" s="62"/>
      <c r="P5" s="62"/>
    </row>
    <row r="6" spans="1:16" ht="18" customHeight="1" x14ac:dyDescent="0.25">
      <c r="A6" s="59" t="s">
        <v>1163</v>
      </c>
      <c r="B6" s="60" t="s">
        <v>1522</v>
      </c>
      <c r="C6" s="61"/>
      <c r="D6" s="61"/>
      <c r="E6" s="61"/>
      <c r="F6" s="61"/>
      <c r="G6" s="61"/>
      <c r="H6" s="61"/>
      <c r="I6" s="61"/>
      <c r="J6" s="61"/>
      <c r="K6" s="61"/>
      <c r="L6" s="61"/>
      <c r="M6" s="61"/>
      <c r="N6" s="62"/>
      <c r="O6" s="62"/>
      <c r="P6" s="62"/>
    </row>
    <row r="7" spans="1:16" ht="18" customHeight="1" x14ac:dyDescent="0.25">
      <c r="A7" s="59" t="s">
        <v>232</v>
      </c>
      <c r="B7" s="63" t="s">
        <v>1164</v>
      </c>
      <c r="C7" s="61"/>
      <c r="D7" s="61"/>
      <c r="E7" s="61"/>
      <c r="F7" s="61"/>
      <c r="G7" s="61"/>
      <c r="H7" s="61"/>
      <c r="I7" s="61"/>
      <c r="J7" s="61"/>
      <c r="K7" s="61"/>
      <c r="L7" s="61"/>
      <c r="M7" s="61" t="s">
        <v>234</v>
      </c>
      <c r="N7" s="62"/>
      <c r="O7" s="62"/>
      <c r="P7" s="62"/>
    </row>
    <row r="8" spans="1:16" ht="18" customHeight="1" x14ac:dyDescent="0.25">
      <c r="A8" s="59" t="s">
        <v>242</v>
      </c>
      <c r="B8" s="60" t="s">
        <v>1165</v>
      </c>
      <c r="C8" s="61"/>
      <c r="D8" s="61"/>
      <c r="E8" s="61"/>
      <c r="F8" s="61"/>
      <c r="G8" s="61"/>
      <c r="H8" s="61"/>
      <c r="I8" s="61"/>
      <c r="J8" s="61"/>
      <c r="K8" s="61"/>
      <c r="L8" s="61"/>
      <c r="M8" s="61"/>
      <c r="N8" s="62"/>
      <c r="O8" s="61" t="s">
        <v>1166</v>
      </c>
      <c r="P8" s="62"/>
    </row>
    <row r="9" spans="1:16" ht="18" customHeight="1" x14ac:dyDescent="0.25">
      <c r="A9" s="59" t="s">
        <v>248</v>
      </c>
      <c r="B9" s="63" t="s">
        <v>1167</v>
      </c>
      <c r="C9" s="62"/>
      <c r="D9" s="62"/>
      <c r="E9" s="62"/>
      <c r="F9" s="62"/>
      <c r="G9" s="62"/>
      <c r="H9" s="62"/>
      <c r="I9" s="62"/>
      <c r="J9" s="62"/>
      <c r="K9" s="62"/>
      <c r="L9" s="62"/>
      <c r="M9" s="62"/>
      <c r="N9" s="62"/>
      <c r="O9" s="62"/>
      <c r="P9" s="64" t="s">
        <v>1168</v>
      </c>
    </row>
    <row r="10" spans="1:16" ht="18" customHeight="1" x14ac:dyDescent="0.25">
      <c r="A10" s="59" t="s">
        <v>1169</v>
      </c>
      <c r="B10" s="65" t="s">
        <v>1170</v>
      </c>
      <c r="C10" s="62"/>
      <c r="D10" s="62"/>
      <c r="E10" s="62"/>
      <c r="F10" s="62"/>
      <c r="G10" s="62"/>
      <c r="H10" s="62"/>
      <c r="I10" s="62"/>
      <c r="J10" s="62"/>
      <c r="K10" s="62"/>
      <c r="L10" s="62"/>
      <c r="M10" s="62"/>
      <c r="N10" s="62"/>
      <c r="O10" s="62"/>
      <c r="P10" s="64"/>
    </row>
    <row r="11" spans="1:16" ht="18" customHeight="1" x14ac:dyDescent="0.25">
      <c r="A11" s="59" t="s">
        <v>1171</v>
      </c>
      <c r="B11" s="65" t="s">
        <v>1170</v>
      </c>
      <c r="C11" s="62"/>
      <c r="D11" s="62"/>
      <c r="E11" s="62"/>
      <c r="F11" s="62"/>
      <c r="G11" s="62"/>
      <c r="H11" s="62"/>
      <c r="I11" s="62"/>
      <c r="J11" s="62"/>
      <c r="K11" s="62"/>
      <c r="L11" s="62"/>
      <c r="M11" s="62"/>
      <c r="N11" s="62"/>
      <c r="O11" s="62"/>
      <c r="P11" s="64"/>
    </row>
    <row r="12" spans="1:16" ht="18" customHeight="1" x14ac:dyDescent="0.25">
      <c r="A12" s="59" t="s">
        <v>1610</v>
      </c>
      <c r="B12" s="65" t="s">
        <v>1611</v>
      </c>
      <c r="C12" s="62"/>
      <c r="D12" s="62"/>
      <c r="E12" s="62"/>
      <c r="F12" s="62"/>
      <c r="G12" s="62"/>
      <c r="H12" s="62"/>
      <c r="I12" s="62"/>
      <c r="J12" s="62"/>
      <c r="K12" s="62"/>
      <c r="L12" s="62"/>
      <c r="M12" s="62"/>
      <c r="N12" s="62"/>
      <c r="O12" s="62"/>
      <c r="P12" s="64"/>
    </row>
    <row r="13" spans="1:16" ht="18" customHeight="1" x14ac:dyDescent="0.25">
      <c r="A13" s="59" t="s">
        <v>1568</v>
      </c>
      <c r="B13" s="65" t="s">
        <v>1569</v>
      </c>
      <c r="C13" s="62"/>
      <c r="D13" s="62"/>
      <c r="E13" s="62"/>
      <c r="F13" s="62"/>
      <c r="G13" s="62"/>
      <c r="H13" s="62"/>
      <c r="I13" s="62"/>
      <c r="J13" s="62"/>
      <c r="K13" s="62"/>
      <c r="L13" s="62"/>
      <c r="M13" s="62"/>
      <c r="N13" s="62"/>
      <c r="O13" s="62"/>
      <c r="P13" s="64"/>
    </row>
    <row r="14" spans="1:16" ht="18" customHeight="1" x14ac:dyDescent="0.25">
      <c r="A14" s="59" t="s">
        <v>1172</v>
      </c>
      <c r="B14" s="65" t="s">
        <v>1173</v>
      </c>
      <c r="C14" s="62"/>
      <c r="D14" s="62"/>
      <c r="E14" s="62"/>
      <c r="F14" s="62"/>
      <c r="G14" s="62"/>
      <c r="H14" s="62"/>
      <c r="I14" s="62"/>
      <c r="J14" s="62"/>
      <c r="K14" s="62"/>
      <c r="L14" s="62"/>
      <c r="M14" s="62"/>
      <c r="N14" s="62"/>
      <c r="O14" s="62"/>
      <c r="P14" s="64"/>
    </row>
    <row r="15" spans="1:16" ht="18" customHeight="1" x14ac:dyDescent="0.25">
      <c r="A15" s="59" t="s">
        <v>554</v>
      </c>
      <c r="B15" s="60" t="s">
        <v>1174</v>
      </c>
      <c r="C15" s="61"/>
      <c r="D15" s="61"/>
      <c r="E15" s="61"/>
      <c r="F15" s="61"/>
      <c r="G15" s="61"/>
      <c r="H15" s="61"/>
      <c r="I15" s="61"/>
      <c r="J15" s="61"/>
      <c r="K15" s="61"/>
      <c r="L15" s="61"/>
      <c r="M15" s="61">
        <v>886986</v>
      </c>
      <c r="N15" s="62"/>
      <c r="O15" s="61" t="s">
        <v>1175</v>
      </c>
      <c r="P15" s="62" t="s">
        <v>104</v>
      </c>
    </row>
    <row r="16" spans="1:16" ht="18" customHeight="1" x14ac:dyDescent="0.25">
      <c r="A16" s="59" t="s">
        <v>1176</v>
      </c>
      <c r="B16" s="60" t="s">
        <v>1177</v>
      </c>
      <c r="C16" s="62">
        <v>122700</v>
      </c>
      <c r="D16" s="62"/>
      <c r="E16" s="62"/>
      <c r="F16" s="62"/>
      <c r="G16" s="62">
        <v>103677</v>
      </c>
      <c r="H16" s="62"/>
      <c r="I16" s="62"/>
      <c r="J16" s="62"/>
      <c r="K16" s="62"/>
      <c r="L16" s="62"/>
      <c r="M16" s="62" t="s">
        <v>624</v>
      </c>
      <c r="N16" s="62" t="s">
        <v>1178</v>
      </c>
      <c r="O16" s="62" t="s">
        <v>624</v>
      </c>
      <c r="P16" s="62" t="s">
        <v>624</v>
      </c>
    </row>
    <row r="17" spans="1:16" ht="18" customHeight="1" x14ac:dyDescent="0.25">
      <c r="A17" s="59" t="s">
        <v>1179</v>
      </c>
      <c r="B17" s="59"/>
      <c r="C17" s="61">
        <v>122700</v>
      </c>
      <c r="D17" s="61"/>
      <c r="E17" s="61"/>
      <c r="F17" s="61"/>
      <c r="G17" s="61">
        <v>103679</v>
      </c>
      <c r="H17" s="61"/>
      <c r="I17" s="61"/>
      <c r="J17" s="61"/>
      <c r="K17" s="61"/>
      <c r="L17" s="61"/>
      <c r="M17" s="61"/>
      <c r="N17" s="62"/>
      <c r="O17" s="61"/>
      <c r="P17" s="61"/>
    </row>
    <row r="18" spans="1:16" ht="18" customHeight="1" x14ac:dyDescent="0.25">
      <c r="A18" s="59" t="s">
        <v>1180</v>
      </c>
      <c r="B18" s="59"/>
      <c r="C18" s="61"/>
      <c r="D18" s="61"/>
      <c r="E18" s="61"/>
      <c r="F18" s="61"/>
      <c r="G18" s="61"/>
      <c r="H18" s="61"/>
      <c r="I18" s="61"/>
      <c r="J18" s="61"/>
      <c r="K18" s="61"/>
      <c r="L18" s="61"/>
      <c r="M18" s="61"/>
      <c r="N18" s="62"/>
      <c r="O18" s="61"/>
      <c r="P18" s="61"/>
    </row>
    <row r="19" spans="1:16" ht="18" customHeight="1" x14ac:dyDescent="0.25">
      <c r="A19" s="59" t="s">
        <v>641</v>
      </c>
      <c r="B19" s="59" t="s">
        <v>1181</v>
      </c>
      <c r="C19" s="61" t="s">
        <v>642</v>
      </c>
      <c r="D19" s="61"/>
      <c r="E19" s="61"/>
      <c r="F19" s="61"/>
      <c r="G19" s="61"/>
      <c r="H19" s="61"/>
      <c r="I19" s="61"/>
      <c r="J19" s="61"/>
      <c r="K19" s="61"/>
      <c r="L19" s="61"/>
      <c r="M19" s="61"/>
      <c r="N19" s="62"/>
      <c r="O19" s="61"/>
      <c r="P19" s="61"/>
    </row>
    <row r="20" spans="1:16" ht="18" customHeight="1" x14ac:dyDescent="0.25">
      <c r="A20" s="59" t="s">
        <v>1182</v>
      </c>
      <c r="B20" s="59" t="s">
        <v>1988</v>
      </c>
      <c r="C20" s="61"/>
      <c r="D20" s="61"/>
      <c r="E20" s="61"/>
      <c r="F20" s="61"/>
      <c r="G20" s="61"/>
      <c r="H20" s="61"/>
      <c r="I20" s="61"/>
      <c r="J20" s="61"/>
      <c r="K20" s="61"/>
      <c r="L20" s="61"/>
      <c r="M20" s="61"/>
      <c r="N20" s="62"/>
      <c r="O20" s="61"/>
      <c r="P20" s="61"/>
    </row>
    <row r="21" spans="1:16" ht="18" customHeight="1" x14ac:dyDescent="0.25">
      <c r="A21" s="59" t="s">
        <v>645</v>
      </c>
      <c r="B21" s="59" t="s">
        <v>1183</v>
      </c>
      <c r="C21" s="61" t="s">
        <v>1184</v>
      </c>
      <c r="D21" s="61"/>
      <c r="E21" s="61"/>
      <c r="F21" s="61"/>
      <c r="G21" s="61"/>
      <c r="H21" s="61"/>
      <c r="I21" s="61"/>
      <c r="J21" s="61"/>
      <c r="K21" s="61"/>
      <c r="L21" s="61"/>
      <c r="M21" s="61"/>
      <c r="N21" s="62"/>
      <c r="O21" s="61"/>
      <c r="P21" s="61"/>
    </row>
    <row r="22" spans="1:16" ht="18" customHeight="1" x14ac:dyDescent="0.25">
      <c r="A22" s="59" t="s">
        <v>147</v>
      </c>
      <c r="B22" s="60" t="s">
        <v>1185</v>
      </c>
      <c r="C22" s="61"/>
      <c r="D22" s="61"/>
      <c r="E22" s="61"/>
      <c r="F22" s="61"/>
      <c r="G22" s="61"/>
      <c r="H22" s="61"/>
      <c r="I22" s="61"/>
      <c r="J22" s="61"/>
      <c r="K22" s="61"/>
      <c r="L22" s="61"/>
      <c r="M22" s="61" t="s">
        <v>1186</v>
      </c>
      <c r="N22" s="62"/>
      <c r="O22" s="61" t="s">
        <v>1186</v>
      </c>
      <c r="P22" s="61" t="s">
        <v>1186</v>
      </c>
    </row>
    <row r="23" spans="1:16" ht="18" customHeight="1" x14ac:dyDescent="0.25">
      <c r="A23" s="59" t="s">
        <v>1187</v>
      </c>
      <c r="B23" s="60" t="s">
        <v>1188</v>
      </c>
      <c r="C23" s="61"/>
      <c r="D23" s="61"/>
      <c r="E23" s="61"/>
      <c r="F23" s="61"/>
      <c r="G23" s="61"/>
      <c r="H23" s="61"/>
      <c r="I23" s="61"/>
      <c r="J23" s="61"/>
      <c r="K23" s="61"/>
      <c r="L23" s="61"/>
      <c r="M23" s="61"/>
      <c r="N23" s="62"/>
      <c r="O23" s="61"/>
      <c r="P23" s="61"/>
    </row>
    <row r="24" spans="1:16" ht="18" customHeight="1" x14ac:dyDescent="0.25">
      <c r="A24" s="59" t="s">
        <v>687</v>
      </c>
      <c r="B24" s="270" t="s">
        <v>2133</v>
      </c>
      <c r="C24" s="62"/>
      <c r="D24" s="62"/>
      <c r="E24" s="62"/>
      <c r="F24" s="62"/>
      <c r="G24" s="62"/>
      <c r="H24" s="62"/>
      <c r="I24" s="62"/>
      <c r="J24" s="62"/>
      <c r="K24" s="62"/>
      <c r="L24" s="62"/>
      <c r="M24" s="62" t="s">
        <v>684</v>
      </c>
      <c r="N24" s="62" t="s">
        <v>1190</v>
      </c>
      <c r="O24" s="62" t="s">
        <v>292</v>
      </c>
      <c r="P24" s="62"/>
    </row>
    <row r="25" spans="1:16" ht="18" customHeight="1" x14ac:dyDescent="0.25">
      <c r="A25" s="59" t="s">
        <v>692</v>
      </c>
      <c r="B25" s="270" t="s">
        <v>2134</v>
      </c>
      <c r="C25" s="62"/>
      <c r="D25" s="62"/>
      <c r="E25" s="62"/>
      <c r="F25" s="62"/>
      <c r="G25" s="62"/>
      <c r="H25" s="62"/>
      <c r="I25" s="62"/>
      <c r="J25" s="62"/>
      <c r="K25" s="62"/>
      <c r="L25" s="62"/>
      <c r="M25" s="62"/>
      <c r="N25" s="62"/>
      <c r="O25" s="62"/>
      <c r="P25" s="62"/>
    </row>
    <row r="26" spans="1:16" ht="18" customHeight="1" x14ac:dyDescent="0.25">
      <c r="A26" s="59" t="s">
        <v>54</v>
      </c>
      <c r="B26" s="59" t="s">
        <v>1191</v>
      </c>
      <c r="C26" s="62">
        <v>7993201</v>
      </c>
      <c r="D26" s="62"/>
      <c r="E26" s="62"/>
      <c r="F26" s="62"/>
      <c r="G26" s="62" t="s">
        <v>734</v>
      </c>
      <c r="H26" s="62"/>
      <c r="I26" s="62"/>
      <c r="J26" s="62"/>
      <c r="K26" s="62"/>
      <c r="L26" s="62"/>
      <c r="M26" s="62" t="s">
        <v>1192</v>
      </c>
      <c r="N26" s="62"/>
      <c r="O26" s="62"/>
      <c r="P26" s="62"/>
    </row>
    <row r="27" spans="1:16" ht="18" customHeight="1" x14ac:dyDescent="0.25">
      <c r="A27" s="59" t="s">
        <v>156</v>
      </c>
      <c r="B27" s="60" t="s">
        <v>1193</v>
      </c>
      <c r="C27" s="62"/>
      <c r="D27" s="61"/>
      <c r="E27" s="61">
        <v>568063</v>
      </c>
      <c r="F27" s="62"/>
      <c r="G27" s="62"/>
      <c r="H27" s="62"/>
      <c r="I27" s="62"/>
      <c r="J27" s="62"/>
      <c r="K27" s="62"/>
      <c r="L27" s="62"/>
      <c r="M27" s="62"/>
      <c r="N27" s="62"/>
      <c r="O27" s="62"/>
      <c r="P27" s="62"/>
    </row>
    <row r="28" spans="1:16" ht="18" customHeight="1" x14ac:dyDescent="0.25">
      <c r="A28" s="59" t="s">
        <v>802</v>
      </c>
      <c r="B28" s="60" t="s">
        <v>1194</v>
      </c>
      <c r="C28" s="62"/>
      <c r="D28" s="62"/>
      <c r="E28" s="62"/>
      <c r="F28" s="62"/>
      <c r="G28" s="62"/>
      <c r="H28" s="62"/>
      <c r="I28" s="62"/>
      <c r="J28" s="62"/>
      <c r="K28" s="62"/>
      <c r="L28" s="62"/>
      <c r="M28" s="62"/>
      <c r="N28" s="62" t="s">
        <v>1195</v>
      </c>
      <c r="O28" s="62"/>
      <c r="P28" s="62"/>
    </row>
    <row r="29" spans="1:16" ht="18" customHeight="1" x14ac:dyDescent="0.25">
      <c r="A29" s="59" t="s">
        <v>827</v>
      </c>
      <c r="B29" s="59" t="s">
        <v>1196</v>
      </c>
      <c r="C29" s="62"/>
      <c r="D29" s="62"/>
      <c r="E29" s="62"/>
      <c r="F29" s="62"/>
      <c r="G29" s="62"/>
      <c r="H29" s="62"/>
      <c r="I29" s="62"/>
      <c r="J29" s="62"/>
      <c r="K29" s="62"/>
      <c r="L29" s="62"/>
      <c r="M29" s="62"/>
      <c r="N29" s="62"/>
      <c r="O29" s="61" t="s">
        <v>828</v>
      </c>
      <c r="P29" s="62"/>
    </row>
    <row r="30" spans="1:16" ht="18" customHeight="1" x14ac:dyDescent="0.25">
      <c r="A30" s="59" t="s">
        <v>1900</v>
      </c>
      <c r="B30" s="59" t="s">
        <v>1901</v>
      </c>
      <c r="C30" s="39">
        <v>152053992</v>
      </c>
      <c r="D30" s="62"/>
      <c r="E30" s="62"/>
      <c r="F30" s="62"/>
      <c r="G30" s="62"/>
      <c r="H30" s="62"/>
      <c r="I30" s="62"/>
      <c r="J30" s="62"/>
      <c r="K30" s="62"/>
      <c r="L30" s="62"/>
      <c r="M30" s="62"/>
      <c r="N30" s="62"/>
      <c r="O30" s="27" t="s">
        <v>920</v>
      </c>
      <c r="P30" s="62"/>
    </row>
    <row r="31" spans="1:16" ht="18" customHeight="1" x14ac:dyDescent="0.25">
      <c r="A31" s="59" t="s">
        <v>1899</v>
      </c>
      <c r="B31" s="60" t="s">
        <v>1197</v>
      </c>
      <c r="C31" s="39">
        <v>152053992</v>
      </c>
      <c r="D31" s="61"/>
      <c r="E31" s="61"/>
      <c r="F31" s="61"/>
      <c r="G31" s="61"/>
      <c r="H31" s="61"/>
      <c r="I31" s="61"/>
      <c r="J31" s="61"/>
      <c r="K31" s="61"/>
      <c r="L31" s="61"/>
      <c r="M31" s="27" t="s">
        <v>920</v>
      </c>
      <c r="N31" s="62"/>
      <c r="O31" s="61"/>
      <c r="P31" s="27" t="s">
        <v>920</v>
      </c>
    </row>
    <row r="32" spans="1:16" ht="18" customHeight="1" x14ac:dyDescent="0.25">
      <c r="A32" s="59" t="s">
        <v>167</v>
      </c>
      <c r="B32" s="59" t="s">
        <v>1198</v>
      </c>
      <c r="C32" s="61"/>
      <c r="D32" s="61"/>
      <c r="E32" s="61" t="s">
        <v>1199</v>
      </c>
      <c r="F32" s="61"/>
      <c r="G32" s="61"/>
      <c r="H32" s="61"/>
      <c r="I32" s="61"/>
      <c r="J32" s="61"/>
      <c r="K32" s="61"/>
      <c r="L32" s="61"/>
      <c r="M32" s="61" t="s">
        <v>851</v>
      </c>
      <c r="N32" s="62"/>
      <c r="O32" s="62"/>
      <c r="P32" s="61" t="s">
        <v>845</v>
      </c>
    </row>
    <row r="33" spans="1:16" ht="18" customHeight="1" x14ac:dyDescent="0.25">
      <c r="A33" s="59" t="s">
        <v>865</v>
      </c>
      <c r="B33" s="59"/>
      <c r="C33" s="61"/>
      <c r="D33" s="62"/>
      <c r="E33" s="62"/>
      <c r="F33" s="61"/>
      <c r="G33" s="61"/>
      <c r="H33" s="61"/>
      <c r="I33" s="61"/>
      <c r="J33" s="61"/>
      <c r="K33" s="61"/>
      <c r="L33" s="61"/>
      <c r="M33" s="61"/>
      <c r="N33" s="62"/>
      <c r="O33" s="62"/>
      <c r="P33" s="62"/>
    </row>
    <row r="34" spans="1:16" ht="18" customHeight="1" x14ac:dyDescent="0.25">
      <c r="A34" s="59" t="s">
        <v>1200</v>
      </c>
      <c r="B34" s="63" t="s">
        <v>1201</v>
      </c>
      <c r="C34" s="61"/>
      <c r="D34" s="62"/>
      <c r="E34" s="62"/>
      <c r="F34" s="61"/>
      <c r="G34" s="61"/>
      <c r="H34" s="61"/>
      <c r="I34" s="61"/>
      <c r="J34" s="61"/>
      <c r="K34" s="61"/>
      <c r="L34" s="61"/>
      <c r="M34" s="61"/>
      <c r="N34" s="62"/>
      <c r="O34" s="62"/>
      <c r="P34" s="62"/>
    </row>
    <row r="35" spans="1:16" ht="18" customHeight="1" x14ac:dyDescent="0.25">
      <c r="A35" s="59" t="s">
        <v>1003</v>
      </c>
      <c r="B35" s="63" t="s">
        <v>1561</v>
      </c>
      <c r="C35" s="61"/>
      <c r="D35" s="62"/>
      <c r="E35" s="62"/>
      <c r="F35" s="61"/>
      <c r="G35" s="61"/>
      <c r="H35" s="61"/>
      <c r="I35" s="61"/>
      <c r="J35" s="61"/>
      <c r="K35" s="61"/>
      <c r="L35" s="61"/>
      <c r="M35" s="61" t="s">
        <v>1004</v>
      </c>
      <c r="N35" s="62"/>
      <c r="O35" s="62"/>
      <c r="P35" s="62"/>
    </row>
    <row r="36" spans="1:16" ht="18" customHeight="1" x14ac:dyDescent="0.25">
      <c r="A36" s="59" t="s">
        <v>182</v>
      </c>
      <c r="B36" s="59" t="s">
        <v>1202</v>
      </c>
      <c r="C36" s="61"/>
      <c r="D36" s="62"/>
      <c r="E36" s="62"/>
      <c r="F36" s="61"/>
      <c r="G36" s="61"/>
      <c r="H36" s="61"/>
      <c r="I36" s="61"/>
      <c r="J36" s="61"/>
      <c r="K36" s="61"/>
      <c r="L36" s="61"/>
      <c r="M36" s="61" t="s">
        <v>1203</v>
      </c>
      <c r="N36" s="62"/>
      <c r="O36" s="61" t="s">
        <v>1203</v>
      </c>
      <c r="P36" s="62"/>
    </row>
    <row r="37" spans="1:16" ht="18" customHeight="1" x14ac:dyDescent="0.25">
      <c r="A37" s="59" t="s">
        <v>183</v>
      </c>
      <c r="B37" s="59" t="s">
        <v>1975</v>
      </c>
      <c r="C37" s="61"/>
      <c r="D37" s="62"/>
      <c r="E37" s="62"/>
      <c r="F37" s="61"/>
      <c r="G37" s="61"/>
      <c r="H37" s="61"/>
      <c r="I37" s="61"/>
      <c r="J37" s="61"/>
      <c r="K37" s="61"/>
      <c r="L37" s="61"/>
      <c r="M37" s="61" t="s">
        <v>1204</v>
      </c>
      <c r="N37" s="61" t="s">
        <v>1123</v>
      </c>
      <c r="O37" s="61" t="s">
        <v>1117</v>
      </c>
      <c r="P37" s="62"/>
    </row>
    <row r="38" spans="1:16" ht="18" customHeight="1" x14ac:dyDescent="0.25">
      <c r="A38" s="66"/>
      <c r="B38" s="66"/>
      <c r="C38" s="66"/>
      <c r="D38" s="66"/>
      <c r="E38" s="66"/>
      <c r="F38" s="66"/>
      <c r="G38" s="66"/>
      <c r="H38" s="66"/>
      <c r="I38" s="66"/>
      <c r="J38" s="66"/>
      <c r="K38" s="66"/>
      <c r="L38" s="66"/>
      <c r="M38" s="66"/>
      <c r="N38" s="66"/>
      <c r="O38" s="66"/>
      <c r="P38" s="66"/>
    </row>
    <row r="39" spans="1:16" ht="18" customHeight="1" x14ac:dyDescent="0.25">
      <c r="A39" s="67" t="s">
        <v>1205</v>
      </c>
      <c r="B39" s="67"/>
      <c r="C39" s="67"/>
      <c r="D39" s="67"/>
      <c r="E39" s="67"/>
      <c r="F39" s="67"/>
      <c r="G39" s="67"/>
      <c r="H39" s="67"/>
      <c r="I39" s="67"/>
      <c r="J39" s="67"/>
      <c r="K39" s="67"/>
      <c r="L39" s="67"/>
      <c r="M39" s="67"/>
      <c r="N39" s="67"/>
      <c r="O39" s="67"/>
      <c r="P39" s="67"/>
    </row>
  </sheetData>
  <customSheetViews>
    <customSheetView guid="{EF60762C-634B-4E37-9575-37987277FB5D}" fitToPage="1">
      <pane xSplit="2" ySplit="2" topLeftCell="H10" activePane="bottomRight" state="frozen"/>
      <selection pane="bottomRight" activeCell="I19" sqref="I19"/>
      <pageMargins left="0.78749999999999998" right="0.78749999999999998" top="0.98402777777777795" bottom="0.98402777777777795" header="0.51180555555555496" footer="0.51180555555555496"/>
      <pageSetup paperSize="9" firstPageNumber="0" fitToWidth="2" orientation="landscape" horizontalDpi="300" verticalDpi="300"/>
    </customSheetView>
    <customSheetView guid="{BCD1B658-489F-4064-A696-D5FA21A794F2}" fitToPage="1">
      <pane xSplit="2" ySplit="2" topLeftCell="C15" activePane="bottomRight" state="frozen"/>
      <selection pane="bottomRight" activeCell="B11" sqref="B11"/>
      <pageMargins left="0.78749999999999998" right="0.78749999999999998" top="0.98402777777777795" bottom="0.98402777777777795" header="0.51180555555555496" footer="0.51180555555555496"/>
      <pageSetup paperSize="9" firstPageNumber="0" fitToWidth="2" orientation="landscape" horizontalDpi="300" verticalDpi="300"/>
    </customSheetView>
    <customSheetView guid="{B17FADA9-6408-445B-BA12-02AB62834AE3}" showPageBreaks="1" fitToPage="1">
      <pane xSplit="2" ySplit="2" topLeftCell="C3" activePane="bottomRight" state="frozen"/>
      <selection pane="bottomRight" activeCell="B38" sqref="B38"/>
      <pageMargins left="0.78749999999999998" right="0.78749999999999998" top="0.98402777777777795" bottom="0.98402777777777795" header="0.51180555555555496" footer="0.51180555555555496"/>
      <pageSetup paperSize="9" scale="68" firstPageNumber="0" fitToWidth="2" orientation="landscape" horizontalDpi="300" verticalDpi="300" r:id="rId1"/>
    </customSheetView>
    <customSheetView guid="{3306A449-89C6-46B4-ABF7-658F003FF274}" fitToPage="1">
      <pane xSplit="2" ySplit="2" topLeftCell="H10" activePane="bottomRight" state="frozen"/>
      <selection pane="bottomRight" activeCell="I19" sqref="I19"/>
      <pageMargins left="0.78749999999999998" right="0.78749999999999998" top="0.98402777777777795" bottom="0.98402777777777795" header="0.51180555555555496" footer="0.51180555555555496"/>
      <pageSetup paperSize="9" firstPageNumber="0" fitToWidth="2" orientation="landscape" horizontalDpi="300" verticalDpi="300"/>
    </customSheetView>
  </customSheetViews>
  <mergeCells count="2">
    <mergeCell ref="A1:B2"/>
    <mergeCell ref="C1:P1"/>
  </mergeCells>
  <hyperlinks>
    <hyperlink ref="B3" r:id="rId2" display="BrmBerlin@axa.de" xr:uid="{00000000-0004-0000-0400-000000000000}"/>
    <hyperlink ref="B5" r:id="rId3" display="BrmBerlin@axa.de" xr:uid="{00000000-0004-0000-0400-000001000000}"/>
    <hyperlink ref="B6" r:id="rId4" display="BrmBerlin@axa.de" xr:uid="{00000000-0004-0000-0400-000002000000}"/>
    <hyperlink ref="B7" r:id="rId5" xr:uid="{00000000-0004-0000-0400-000003000000}"/>
    <hyperlink ref="B8" r:id="rId6" xr:uid="{00000000-0004-0000-0400-000004000000}"/>
    <hyperlink ref="B9" r:id="rId7" xr:uid="{00000000-0004-0000-0400-000005000000}"/>
    <hyperlink ref="B15" r:id="rId8" xr:uid="{00000000-0004-0000-0400-000006000000}"/>
    <hyperlink ref="B16" r:id="rId9" xr:uid="{00000000-0004-0000-0400-000007000000}"/>
    <hyperlink ref="B22" r:id="rId10" xr:uid="{00000000-0004-0000-0400-000008000000}"/>
    <hyperlink ref="B27" r:id="rId11" xr:uid="{00000000-0004-0000-0400-000009000000}"/>
    <hyperlink ref="B28" r:id="rId12" xr:uid="{00000000-0004-0000-0400-00000A000000}"/>
    <hyperlink ref="B31" r:id="rId13" xr:uid="{00000000-0004-0000-0400-00000B000000}"/>
    <hyperlink ref="B34" r:id="rId14" xr:uid="{00000000-0004-0000-0400-00000C000000}"/>
    <hyperlink ref="B35" r:id="rId15" display="si-vp.maklerauftrag.hh@signal-iduna.de" xr:uid="{00000000-0004-0000-0400-00000D000000}"/>
    <hyperlink ref="B24" r:id="rId16" xr:uid="{CE423493-0B67-4CCB-936E-E44920FF6E5B}"/>
    <hyperlink ref="B25" r:id="rId17" xr:uid="{63BAD570-BA19-48EC-8123-1AAD1669FE89}"/>
  </hyperlinks>
  <pageMargins left="0.78749999999999998" right="0.78749999999999998" top="0.98402777777777795" bottom="0.98402777777777795" header="0.51180555555555496" footer="0.51180555555555496"/>
  <pageSetup paperSize="9" firstPageNumber="0" fitToWidth="2" orientation="landscape" horizontalDpi="300" verticalDpi="300"/>
  <legacy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5"/>
  <sheetViews>
    <sheetView topLeftCell="A10" zoomScaleNormal="100" workbookViewId="0">
      <selection activeCell="B29" sqref="B29"/>
    </sheetView>
  </sheetViews>
  <sheetFormatPr baseColWidth="10" defaultColWidth="8.5703125" defaultRowHeight="15" x14ac:dyDescent="0.25"/>
  <cols>
    <col min="1" max="1" width="14.42578125" customWidth="1"/>
    <col min="2" max="2" width="18.5703125" customWidth="1"/>
    <col min="3" max="3" width="14.5703125" customWidth="1"/>
    <col min="4" max="4" width="10.42578125" customWidth="1"/>
    <col min="5" max="5" width="15.42578125" customWidth="1"/>
    <col min="6" max="1025" width="10.42578125" customWidth="1"/>
  </cols>
  <sheetData>
    <row r="1" spans="1:5" s="68" customFormat="1" ht="15.75" x14ac:dyDescent="0.25">
      <c r="A1" s="68" t="s">
        <v>97</v>
      </c>
      <c r="B1" s="68" t="s">
        <v>1206</v>
      </c>
      <c r="C1" s="68" t="s">
        <v>98</v>
      </c>
    </row>
    <row r="2" spans="1:5" x14ac:dyDescent="0.25">
      <c r="A2" t="s">
        <v>122</v>
      </c>
      <c r="C2" t="s">
        <v>149</v>
      </c>
    </row>
    <row r="3" spans="1:5" x14ac:dyDescent="0.25">
      <c r="A3" t="s">
        <v>106</v>
      </c>
      <c r="B3" s="69" t="s">
        <v>1207</v>
      </c>
      <c r="C3" t="s">
        <v>149</v>
      </c>
      <c r="E3" s="70" t="s">
        <v>1208</v>
      </c>
    </row>
    <row r="4" spans="1:5" x14ac:dyDescent="0.25">
      <c r="A4" t="s">
        <v>253</v>
      </c>
      <c r="B4" s="69" t="s">
        <v>1207</v>
      </c>
    </row>
    <row r="5" spans="1:5" x14ac:dyDescent="0.25">
      <c r="A5" t="s">
        <v>58</v>
      </c>
      <c r="B5" s="71" t="s">
        <v>1207</v>
      </c>
    </row>
    <row r="6" spans="1:5" x14ac:dyDescent="0.25">
      <c r="A6" t="s">
        <v>124</v>
      </c>
      <c r="B6" s="71" t="s">
        <v>1207</v>
      </c>
      <c r="C6" t="s">
        <v>149</v>
      </c>
      <c r="D6" s="70" t="s">
        <v>1209</v>
      </c>
      <c r="E6" s="72" t="s">
        <v>1210</v>
      </c>
    </row>
    <row r="7" spans="1:5" x14ac:dyDescent="0.25">
      <c r="A7" t="s">
        <v>126</v>
      </c>
      <c r="B7" s="71" t="s">
        <v>1207</v>
      </c>
    </row>
    <row r="8" spans="1:5" x14ac:dyDescent="0.25">
      <c r="A8" t="s">
        <v>128</v>
      </c>
      <c r="B8" t="s">
        <v>31</v>
      </c>
    </row>
    <row r="9" spans="1:5" x14ac:dyDescent="0.25">
      <c r="A9" t="s">
        <v>372</v>
      </c>
      <c r="C9" t="s">
        <v>149</v>
      </c>
    </row>
    <row r="10" spans="1:5" x14ac:dyDescent="0.25">
      <c r="A10" t="s">
        <v>129</v>
      </c>
      <c r="B10" t="s">
        <v>31</v>
      </c>
    </row>
    <row r="11" spans="1:5" x14ac:dyDescent="0.25">
      <c r="A11" t="s">
        <v>23</v>
      </c>
    </row>
    <row r="12" spans="1:5" x14ac:dyDescent="0.25">
      <c r="A12" t="s">
        <v>1211</v>
      </c>
      <c r="B12" t="s">
        <v>1212</v>
      </c>
    </row>
    <row r="13" spans="1:5" x14ac:dyDescent="0.25">
      <c r="A13" t="s">
        <v>455</v>
      </c>
      <c r="B13" s="71" t="s">
        <v>1207</v>
      </c>
      <c r="C13" t="s">
        <v>1213</v>
      </c>
      <c r="D13" t="s">
        <v>1214</v>
      </c>
      <c r="E13" s="72" t="s">
        <v>1215</v>
      </c>
    </row>
    <row r="14" spans="1:5" x14ac:dyDescent="0.25">
      <c r="A14" t="s">
        <v>1216</v>
      </c>
      <c r="C14" t="s">
        <v>149</v>
      </c>
    </row>
    <row r="15" spans="1:5" x14ac:dyDescent="0.25">
      <c r="A15" t="s">
        <v>521</v>
      </c>
      <c r="B15" t="s">
        <v>1217</v>
      </c>
      <c r="C15" t="s">
        <v>108</v>
      </c>
    </row>
    <row r="16" spans="1:5" x14ac:dyDescent="0.25">
      <c r="A16" t="s">
        <v>1218</v>
      </c>
      <c r="B16" s="71" t="s">
        <v>1207</v>
      </c>
      <c r="C16" t="s">
        <v>149</v>
      </c>
    </row>
    <row r="17" spans="1:5" x14ac:dyDescent="0.25">
      <c r="A17" t="s">
        <v>31</v>
      </c>
    </row>
    <row r="18" spans="1:5" x14ac:dyDescent="0.25">
      <c r="A18" t="s">
        <v>141</v>
      </c>
      <c r="C18" t="s">
        <v>149</v>
      </c>
    </row>
    <row r="19" spans="1:5" x14ac:dyDescent="0.25">
      <c r="A19" t="s">
        <v>144</v>
      </c>
      <c r="B19" s="69" t="s">
        <v>1207</v>
      </c>
    </row>
    <row r="20" spans="1:5" x14ac:dyDescent="0.25">
      <c r="A20" t="s">
        <v>1219</v>
      </c>
      <c r="B20" s="71" t="s">
        <v>1207</v>
      </c>
    </row>
    <row r="21" spans="1:5" x14ac:dyDescent="0.25">
      <c r="A21" t="s">
        <v>670</v>
      </c>
      <c r="B21" t="s">
        <v>1217</v>
      </c>
    </row>
    <row r="22" spans="1:5" x14ac:dyDescent="0.25">
      <c r="A22" t="s">
        <v>1189</v>
      </c>
      <c r="B22" s="69" t="s">
        <v>1207</v>
      </c>
      <c r="C22" t="s">
        <v>1213</v>
      </c>
      <c r="D22" t="s">
        <v>1214</v>
      </c>
      <c r="E22" s="70" t="s">
        <v>1208</v>
      </c>
    </row>
    <row r="23" spans="1:5" x14ac:dyDescent="0.25">
      <c r="A23" t="s">
        <v>151</v>
      </c>
      <c r="B23" t="s">
        <v>1217</v>
      </c>
    </row>
    <row r="24" spans="1:5" x14ac:dyDescent="0.25">
      <c r="A24" t="s">
        <v>154</v>
      </c>
      <c r="B24" t="s">
        <v>1217</v>
      </c>
    </row>
    <row r="25" spans="1:5" x14ac:dyDescent="0.25">
      <c r="A25" t="s">
        <v>156</v>
      </c>
      <c r="B25" t="s">
        <v>1220</v>
      </c>
    </row>
    <row r="26" spans="1:5" x14ac:dyDescent="0.25">
      <c r="A26" t="s">
        <v>158</v>
      </c>
      <c r="B26" t="s">
        <v>1220</v>
      </c>
    </row>
    <row r="27" spans="1:5" x14ac:dyDescent="0.25">
      <c r="A27" t="s">
        <v>40</v>
      </c>
      <c r="C27" t="s">
        <v>149</v>
      </c>
    </row>
    <row r="28" spans="1:5" x14ac:dyDescent="0.25">
      <c r="A28" t="s">
        <v>54</v>
      </c>
      <c r="B28" t="s">
        <v>1220</v>
      </c>
    </row>
    <row r="29" spans="1:5" x14ac:dyDescent="0.25">
      <c r="A29" t="s">
        <v>162</v>
      </c>
      <c r="B29" t="s">
        <v>108</v>
      </c>
      <c r="C29" t="s">
        <v>1221</v>
      </c>
    </row>
    <row r="30" spans="1:5" x14ac:dyDescent="0.25">
      <c r="A30" t="s">
        <v>1222</v>
      </c>
      <c r="B30" s="71" t="s">
        <v>1207</v>
      </c>
      <c r="C30" t="s">
        <v>149</v>
      </c>
    </row>
    <row r="31" spans="1:5" x14ac:dyDescent="0.25">
      <c r="A31" t="s">
        <v>1223</v>
      </c>
    </row>
    <row r="32" spans="1:5" x14ac:dyDescent="0.25">
      <c r="A32" t="s">
        <v>825</v>
      </c>
      <c r="B32" s="71" t="s">
        <v>1207</v>
      </c>
      <c r="C32" t="s">
        <v>1213</v>
      </c>
      <c r="D32" t="s">
        <v>1214</v>
      </c>
    </row>
    <row r="33" spans="1:5" x14ac:dyDescent="0.25">
      <c r="A33" t="s">
        <v>171</v>
      </c>
      <c r="B33" s="69" t="s">
        <v>1207</v>
      </c>
      <c r="E33" s="72" t="s">
        <v>1224</v>
      </c>
    </row>
    <row r="34" spans="1:5" x14ac:dyDescent="0.25">
      <c r="A34" t="s">
        <v>1225</v>
      </c>
      <c r="B34" s="71" t="s">
        <v>1207</v>
      </c>
      <c r="C34" t="s">
        <v>149</v>
      </c>
    </row>
    <row r="35" spans="1:5" x14ac:dyDescent="0.25">
      <c r="A35" t="s">
        <v>53</v>
      </c>
      <c r="B35" s="69" t="s">
        <v>1207</v>
      </c>
      <c r="E35" s="72" t="s">
        <v>1226</v>
      </c>
    </row>
    <row r="36" spans="1:5" x14ac:dyDescent="0.25">
      <c r="A36" t="s">
        <v>179</v>
      </c>
      <c r="B36" s="71" t="s">
        <v>1207</v>
      </c>
    </row>
    <row r="37" spans="1:5" x14ac:dyDescent="0.25">
      <c r="A37" t="s">
        <v>1227</v>
      </c>
    </row>
    <row r="38" spans="1:5" x14ac:dyDescent="0.25">
      <c r="A38" t="s">
        <v>68</v>
      </c>
      <c r="B38" s="71" t="s">
        <v>1207</v>
      </c>
    </row>
    <row r="39" spans="1:5" x14ac:dyDescent="0.25">
      <c r="A39" t="s">
        <v>20</v>
      </c>
    </row>
    <row r="40" spans="1:5" x14ac:dyDescent="0.25">
      <c r="A40" t="s">
        <v>182</v>
      </c>
      <c r="B40" s="71" t="s">
        <v>1207</v>
      </c>
      <c r="C40" t="s">
        <v>1213</v>
      </c>
      <c r="D40" t="s">
        <v>1214</v>
      </c>
      <c r="E40" s="72" t="s">
        <v>1226</v>
      </c>
    </row>
    <row r="41" spans="1:5" x14ac:dyDescent="0.25">
      <c r="A41" t="s">
        <v>1228</v>
      </c>
      <c r="C41" t="s">
        <v>149</v>
      </c>
    </row>
    <row r="42" spans="1:5" x14ac:dyDescent="0.25">
      <c r="A42" t="s">
        <v>183</v>
      </c>
      <c r="C42" t="s">
        <v>149</v>
      </c>
    </row>
    <row r="43" spans="1:5" x14ac:dyDescent="0.25">
      <c r="A43" t="s">
        <v>185</v>
      </c>
    </row>
    <row r="44" spans="1:5" x14ac:dyDescent="0.25">
      <c r="A44" t="s">
        <v>186</v>
      </c>
      <c r="B44" s="69" t="s">
        <v>1207</v>
      </c>
      <c r="C44" t="s">
        <v>1213</v>
      </c>
      <c r="D44" t="s">
        <v>1214</v>
      </c>
      <c r="E44" s="72" t="s">
        <v>1226</v>
      </c>
    </row>
    <row r="45" spans="1:5" x14ac:dyDescent="0.25">
      <c r="A45" t="s">
        <v>8</v>
      </c>
    </row>
  </sheetData>
  <customSheetViews>
    <customSheetView guid="{EF60762C-634B-4E37-9575-37987277FB5D}" topLeftCell="A10">
      <selection activeCell="B29" sqref="B29"/>
      <pageMargins left="0.7" right="0.7" top="0.78749999999999998" bottom="0.78749999999999998" header="0.51180555555555496" footer="0.51180555555555496"/>
      <pageSetup paperSize="9" firstPageNumber="0" orientation="portrait" horizontalDpi="300" verticalDpi="300"/>
    </customSheetView>
    <customSheetView guid="{BCD1B658-489F-4064-A696-D5FA21A794F2}" topLeftCell="A10">
      <selection activeCell="B29" sqref="B29"/>
      <pageMargins left="0.7" right="0.7" top="0.78749999999999998" bottom="0.78749999999999998" header="0.51180555555555496" footer="0.51180555555555496"/>
      <pageSetup paperSize="9" firstPageNumber="0" orientation="portrait" horizontalDpi="300" verticalDpi="300"/>
    </customSheetView>
    <customSheetView guid="{B17FADA9-6408-445B-BA12-02AB62834AE3}" showPageBreaks="1" topLeftCell="A10">
      <selection activeCell="B29" sqref="B29"/>
      <pageMargins left="0.7" right="0.7" top="0.78749999999999998" bottom="0.78749999999999998" header="0.51180555555555496" footer="0.51180555555555496"/>
      <pageSetup paperSize="9" firstPageNumber="0" orientation="portrait" horizontalDpi="300" verticalDpi="300" r:id="rId1"/>
    </customSheetView>
    <customSheetView guid="{3306A449-89C6-46B4-ABF7-658F003FF274}" topLeftCell="A10">
      <selection activeCell="B29" sqref="B29"/>
      <pageMargins left="0.7" right="0.7" top="0.78749999999999998" bottom="0.78749999999999998" header="0.51180555555555496" footer="0.51180555555555496"/>
      <pageSetup paperSize="9" firstPageNumber="0" orientation="portrait" horizontalDpi="300" verticalDpi="300"/>
    </customSheetView>
  </customSheetViews>
  <pageMargins left="0.7" right="0.7" top="0.78749999999999998" bottom="0.78749999999999998"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05"/>
  <sheetViews>
    <sheetView topLeftCell="A58" zoomScaleNormal="100" workbookViewId="0">
      <selection activeCell="A2" sqref="A2"/>
    </sheetView>
  </sheetViews>
  <sheetFormatPr baseColWidth="10" defaultColWidth="11.5703125" defaultRowHeight="15" x14ac:dyDescent="0.25"/>
  <cols>
    <col min="1" max="1" width="30.42578125" customWidth="1"/>
    <col min="2" max="2" width="22.42578125" customWidth="1"/>
    <col min="3" max="3" width="17.5703125" customWidth="1"/>
    <col min="4" max="4" width="13.42578125" hidden="1" customWidth="1"/>
    <col min="5" max="25" width="11" hidden="1" customWidth="1"/>
    <col min="26" max="26" width="18.5703125" customWidth="1"/>
    <col min="27" max="1025" width="10.42578125" customWidth="1"/>
  </cols>
  <sheetData>
    <row r="1" spans="1:26" s="74" customFormat="1" x14ac:dyDescent="0.25">
      <c r="A1" s="73" t="str">
        <f>+Passwörter_Agenturen!H1</f>
        <v>Gesellschaft / Partner</v>
      </c>
      <c r="B1" s="73" t="str">
        <f>+Passwörter_Agenturen!J1</f>
        <v>BeraterHaus</v>
      </c>
      <c r="C1" s="73" t="str">
        <f>+Passwörter_Agenturen!I1</f>
        <v>VEMA</v>
      </c>
      <c r="D1" s="73" t="str">
        <f>+Passwörter_Agenturen!K1</f>
        <v>ASC</v>
      </c>
      <c r="E1" s="73" t="str">
        <f>+Passwörter_Agenturen!L1</f>
        <v>Invers</v>
      </c>
      <c r="F1" s="73" t="str">
        <f>+Passwörter_Agenturen!N1</f>
        <v>maxpool</v>
      </c>
      <c r="G1" s="73" t="str">
        <f>+Passwörter_Agenturen!P1</f>
        <v>Petri</v>
      </c>
      <c r="H1" s="73" t="str">
        <f>+Passwörter_Agenturen!Q1</f>
        <v>Tippmann</v>
      </c>
      <c r="I1" s="73" t="str">
        <f>+Passwörter_Agenturen!R1</f>
        <v>Röder</v>
      </c>
      <c r="J1" s="73" t="str">
        <f>+Passwörter_Agenturen!S1</f>
        <v>Hesselbarth</v>
      </c>
      <c r="K1" s="73" t="str">
        <f>+Passwörter_Agenturen!T1</f>
        <v>Furch</v>
      </c>
      <c r="L1" s="73" t="str">
        <f>+Passwörter_Agenturen!U1</f>
        <v>Hartkopf</v>
      </c>
      <c r="M1" s="73" t="str">
        <f>+Passwörter_Agenturen!V1</f>
        <v>Hildebrandt</v>
      </c>
      <c r="N1" s="73" t="str">
        <f>+Passwörter_Agenturen!W1</f>
        <v>Hollatz</v>
      </c>
      <c r="O1" s="73" t="str">
        <f>+Passwörter_Agenturen!X1</f>
        <v>Hopf</v>
      </c>
      <c r="P1" s="73" t="str">
        <f>+Passwörter_Agenturen!Y1</f>
        <v>Kramer</v>
      </c>
      <c r="Q1" s="73" t="str">
        <f>+Passwörter_Agenturen!Z1</f>
        <v>Schellhorn</v>
      </c>
      <c r="R1" s="73" t="str">
        <f>+Passwörter_Agenturen!AA1</f>
        <v>Lins</v>
      </c>
      <c r="S1" s="73" t="str">
        <f>+Passwörter_Agenturen!AB1</f>
        <v>Littig</v>
      </c>
      <c r="T1" s="73" t="str">
        <f>+Passwörter_Agenturen!AC1</f>
        <v>Lobe</v>
      </c>
      <c r="U1" s="73" t="str">
        <f>+Passwörter_Agenturen!AD1</f>
        <v>Scharlach</v>
      </c>
      <c r="V1" s="73" t="str">
        <f>+Passwörter_Agenturen!AE1</f>
        <v>Weißkopf</v>
      </c>
      <c r="W1" s="73" t="str">
        <f>+Passwörter_Agenturen!AF1</f>
        <v>Schumacher</v>
      </c>
      <c r="X1" s="73" t="str">
        <f>+Passwörter_Agenturen!AG1</f>
        <v>Autohaus Hüther</v>
      </c>
      <c r="Y1" s="73" t="str">
        <f>+Passwörter_Agenturen!AH1</f>
        <v>Motorrad Henkel</v>
      </c>
      <c r="Z1" s="73" t="str">
        <f>+Passwörter_Agenturen!AI1</f>
        <v>Reif</v>
      </c>
    </row>
    <row r="2" spans="1:26" x14ac:dyDescent="0.25">
      <c r="A2" s="75" t="str">
        <f>+Passwörter_Agenturen!H2</f>
        <v>AAB Augsburger Aktienbank (Invers)</v>
      </c>
      <c r="B2" s="76">
        <f>+Passwörter_Agenturen!J2</f>
        <v>0</v>
      </c>
      <c r="C2" s="76">
        <f>+Passwörter_Agenturen!I2</f>
        <v>0</v>
      </c>
      <c r="D2" s="76">
        <f>+Passwörter_Agenturen!K2</f>
        <v>0</v>
      </c>
      <c r="E2" s="76">
        <f>+Passwörter_Agenturen!L2</f>
        <v>0</v>
      </c>
      <c r="F2" s="76">
        <f>+Passwörter_Agenturen!M2</f>
        <v>0</v>
      </c>
      <c r="G2" s="76">
        <f>+Passwörter_Agenturen!N2</f>
        <v>0</v>
      </c>
      <c r="H2" s="76">
        <f>+Passwörter_Agenturen!P2</f>
        <v>0</v>
      </c>
      <c r="I2" s="76">
        <f>+Passwörter_Agenturen!Q2</f>
        <v>0</v>
      </c>
      <c r="J2" s="76">
        <f>+Passwörter_Agenturen!R2</f>
        <v>0</v>
      </c>
      <c r="K2" s="76">
        <f>+Passwörter_Agenturen!S2</f>
        <v>0</v>
      </c>
      <c r="L2" s="76">
        <f>+Passwörter_Agenturen!T2</f>
        <v>0</v>
      </c>
      <c r="M2" s="76">
        <f>+Passwörter_Agenturen!U2</f>
        <v>0</v>
      </c>
      <c r="N2" s="76">
        <f>+Passwörter_Agenturen!V2</f>
        <v>0</v>
      </c>
      <c r="O2" s="76">
        <f>+Passwörter_Agenturen!W2</f>
        <v>0</v>
      </c>
      <c r="P2" s="76">
        <f>+Passwörter_Agenturen!X2</f>
        <v>0</v>
      </c>
      <c r="Q2" s="76">
        <f>+Passwörter_Agenturen!Y2</f>
        <v>0</v>
      </c>
      <c r="R2" s="76">
        <f>+Passwörter_Agenturen!Z2</f>
        <v>0</v>
      </c>
      <c r="S2" s="76">
        <f>+Passwörter_Agenturen!AA2</f>
        <v>0</v>
      </c>
      <c r="T2" s="76">
        <f>+Passwörter_Agenturen!AB2</f>
        <v>0</v>
      </c>
      <c r="U2" s="76">
        <f>+Passwörter_Agenturen!AC2</f>
        <v>0</v>
      </c>
      <c r="V2" s="76">
        <f>+Passwörter_Agenturen!AD2</f>
        <v>0</v>
      </c>
      <c r="W2" s="76">
        <f>+Passwörter_Agenturen!AE2</f>
        <v>0</v>
      </c>
      <c r="X2" s="76">
        <f>+Passwörter_Agenturen!AF2</f>
        <v>0</v>
      </c>
      <c r="Y2" s="76">
        <f>+Passwörter_Agenturen!AG2</f>
        <v>0</v>
      </c>
      <c r="Z2" s="76">
        <f>+Passwörter_Agenturen!AH2</f>
        <v>0</v>
      </c>
    </row>
    <row r="3" spans="1:26" x14ac:dyDescent="0.25">
      <c r="A3" s="75" t="str">
        <f>+Passwörter_Agenturen!H4</f>
        <v>abc-teleconsult</v>
      </c>
      <c r="B3" s="76">
        <f>+Passwörter_Agenturen!J4</f>
        <v>0</v>
      </c>
      <c r="C3" s="76">
        <f>+Passwörter_Agenturen!I4</f>
        <v>0</v>
      </c>
      <c r="D3" s="76">
        <f>+Passwörter_Agenturen!K4</f>
        <v>0</v>
      </c>
      <c r="E3" s="76">
        <f>+Passwörter_Agenturen!L4</f>
        <v>0</v>
      </c>
      <c r="F3" s="76">
        <f>+Passwörter_Agenturen!M4</f>
        <v>0</v>
      </c>
      <c r="G3" s="76">
        <f>+Passwörter_Agenturen!N4</f>
        <v>0</v>
      </c>
      <c r="H3" s="76">
        <f>+Passwörter_Agenturen!P4</f>
        <v>0</v>
      </c>
      <c r="I3" s="76">
        <f>+Passwörter_Agenturen!Q4</f>
        <v>0</v>
      </c>
      <c r="J3" s="76">
        <f>+Passwörter_Agenturen!R4</f>
        <v>0</v>
      </c>
      <c r="K3" s="76">
        <f>+Passwörter_Agenturen!S4</f>
        <v>0</v>
      </c>
      <c r="L3" s="76">
        <f>+Passwörter_Agenturen!T4</f>
        <v>0</v>
      </c>
      <c r="M3" s="76">
        <f>+Passwörter_Agenturen!U4</f>
        <v>0</v>
      </c>
      <c r="N3" s="76">
        <f>+Passwörter_Agenturen!V4</f>
        <v>0</v>
      </c>
      <c r="O3" s="76">
        <f>+Passwörter_Agenturen!W4</f>
        <v>0</v>
      </c>
      <c r="P3" s="76">
        <f>+Passwörter_Agenturen!X4</f>
        <v>0</v>
      </c>
      <c r="Q3" s="76">
        <f>+Passwörter_Agenturen!Y4</f>
        <v>0</v>
      </c>
      <c r="R3" s="76">
        <f>+Passwörter_Agenturen!Z4</f>
        <v>0</v>
      </c>
      <c r="S3" s="76">
        <f>+Passwörter_Agenturen!AA4</f>
        <v>0</v>
      </c>
      <c r="T3" s="76">
        <f>+Passwörter_Agenturen!AB4</f>
        <v>0</v>
      </c>
      <c r="U3" s="76">
        <f>+Passwörter_Agenturen!AC4</f>
        <v>0</v>
      </c>
      <c r="V3" s="76">
        <f>+Passwörter_Agenturen!AD4</f>
        <v>0</v>
      </c>
      <c r="W3" s="76">
        <f>+Passwörter_Agenturen!AE4</f>
        <v>0</v>
      </c>
      <c r="X3" s="76">
        <f>+Passwörter_Agenturen!AF4</f>
        <v>0</v>
      </c>
      <c r="Y3" s="76">
        <f>+Passwörter_Agenturen!AG4</f>
        <v>0</v>
      </c>
      <c r="Z3" s="76">
        <f>+Passwörter_Agenturen!AH4</f>
        <v>0</v>
      </c>
    </row>
    <row r="4" spans="1:26" x14ac:dyDescent="0.25">
      <c r="A4" s="75" t="str">
        <f>+Passwörter_Agenturen!H5</f>
        <v>ACE European Group Limited Direktion für Deutschland</v>
      </c>
      <c r="B4" s="76" t="str">
        <f>+Passwörter_Agenturen!J5</f>
        <v xml:space="preserve"> </v>
      </c>
      <c r="C4" s="76" t="str">
        <f>+Passwörter_Agenturen!I5</f>
        <v>2202_VEMA</v>
      </c>
      <c r="D4" s="76">
        <f>+Passwörter_Agenturen!K5</f>
        <v>0</v>
      </c>
      <c r="E4" s="76">
        <f>+Passwörter_Agenturen!L5</f>
        <v>0</v>
      </c>
      <c r="F4" s="76">
        <f>+Passwörter_Agenturen!M5</f>
        <v>0</v>
      </c>
      <c r="G4" s="76">
        <f>+Passwörter_Agenturen!N5</f>
        <v>0</v>
      </c>
      <c r="H4" s="76">
        <f>+Passwörter_Agenturen!P5</f>
        <v>0</v>
      </c>
      <c r="I4" s="76">
        <f>+Passwörter_Agenturen!Q5</f>
        <v>0</v>
      </c>
      <c r="J4" s="76">
        <f>+Passwörter_Agenturen!R5</f>
        <v>0</v>
      </c>
      <c r="K4" s="76">
        <f>+Passwörter_Agenturen!S5</f>
        <v>0</v>
      </c>
      <c r="L4" s="76">
        <f>+Passwörter_Agenturen!T5</f>
        <v>0</v>
      </c>
      <c r="M4" s="76">
        <f>+Passwörter_Agenturen!U5</f>
        <v>0</v>
      </c>
      <c r="N4" s="76">
        <f>+Passwörter_Agenturen!V5</f>
        <v>0</v>
      </c>
      <c r="O4" s="76">
        <f>+Passwörter_Agenturen!W5</f>
        <v>0</v>
      </c>
      <c r="P4" s="76">
        <f>+Passwörter_Agenturen!X5</f>
        <v>0</v>
      </c>
      <c r="Q4" s="76">
        <f>+Passwörter_Agenturen!Y5</f>
        <v>0</v>
      </c>
      <c r="R4" s="76">
        <f>+Passwörter_Agenturen!Z5</f>
        <v>0</v>
      </c>
      <c r="S4" s="76">
        <f>+Passwörter_Agenturen!AA5</f>
        <v>0</v>
      </c>
      <c r="T4" s="76">
        <f>+Passwörter_Agenturen!AB5</f>
        <v>0</v>
      </c>
      <c r="U4" s="76">
        <f>+Passwörter_Agenturen!AC5</f>
        <v>0</v>
      </c>
      <c r="V4" s="76">
        <f>+Passwörter_Agenturen!AD5</f>
        <v>0</v>
      </c>
      <c r="W4" s="76">
        <f>+Passwörter_Agenturen!AE5</f>
        <v>0</v>
      </c>
      <c r="X4" s="76">
        <f>+Passwörter_Agenturen!AF5</f>
        <v>0</v>
      </c>
      <c r="Y4" s="76">
        <f>+Passwörter_Agenturen!AG5</f>
        <v>0</v>
      </c>
      <c r="Z4" s="76">
        <f>+Passwörter_Agenturen!AH5</f>
        <v>0</v>
      </c>
    </row>
    <row r="5" spans="1:26" x14ac:dyDescent="0.25">
      <c r="A5" s="75" t="str">
        <f>+Passwörter_Agenturen!H6</f>
        <v>Adcuri</v>
      </c>
      <c r="B5" s="76" t="str">
        <f>+Passwörter_Agenturen!J6</f>
        <v>950086739</v>
      </c>
      <c r="C5" s="76" t="str">
        <f>+Passwörter_Agenturen!I6</f>
        <v>950212022</v>
      </c>
      <c r="D5" s="76">
        <f>+Passwörter_Agenturen!K6</f>
        <v>0</v>
      </c>
      <c r="E5" s="76">
        <f>+Passwörter_Agenturen!L6</f>
        <v>0</v>
      </c>
      <c r="F5" s="76">
        <f>+Passwörter_Agenturen!M6</f>
        <v>0</v>
      </c>
      <c r="G5" s="76">
        <f>+Passwörter_Agenturen!N6</f>
        <v>0</v>
      </c>
      <c r="H5" s="76">
        <f>+Passwörter_Agenturen!P6</f>
        <v>0</v>
      </c>
      <c r="I5" s="76">
        <f>+Passwörter_Agenturen!Q6</f>
        <v>0</v>
      </c>
      <c r="J5" s="76">
        <f>+Passwörter_Agenturen!R6</f>
        <v>0</v>
      </c>
      <c r="K5" s="76">
        <f>+Passwörter_Agenturen!S6</f>
        <v>0</v>
      </c>
      <c r="L5" s="76">
        <f>+Passwörter_Agenturen!T6</f>
        <v>0</v>
      </c>
      <c r="M5" s="76">
        <f>+Passwörter_Agenturen!U6</f>
        <v>0</v>
      </c>
      <c r="N5" s="76">
        <f>+Passwörter_Agenturen!V6</f>
        <v>0</v>
      </c>
      <c r="O5" s="76">
        <f>+Passwörter_Agenturen!W6</f>
        <v>0</v>
      </c>
      <c r="P5" s="76">
        <f>+Passwörter_Agenturen!X6</f>
        <v>0</v>
      </c>
      <c r="Q5" s="76">
        <f>+Passwörter_Agenturen!Y6</f>
        <v>0</v>
      </c>
      <c r="R5" s="76">
        <f>+Passwörter_Agenturen!Z6</f>
        <v>0</v>
      </c>
      <c r="S5" s="76">
        <f>+Passwörter_Agenturen!AA6</f>
        <v>0</v>
      </c>
      <c r="T5" s="76">
        <f>+Passwörter_Agenturen!AB6</f>
        <v>0</v>
      </c>
      <c r="U5" s="76">
        <f>+Passwörter_Agenturen!AC6</f>
        <v>0</v>
      </c>
      <c r="V5" s="76">
        <f>+Passwörter_Agenturen!AD6</f>
        <v>0</v>
      </c>
      <c r="W5" s="76">
        <f>+Passwörter_Agenturen!AE6</f>
        <v>0</v>
      </c>
      <c r="X5" s="76">
        <f>+Passwörter_Agenturen!AF6</f>
        <v>0</v>
      </c>
      <c r="Y5" s="76">
        <f>+Passwörter_Agenturen!AG6</f>
        <v>0</v>
      </c>
      <c r="Z5" s="76">
        <f>+Passwörter_Agenturen!AH6</f>
        <v>0</v>
      </c>
    </row>
    <row r="6" spans="1:26" x14ac:dyDescent="0.25">
      <c r="A6" s="75" t="str">
        <f>+Passwörter_Agenturen!H8</f>
        <v>Adcuri (VEMA)</v>
      </c>
      <c r="B6" s="76" t="str">
        <f>+Passwörter_Agenturen!J8</f>
        <v>950205963 alt</v>
      </c>
      <c r="C6" s="76" t="str">
        <f>+Passwörter_Agenturen!I8</f>
        <v>950212022</v>
      </c>
      <c r="D6" s="76">
        <f>+Passwörter_Agenturen!K8</f>
        <v>0</v>
      </c>
      <c r="E6" s="76">
        <f>+Passwörter_Agenturen!L8</f>
        <v>0</v>
      </c>
      <c r="F6" s="76">
        <f>+Passwörter_Agenturen!M8</f>
        <v>0</v>
      </c>
      <c r="G6" s="76">
        <f>+Passwörter_Agenturen!N8</f>
        <v>0</v>
      </c>
      <c r="H6" s="76">
        <f>+Passwörter_Agenturen!P8</f>
        <v>0</v>
      </c>
      <c r="I6" s="76">
        <f>+Passwörter_Agenturen!Q8</f>
        <v>0</v>
      </c>
      <c r="J6" s="76">
        <f>+Passwörter_Agenturen!R8</f>
        <v>0</v>
      </c>
      <c r="K6" s="76">
        <f>+Passwörter_Agenturen!S8</f>
        <v>0</v>
      </c>
      <c r="L6" s="76">
        <f>+Passwörter_Agenturen!T8</f>
        <v>0</v>
      </c>
      <c r="M6" s="76">
        <f>+Passwörter_Agenturen!U8</f>
        <v>0</v>
      </c>
      <c r="N6" s="76">
        <f>+Passwörter_Agenturen!V8</f>
        <v>0</v>
      </c>
      <c r="O6" s="76">
        <f>+Passwörter_Agenturen!W8</f>
        <v>0</v>
      </c>
      <c r="P6" s="76">
        <f>+Passwörter_Agenturen!X8</f>
        <v>0</v>
      </c>
      <c r="Q6" s="76">
        <f>+Passwörter_Agenturen!Y8</f>
        <v>0</v>
      </c>
      <c r="R6" s="76">
        <f>+Passwörter_Agenturen!Z8</f>
        <v>0</v>
      </c>
      <c r="S6" s="76">
        <f>+Passwörter_Agenturen!AA8</f>
        <v>0</v>
      </c>
      <c r="T6" s="76">
        <f>+Passwörter_Agenturen!AB8</f>
        <v>0</v>
      </c>
      <c r="U6" s="76">
        <f>+Passwörter_Agenturen!AC8</f>
        <v>0</v>
      </c>
      <c r="V6" s="76">
        <f>+Passwörter_Agenturen!AD8</f>
        <v>0</v>
      </c>
      <c r="W6" s="76">
        <f>+Passwörter_Agenturen!AE8</f>
        <v>0</v>
      </c>
      <c r="X6" s="76">
        <f>+Passwörter_Agenturen!AF8</f>
        <v>0</v>
      </c>
      <c r="Y6" s="76">
        <f>+Passwörter_Agenturen!AG8</f>
        <v>0</v>
      </c>
      <c r="Z6" s="76">
        <f>+Passwörter_Agenturen!AH8</f>
        <v>0</v>
      </c>
    </row>
    <row r="7" spans="1:26" x14ac:dyDescent="0.25">
      <c r="A7" s="75" t="str">
        <f>+Passwörter_Agenturen!H9</f>
        <v>Advigon (ex CSS 80002841)</v>
      </c>
      <c r="B7" s="76" t="str">
        <f>+Passwörter_Agenturen!J9</f>
        <v>3780145</v>
      </c>
      <c r="C7" s="76" t="str">
        <f>+Passwörter_Agenturen!I9</f>
        <v>3780145</v>
      </c>
      <c r="D7" s="76">
        <f>+Passwörter_Agenturen!K9</f>
        <v>0</v>
      </c>
      <c r="E7" s="76">
        <f>+Passwörter_Agenturen!L9</f>
        <v>0</v>
      </c>
      <c r="F7" s="76">
        <f>+Passwörter_Agenturen!M9</f>
        <v>0</v>
      </c>
      <c r="G7" s="76">
        <f>+Passwörter_Agenturen!N9</f>
        <v>0</v>
      </c>
      <c r="H7" s="76">
        <f>+Passwörter_Agenturen!P9</f>
        <v>0</v>
      </c>
      <c r="I7" s="76">
        <f>+Passwörter_Agenturen!Q9</f>
        <v>0</v>
      </c>
      <c r="J7" s="76">
        <f>+Passwörter_Agenturen!R9</f>
        <v>0</v>
      </c>
      <c r="K7" s="76">
        <f>+Passwörter_Agenturen!S9</f>
        <v>0</v>
      </c>
      <c r="L7" s="76">
        <f>+Passwörter_Agenturen!T9</f>
        <v>0</v>
      </c>
      <c r="M7" s="76">
        <f>+Passwörter_Agenturen!U9</f>
        <v>0</v>
      </c>
      <c r="N7" s="76">
        <f>+Passwörter_Agenturen!V9</f>
        <v>0</v>
      </c>
      <c r="O7" s="76">
        <f>+Passwörter_Agenturen!W9</f>
        <v>0</v>
      </c>
      <c r="P7" s="76">
        <f>+Passwörter_Agenturen!X9</f>
        <v>0</v>
      </c>
      <c r="Q7" s="76">
        <f>+Passwörter_Agenturen!Y9</f>
        <v>0</v>
      </c>
      <c r="R7" s="76">
        <f>+Passwörter_Agenturen!Z9</f>
        <v>0</v>
      </c>
      <c r="S7" s="76">
        <f>+Passwörter_Agenturen!AA9</f>
        <v>0</v>
      </c>
      <c r="T7" s="76">
        <f>+Passwörter_Agenturen!AB9</f>
        <v>0</v>
      </c>
      <c r="U7" s="76">
        <f>+Passwörter_Agenturen!AC9</f>
        <v>0</v>
      </c>
      <c r="V7" s="76">
        <f>+Passwörter_Agenturen!AD9</f>
        <v>0</v>
      </c>
      <c r="W7" s="76">
        <f>+Passwörter_Agenturen!AE9</f>
        <v>0</v>
      </c>
      <c r="X7" s="76">
        <f>+Passwörter_Agenturen!AF9</f>
        <v>0</v>
      </c>
      <c r="Y7" s="76">
        <f>+Passwörter_Agenturen!AG9</f>
        <v>0</v>
      </c>
      <c r="Z7" s="76">
        <f>+Passwörter_Agenturen!AH9</f>
        <v>0</v>
      </c>
    </row>
    <row r="8" spans="1:26" x14ac:dyDescent="0.25">
      <c r="A8" s="75" t="str">
        <f>+Passwörter_Agenturen!H10</f>
        <v>AdvoCard (Dialog)</v>
      </c>
      <c r="B8" s="76" t="str">
        <f>+Passwörter_Agenturen!J10</f>
        <v>70/5523/00122700</v>
      </c>
      <c r="C8" s="76" t="str">
        <f>+Passwörter_Agenturen!I10</f>
        <v>106151</v>
      </c>
      <c r="D8" s="76">
        <f>+Passwörter_Agenturen!K10</f>
        <v>0</v>
      </c>
      <c r="E8" s="76">
        <f>+Passwörter_Agenturen!L10</f>
        <v>0</v>
      </c>
      <c r="F8" s="76">
        <f>+Passwörter_Agenturen!M10</f>
        <v>0</v>
      </c>
      <c r="G8" s="76">
        <f>+Passwörter_Agenturen!N10</f>
        <v>0</v>
      </c>
      <c r="H8" s="76" t="str">
        <f>+Passwörter_Agenturen!P10</f>
        <v>590/5509</v>
      </c>
      <c r="I8" s="76">
        <f>+Passwörter_Agenturen!Q10</f>
        <v>0</v>
      </c>
      <c r="J8" s="76">
        <f>+Passwörter_Agenturen!R10</f>
        <v>0</v>
      </c>
      <c r="K8" s="76">
        <f>+Passwörter_Agenturen!S10</f>
        <v>0</v>
      </c>
      <c r="L8" s="76">
        <f>+Passwörter_Agenturen!T10</f>
        <v>0</v>
      </c>
      <c r="M8" s="76">
        <f>+Passwörter_Agenturen!U10</f>
        <v>0</v>
      </c>
      <c r="N8" s="76">
        <f>+Passwörter_Agenturen!V10</f>
        <v>0</v>
      </c>
      <c r="O8" s="76">
        <f>+Passwörter_Agenturen!W10</f>
        <v>0</v>
      </c>
      <c r="P8" s="76">
        <f>+Passwörter_Agenturen!X10</f>
        <v>0</v>
      </c>
      <c r="Q8" s="76">
        <f>+Passwörter_Agenturen!Y10</f>
        <v>0</v>
      </c>
      <c r="R8" s="76">
        <f>+Passwörter_Agenturen!Z10</f>
        <v>0</v>
      </c>
      <c r="S8" s="76">
        <f>+Passwörter_Agenturen!AA10</f>
        <v>0</v>
      </c>
      <c r="T8" s="76">
        <f>+Passwörter_Agenturen!AB10</f>
        <v>0</v>
      </c>
      <c r="U8" s="76">
        <f>+Passwörter_Agenturen!AC10</f>
        <v>0</v>
      </c>
      <c r="V8" s="76">
        <f>+Passwörter_Agenturen!AD10</f>
        <v>0</v>
      </c>
      <c r="W8" s="76">
        <f>+Passwörter_Agenturen!AE10</f>
        <v>0</v>
      </c>
      <c r="X8" s="76">
        <f>+Passwörter_Agenturen!AF10</f>
        <v>0</v>
      </c>
      <c r="Y8" s="76">
        <f>+Passwörter_Agenturen!AG10</f>
        <v>0</v>
      </c>
      <c r="Z8" s="76">
        <f>+Passwörter_Agenturen!AH10</f>
        <v>0</v>
      </c>
    </row>
    <row r="9" spans="1:26" x14ac:dyDescent="0.25">
      <c r="A9" s="75" t="e">
        <f>+Passwörter_Agenturen!#REF!</f>
        <v>#REF!</v>
      </c>
      <c r="B9" s="76" t="e">
        <f>+Passwörter_Agenturen!#REF!</f>
        <v>#REF!</v>
      </c>
      <c r="C9" s="76" t="e">
        <f>+Passwörter_Agenturen!#REF!</f>
        <v>#REF!</v>
      </c>
      <c r="D9" s="76" t="e">
        <f>+Passwörter_Agenturen!#REF!</f>
        <v>#REF!</v>
      </c>
      <c r="E9" s="76" t="e">
        <f>+Passwörter_Agenturen!#REF!</f>
        <v>#REF!</v>
      </c>
      <c r="F9" s="76" t="e">
        <f>+Passwörter_Agenturen!#REF!</f>
        <v>#REF!</v>
      </c>
      <c r="G9" s="76" t="e">
        <f>+Passwörter_Agenturen!#REF!</f>
        <v>#REF!</v>
      </c>
      <c r="H9" s="76" t="e">
        <f>+Passwörter_Agenturen!#REF!</f>
        <v>#REF!</v>
      </c>
      <c r="I9" s="76" t="e">
        <f>+Passwörter_Agenturen!#REF!</f>
        <v>#REF!</v>
      </c>
      <c r="J9" s="76" t="e">
        <f>+Passwörter_Agenturen!#REF!</f>
        <v>#REF!</v>
      </c>
      <c r="K9" s="76" t="e">
        <f>+Passwörter_Agenturen!#REF!</f>
        <v>#REF!</v>
      </c>
      <c r="L9" s="76" t="e">
        <f>+Passwörter_Agenturen!#REF!</f>
        <v>#REF!</v>
      </c>
      <c r="M9" s="76" t="e">
        <f>+Passwörter_Agenturen!#REF!</f>
        <v>#REF!</v>
      </c>
      <c r="N9" s="76" t="e">
        <f>+Passwörter_Agenturen!#REF!</f>
        <v>#REF!</v>
      </c>
      <c r="O9" s="76" t="e">
        <f>+Passwörter_Agenturen!#REF!</f>
        <v>#REF!</v>
      </c>
      <c r="P9" s="76" t="e">
        <f>+Passwörter_Agenturen!#REF!</f>
        <v>#REF!</v>
      </c>
      <c r="Q9" s="76" t="e">
        <f>+Passwörter_Agenturen!#REF!</f>
        <v>#REF!</v>
      </c>
      <c r="R9" s="76" t="e">
        <f>+Passwörter_Agenturen!#REF!</f>
        <v>#REF!</v>
      </c>
      <c r="S9" s="76" t="e">
        <f>+Passwörter_Agenturen!#REF!</f>
        <v>#REF!</v>
      </c>
      <c r="T9" s="76" t="e">
        <f>+Passwörter_Agenturen!#REF!</f>
        <v>#REF!</v>
      </c>
      <c r="U9" s="76" t="e">
        <f>+Passwörter_Agenturen!#REF!</f>
        <v>#REF!</v>
      </c>
      <c r="V9" s="76" t="e">
        <f>+Passwörter_Agenturen!#REF!</f>
        <v>#REF!</v>
      </c>
      <c r="W9" s="76" t="e">
        <f>+Passwörter_Agenturen!#REF!</f>
        <v>#REF!</v>
      </c>
      <c r="X9" s="76" t="e">
        <f>+Passwörter_Agenturen!#REF!</f>
        <v>#REF!</v>
      </c>
      <c r="Y9" s="76" t="e">
        <f>+Passwörter_Agenturen!#REF!</f>
        <v>#REF!</v>
      </c>
      <c r="Z9" s="76" t="e">
        <f>+Passwörter_Agenturen!#REF!</f>
        <v>#REF!</v>
      </c>
    </row>
    <row r="10" spans="1:26" x14ac:dyDescent="0.25">
      <c r="A10" s="75" t="str">
        <f>+Passwörter_Agenturen!H12</f>
        <v>AIG Europe Limited (Marke WüBa)</v>
      </c>
      <c r="B10" s="76" t="str">
        <f>+Passwörter_Agenturen!J12</f>
        <v>16603000</v>
      </c>
      <c r="C10" s="76" t="str">
        <f>+Passwörter_Agenturen!I12</f>
        <v>16603000</v>
      </c>
      <c r="D10" s="76">
        <f>+Passwörter_Agenturen!K12</f>
        <v>0</v>
      </c>
      <c r="E10" s="76">
        <f>+Passwörter_Agenturen!L12</f>
        <v>0</v>
      </c>
      <c r="F10" s="76">
        <f>+Passwörter_Agenturen!M12</f>
        <v>0</v>
      </c>
      <c r="G10" s="76">
        <f>+Passwörter_Agenturen!N12</f>
        <v>0</v>
      </c>
      <c r="H10" s="76">
        <f>+Passwörter_Agenturen!P12</f>
        <v>0</v>
      </c>
      <c r="I10" s="76">
        <f>+Passwörter_Agenturen!Q12</f>
        <v>0</v>
      </c>
      <c r="J10" s="76">
        <f>+Passwörter_Agenturen!R12</f>
        <v>0</v>
      </c>
      <c r="K10" s="76">
        <f>+Passwörter_Agenturen!S12</f>
        <v>0</v>
      </c>
      <c r="L10" s="76">
        <f>+Passwörter_Agenturen!T12</f>
        <v>0</v>
      </c>
      <c r="M10" s="76">
        <f>+Passwörter_Agenturen!U12</f>
        <v>0</v>
      </c>
      <c r="N10" s="76">
        <f>+Passwörter_Agenturen!V12</f>
        <v>0</v>
      </c>
      <c r="O10" s="76">
        <f>+Passwörter_Agenturen!W12</f>
        <v>0</v>
      </c>
      <c r="P10" s="76">
        <f>+Passwörter_Agenturen!X12</f>
        <v>0</v>
      </c>
      <c r="Q10" s="76">
        <f>+Passwörter_Agenturen!Y12</f>
        <v>0</v>
      </c>
      <c r="R10" s="76">
        <f>+Passwörter_Agenturen!Z12</f>
        <v>0</v>
      </c>
      <c r="S10" s="76">
        <f>+Passwörter_Agenturen!AA12</f>
        <v>0</v>
      </c>
      <c r="T10" s="76">
        <f>+Passwörter_Agenturen!AB12</f>
        <v>0</v>
      </c>
      <c r="U10" s="76">
        <f>+Passwörter_Agenturen!AC12</f>
        <v>0</v>
      </c>
      <c r="V10" s="76">
        <f>+Passwörter_Agenturen!AD12</f>
        <v>0</v>
      </c>
      <c r="W10" s="76">
        <f>+Passwörter_Agenturen!AE12</f>
        <v>0</v>
      </c>
      <c r="X10" s="76">
        <f>+Passwörter_Agenturen!AF12</f>
        <v>0</v>
      </c>
      <c r="Y10" s="76">
        <f>+Passwörter_Agenturen!AG12</f>
        <v>0</v>
      </c>
      <c r="Z10" s="76">
        <f>+Passwörter_Agenturen!AH12</f>
        <v>0</v>
      </c>
    </row>
    <row r="11" spans="1:26" x14ac:dyDescent="0.25">
      <c r="A11" s="75" t="str">
        <f>+Passwörter_Agenturen!H13</f>
        <v>Allianz  Leben</v>
      </c>
      <c r="B11" s="76" t="str">
        <f>+Passwörter_Agenturen!J13</f>
        <v>50/110/2650</v>
      </c>
      <c r="C11" s="76" t="str">
        <f>+Passwörter_Agenturen!I13</f>
        <v>50/110/2650</v>
      </c>
      <c r="D11" s="76">
        <f>+Passwörter_Agenturen!K13</f>
        <v>0</v>
      </c>
      <c r="E11" s="76">
        <f>+Passwörter_Agenturen!L13</f>
        <v>0</v>
      </c>
      <c r="F11" s="76">
        <f>+Passwörter_Agenturen!M13</f>
        <v>0</v>
      </c>
      <c r="G11" s="76">
        <f>+Passwörter_Agenturen!N13</f>
        <v>0</v>
      </c>
      <c r="H11" s="76">
        <f>+Passwörter_Agenturen!P13</f>
        <v>0</v>
      </c>
      <c r="I11" s="76">
        <f>+Passwörter_Agenturen!Q13</f>
        <v>0</v>
      </c>
      <c r="J11" s="76">
        <f>+Passwörter_Agenturen!R13</f>
        <v>0</v>
      </c>
      <c r="K11" s="76">
        <f>+Passwörter_Agenturen!S13</f>
        <v>0</v>
      </c>
      <c r="L11" s="76">
        <f>+Passwörter_Agenturen!T13</f>
        <v>0</v>
      </c>
      <c r="M11" s="76">
        <f>+Passwörter_Agenturen!U13</f>
        <v>0</v>
      </c>
      <c r="N11" s="76">
        <f>+Passwörter_Agenturen!V13</f>
        <v>0</v>
      </c>
      <c r="O11" s="76">
        <f>+Passwörter_Agenturen!W13</f>
        <v>0</v>
      </c>
      <c r="P11" s="76">
        <f>+Passwörter_Agenturen!X13</f>
        <v>0</v>
      </c>
      <c r="Q11" s="76">
        <f>+Passwörter_Agenturen!Y13</f>
        <v>0</v>
      </c>
      <c r="R11" s="76">
        <f>+Passwörter_Agenturen!Z13</f>
        <v>0</v>
      </c>
      <c r="S11" s="76">
        <f>+Passwörter_Agenturen!AA13</f>
        <v>0</v>
      </c>
      <c r="T11" s="76">
        <f>+Passwörter_Agenturen!AB13</f>
        <v>0</v>
      </c>
      <c r="U11" s="76">
        <f>+Passwörter_Agenturen!AC13</f>
        <v>0</v>
      </c>
      <c r="V11" s="76">
        <f>+Passwörter_Agenturen!AD13</f>
        <v>0</v>
      </c>
      <c r="W11" s="76">
        <f>+Passwörter_Agenturen!AE13</f>
        <v>0</v>
      </c>
      <c r="X11" s="76" t="str">
        <f>+Passwörter_Agenturen!AF13</f>
        <v>72020435</v>
      </c>
      <c r="Y11" s="76">
        <f>+Passwörter_Agenturen!AG13</f>
        <v>0</v>
      </c>
      <c r="Z11" s="76">
        <f>+Passwörter_Agenturen!AH13</f>
        <v>0</v>
      </c>
    </row>
    <row r="12" spans="1:26" x14ac:dyDescent="0.25">
      <c r="A12" s="75" t="str">
        <f>+Passwörter_Agenturen!H14</f>
        <v>Allianz Kranken</v>
      </c>
      <c r="B12" s="76" t="str">
        <f>+Passwörter_Agenturen!J14</f>
        <v xml:space="preserve">70/585/0637 </v>
      </c>
      <c r="C12" s="76">
        <f>+Passwörter_Agenturen!I14</f>
        <v>705850637</v>
      </c>
      <c r="D12" s="76">
        <f>+Passwörter_Agenturen!K14</f>
        <v>0</v>
      </c>
      <c r="E12" s="76">
        <f>+Passwörter_Agenturen!L14</f>
        <v>0</v>
      </c>
      <c r="F12" s="76">
        <f>+Passwörter_Agenturen!M14</f>
        <v>0</v>
      </c>
      <c r="G12" s="76">
        <f>+Passwörter_Agenturen!N14</f>
        <v>0</v>
      </c>
      <c r="H12" s="76">
        <f>+Passwörter_Agenturen!P14</f>
        <v>0</v>
      </c>
      <c r="I12" s="76">
        <f>+Passwörter_Agenturen!Q14</f>
        <v>0</v>
      </c>
      <c r="J12" s="76">
        <f>+Passwörter_Agenturen!R14</f>
        <v>0</v>
      </c>
      <c r="K12" s="76">
        <f>+Passwörter_Agenturen!S14</f>
        <v>0</v>
      </c>
      <c r="L12" s="76">
        <f>+Passwörter_Agenturen!T14</f>
        <v>0</v>
      </c>
      <c r="M12" s="76">
        <f>+Passwörter_Agenturen!U14</f>
        <v>0</v>
      </c>
      <c r="N12" s="76">
        <f>+Passwörter_Agenturen!V14</f>
        <v>0</v>
      </c>
      <c r="O12" s="76">
        <f>+Passwörter_Agenturen!W14</f>
        <v>0</v>
      </c>
      <c r="P12" s="76">
        <f>+Passwörter_Agenturen!X14</f>
        <v>0</v>
      </c>
      <c r="Q12" s="76">
        <f>+Passwörter_Agenturen!Y14</f>
        <v>0</v>
      </c>
      <c r="R12" s="76">
        <f>+Passwörter_Agenturen!Z14</f>
        <v>0</v>
      </c>
      <c r="S12" s="76">
        <f>+Passwörter_Agenturen!AA14</f>
        <v>0</v>
      </c>
      <c r="T12" s="76">
        <f>+Passwörter_Agenturen!AB14</f>
        <v>0</v>
      </c>
      <c r="U12" s="76">
        <f>+Passwörter_Agenturen!AC14</f>
        <v>0</v>
      </c>
      <c r="V12" s="76">
        <f>+Passwörter_Agenturen!AD14</f>
        <v>0</v>
      </c>
      <c r="W12" s="76">
        <f>+Passwörter_Agenturen!AE14</f>
        <v>0</v>
      </c>
      <c r="X12" s="76" t="str">
        <f>+Passwörter_Agenturen!AF14</f>
        <v>72020435</v>
      </c>
      <c r="Y12" s="76">
        <f>+Passwörter_Agenturen!AG14</f>
        <v>0</v>
      </c>
      <c r="Z12" s="76">
        <f>+Passwörter_Agenturen!AH14</f>
        <v>0</v>
      </c>
    </row>
    <row r="13" spans="1:26" x14ac:dyDescent="0.25">
      <c r="A13" s="75" t="str">
        <f>+Passwörter_Agenturen!H16</f>
        <v>Alte Leipziger Bauspar AG</v>
      </c>
      <c r="B13" s="76">
        <f>+Passwörter_Agenturen!J16</f>
        <v>5124</v>
      </c>
      <c r="C13" s="76">
        <f>+Passwörter_Agenturen!I16</f>
        <v>0</v>
      </c>
      <c r="D13" s="76">
        <f>+Passwörter_Agenturen!K16</f>
        <v>0</v>
      </c>
      <c r="E13" s="76">
        <f>+Passwörter_Agenturen!L16</f>
        <v>0</v>
      </c>
      <c r="F13" s="76">
        <f>+Passwörter_Agenturen!M16</f>
        <v>0</v>
      </c>
      <c r="G13" s="76">
        <f>+Passwörter_Agenturen!N16</f>
        <v>0</v>
      </c>
      <c r="H13" s="76">
        <f>+Passwörter_Agenturen!P16</f>
        <v>0</v>
      </c>
      <c r="I13" s="76">
        <f>+Passwörter_Agenturen!Q16</f>
        <v>0</v>
      </c>
      <c r="J13" s="76">
        <f>+Passwörter_Agenturen!R16</f>
        <v>0</v>
      </c>
      <c r="K13" s="76">
        <f>+Passwörter_Agenturen!S16</f>
        <v>0</v>
      </c>
      <c r="L13" s="76">
        <f>+Passwörter_Agenturen!T16</f>
        <v>0</v>
      </c>
      <c r="M13" s="76">
        <f>+Passwörter_Agenturen!U16</f>
        <v>0</v>
      </c>
      <c r="N13" s="76">
        <f>+Passwörter_Agenturen!V16</f>
        <v>0</v>
      </c>
      <c r="O13" s="76">
        <f>+Passwörter_Agenturen!W16</f>
        <v>0</v>
      </c>
      <c r="P13" s="76">
        <f>+Passwörter_Agenturen!X16</f>
        <v>0</v>
      </c>
      <c r="Q13" s="76">
        <f>+Passwörter_Agenturen!Y16</f>
        <v>0</v>
      </c>
      <c r="R13" s="76">
        <f>+Passwörter_Agenturen!Z16</f>
        <v>0</v>
      </c>
      <c r="S13" s="76">
        <f>+Passwörter_Agenturen!AA16</f>
        <v>0</v>
      </c>
      <c r="T13" s="76">
        <f>+Passwörter_Agenturen!AB16</f>
        <v>0</v>
      </c>
      <c r="U13" s="76">
        <f>+Passwörter_Agenturen!AC16</f>
        <v>0</v>
      </c>
      <c r="V13" s="76">
        <f>+Passwörter_Agenturen!AD16</f>
        <v>0</v>
      </c>
      <c r="W13" s="76">
        <f>+Passwörter_Agenturen!AE16</f>
        <v>0</v>
      </c>
      <c r="X13" s="76">
        <f>+Passwörter_Agenturen!AF16</f>
        <v>0</v>
      </c>
      <c r="Y13" s="76">
        <f>+Passwörter_Agenturen!AG16</f>
        <v>0</v>
      </c>
      <c r="Z13" s="76">
        <f>+Passwörter_Agenturen!AH16</f>
        <v>0</v>
      </c>
    </row>
    <row r="14" spans="1:26" x14ac:dyDescent="0.25">
      <c r="A14" s="75" t="str">
        <f>+Passwörter_Agenturen!H18</f>
        <v>Amex</v>
      </c>
      <c r="B14" s="76" t="str">
        <f>+Passwörter_Agenturen!J18</f>
        <v>55956</v>
      </c>
      <c r="C14" s="76">
        <f>+Passwörter_Agenturen!I18</f>
        <v>0</v>
      </c>
      <c r="D14" s="76">
        <f>+Passwörter_Agenturen!K18</f>
        <v>0</v>
      </c>
      <c r="E14" s="76">
        <f>+Passwörter_Agenturen!L18</f>
        <v>0</v>
      </c>
      <c r="F14" s="76">
        <f>+Passwörter_Agenturen!M18</f>
        <v>0</v>
      </c>
      <c r="G14" s="76">
        <f>+Passwörter_Agenturen!N18</f>
        <v>0</v>
      </c>
      <c r="H14" s="76">
        <f>+Passwörter_Agenturen!P18</f>
        <v>0</v>
      </c>
      <c r="I14" s="76">
        <f>+Passwörter_Agenturen!Q18</f>
        <v>0</v>
      </c>
      <c r="J14" s="76">
        <f>+Passwörter_Agenturen!R18</f>
        <v>0</v>
      </c>
      <c r="K14" s="76">
        <f>+Passwörter_Agenturen!S18</f>
        <v>0</v>
      </c>
      <c r="L14" s="76">
        <f>+Passwörter_Agenturen!T18</f>
        <v>0</v>
      </c>
      <c r="M14" s="76">
        <f>+Passwörter_Agenturen!U18</f>
        <v>0</v>
      </c>
      <c r="N14" s="76">
        <f>+Passwörter_Agenturen!V18</f>
        <v>0</v>
      </c>
      <c r="O14" s="76">
        <f>+Passwörter_Agenturen!W18</f>
        <v>0</v>
      </c>
      <c r="P14" s="76">
        <f>+Passwörter_Agenturen!X18</f>
        <v>0</v>
      </c>
      <c r="Q14" s="76">
        <f>+Passwörter_Agenturen!Y18</f>
        <v>0</v>
      </c>
      <c r="R14" s="76">
        <f>+Passwörter_Agenturen!Z18</f>
        <v>0</v>
      </c>
      <c r="S14" s="76">
        <f>+Passwörter_Agenturen!AA18</f>
        <v>0</v>
      </c>
      <c r="T14" s="76">
        <f>+Passwörter_Agenturen!AB18</f>
        <v>0</v>
      </c>
      <c r="U14" s="76">
        <f>+Passwörter_Agenturen!AC18</f>
        <v>0</v>
      </c>
      <c r="V14" s="76">
        <f>+Passwörter_Agenturen!AD18</f>
        <v>0</v>
      </c>
      <c r="W14" s="76">
        <f>+Passwörter_Agenturen!AE18</f>
        <v>0</v>
      </c>
      <c r="X14" s="76">
        <f>+Passwörter_Agenturen!AF18</f>
        <v>0</v>
      </c>
      <c r="Y14" s="76">
        <f>+Passwörter_Agenturen!AG18</f>
        <v>0</v>
      </c>
      <c r="Z14" s="76">
        <f>+Passwörter_Agenturen!AH18</f>
        <v>0</v>
      </c>
    </row>
    <row r="15" spans="1:26" x14ac:dyDescent="0.25">
      <c r="A15" s="75" t="str">
        <f>+Passwörter_Agenturen!H19</f>
        <v>Ammerländer</v>
      </c>
      <c r="B15" s="76" t="str">
        <f>+Passwörter_Agenturen!J19</f>
        <v>24600</v>
      </c>
      <c r="C15" s="76" t="str">
        <f>+Passwörter_Agenturen!I19</f>
        <v>24600</v>
      </c>
      <c r="D15" s="76">
        <f>+Passwörter_Agenturen!K19</f>
        <v>0</v>
      </c>
      <c r="E15" s="76">
        <f>+Passwörter_Agenturen!L19</f>
        <v>0</v>
      </c>
      <c r="F15" s="76">
        <f>+Passwörter_Agenturen!M19</f>
        <v>0</v>
      </c>
      <c r="G15" s="76">
        <f>+Passwörter_Agenturen!N19</f>
        <v>0</v>
      </c>
      <c r="H15" s="76">
        <f>+Passwörter_Agenturen!P19</f>
        <v>0</v>
      </c>
      <c r="I15" s="76">
        <f>+Passwörter_Agenturen!Q19</f>
        <v>0</v>
      </c>
      <c r="J15" s="76">
        <f>+Passwörter_Agenturen!R19</f>
        <v>0</v>
      </c>
      <c r="K15" s="76">
        <f>+Passwörter_Agenturen!S19</f>
        <v>0</v>
      </c>
      <c r="L15" s="76">
        <f>+Passwörter_Agenturen!T19</f>
        <v>0</v>
      </c>
      <c r="M15" s="76">
        <f>+Passwörter_Agenturen!U19</f>
        <v>0</v>
      </c>
      <c r="N15" s="76">
        <f>+Passwörter_Agenturen!V19</f>
        <v>0</v>
      </c>
      <c r="O15" s="76">
        <f>+Passwörter_Agenturen!W19</f>
        <v>0</v>
      </c>
      <c r="P15" s="76">
        <f>+Passwörter_Agenturen!X19</f>
        <v>0</v>
      </c>
      <c r="Q15" s="76">
        <f>+Passwörter_Agenturen!Y19</f>
        <v>0</v>
      </c>
      <c r="R15" s="76">
        <f>+Passwörter_Agenturen!Z19</f>
        <v>0</v>
      </c>
      <c r="S15" s="76">
        <f>+Passwörter_Agenturen!AA19</f>
        <v>0</v>
      </c>
      <c r="T15" s="76">
        <f>+Passwörter_Agenturen!AB19</f>
        <v>0</v>
      </c>
      <c r="U15" s="76">
        <f>+Passwörter_Agenturen!AC19</f>
        <v>0</v>
      </c>
      <c r="V15" s="76">
        <f>+Passwörter_Agenturen!AD19</f>
        <v>0</v>
      </c>
      <c r="W15" s="76">
        <f>+Passwörter_Agenturen!AE19</f>
        <v>0</v>
      </c>
      <c r="X15" s="76">
        <f>+Passwörter_Agenturen!AF19</f>
        <v>0</v>
      </c>
      <c r="Y15" s="76">
        <f>+Passwörter_Agenturen!AG19</f>
        <v>0</v>
      </c>
      <c r="Z15" s="76">
        <f>+Passwörter_Agenturen!AH19</f>
        <v>0</v>
      </c>
    </row>
    <row r="16" spans="1:26" x14ac:dyDescent="0.25">
      <c r="A16" s="75" t="str">
        <f>+Passwörter_Agenturen!H20</f>
        <v>Ammerländer</v>
      </c>
      <c r="B16" s="76">
        <f>+Passwörter_Agenturen!J20</f>
        <v>0</v>
      </c>
      <c r="C16" s="76" t="str">
        <f>+Passwörter_Agenturen!I20</f>
        <v>24600</v>
      </c>
      <c r="D16" s="76">
        <f>+Passwörter_Agenturen!K20</f>
        <v>0</v>
      </c>
      <c r="E16" s="76">
        <f>+Passwörter_Agenturen!L20</f>
        <v>0</v>
      </c>
      <c r="F16" s="76">
        <f>+Passwörter_Agenturen!M20</f>
        <v>0</v>
      </c>
      <c r="G16" s="76">
        <f>+Passwörter_Agenturen!N20</f>
        <v>0</v>
      </c>
      <c r="H16" s="76">
        <f>+Passwörter_Agenturen!P20</f>
        <v>0</v>
      </c>
      <c r="I16" s="76">
        <f>+Passwörter_Agenturen!Q20</f>
        <v>0</v>
      </c>
      <c r="J16" s="76">
        <f>+Passwörter_Agenturen!R20</f>
        <v>0</v>
      </c>
      <c r="K16" s="76">
        <f>+Passwörter_Agenturen!S20</f>
        <v>0</v>
      </c>
      <c r="L16" s="76">
        <f>+Passwörter_Agenturen!T20</f>
        <v>0</v>
      </c>
      <c r="M16" s="76">
        <f>+Passwörter_Agenturen!U20</f>
        <v>0</v>
      </c>
      <c r="N16" s="76">
        <f>+Passwörter_Agenturen!V20</f>
        <v>0</v>
      </c>
      <c r="O16" s="76">
        <f>+Passwörter_Agenturen!W20</f>
        <v>0</v>
      </c>
      <c r="P16" s="76">
        <f>+Passwörter_Agenturen!X20</f>
        <v>0</v>
      </c>
      <c r="Q16" s="76">
        <f>+Passwörter_Agenturen!Y20</f>
        <v>0</v>
      </c>
      <c r="R16" s="76">
        <f>+Passwörter_Agenturen!Z20</f>
        <v>0</v>
      </c>
      <c r="S16" s="76">
        <f>+Passwörter_Agenturen!AA20</f>
        <v>0</v>
      </c>
      <c r="T16" s="76">
        <f>+Passwörter_Agenturen!AB20</f>
        <v>0</v>
      </c>
      <c r="U16" s="76">
        <f>+Passwörter_Agenturen!AC20</f>
        <v>0</v>
      </c>
      <c r="V16" s="76">
        <f>+Passwörter_Agenturen!AD20</f>
        <v>0</v>
      </c>
      <c r="W16" s="76">
        <f>+Passwörter_Agenturen!AE20</f>
        <v>0</v>
      </c>
      <c r="X16" s="76">
        <f>+Passwörter_Agenturen!AF20</f>
        <v>0</v>
      </c>
      <c r="Y16" s="76">
        <f>+Passwörter_Agenturen!AG20</f>
        <v>0</v>
      </c>
      <c r="Z16" s="76">
        <f>+Passwörter_Agenturen!AH20</f>
        <v>0</v>
      </c>
    </row>
    <row r="17" spans="1:26" x14ac:dyDescent="0.25">
      <c r="A17" s="75" t="str">
        <f>+Passwörter_Agenturen!H22</f>
        <v>Apella</v>
      </c>
      <c r="B17" s="76" t="str">
        <f>+Passwörter_Agenturen!J22</f>
        <v>05065</v>
      </c>
      <c r="C17" s="76">
        <f>+Passwörter_Agenturen!I22</f>
        <v>0</v>
      </c>
      <c r="D17" s="76">
        <f>+Passwörter_Agenturen!K22</f>
        <v>0</v>
      </c>
      <c r="E17" s="76">
        <f>+Passwörter_Agenturen!L22</f>
        <v>0</v>
      </c>
      <c r="F17" s="76">
        <f>+Passwörter_Agenturen!M22</f>
        <v>0</v>
      </c>
      <c r="G17" s="76">
        <f>+Passwörter_Agenturen!N22</f>
        <v>0</v>
      </c>
      <c r="H17" s="76">
        <f>+Passwörter_Agenturen!P22</f>
        <v>0</v>
      </c>
      <c r="I17" s="76">
        <f>+Passwörter_Agenturen!Q22</f>
        <v>0</v>
      </c>
      <c r="J17" s="76">
        <f>+Passwörter_Agenturen!R22</f>
        <v>0</v>
      </c>
      <c r="K17" s="76">
        <f>+Passwörter_Agenturen!S22</f>
        <v>0</v>
      </c>
      <c r="L17" s="76">
        <f>+Passwörter_Agenturen!T22</f>
        <v>0</v>
      </c>
      <c r="M17" s="76">
        <f>+Passwörter_Agenturen!U22</f>
        <v>0</v>
      </c>
      <c r="N17" s="76">
        <f>+Passwörter_Agenturen!V22</f>
        <v>0</v>
      </c>
      <c r="O17" s="76">
        <f>+Passwörter_Agenturen!W22</f>
        <v>0</v>
      </c>
      <c r="P17" s="76">
        <f>+Passwörter_Agenturen!X22</f>
        <v>0</v>
      </c>
      <c r="Q17" s="76">
        <f>+Passwörter_Agenturen!Y22</f>
        <v>0</v>
      </c>
      <c r="R17" s="76">
        <f>+Passwörter_Agenturen!Z22</f>
        <v>0</v>
      </c>
      <c r="S17" s="76">
        <f>+Passwörter_Agenturen!AA22</f>
        <v>0</v>
      </c>
      <c r="T17" s="76">
        <f>+Passwörter_Agenturen!AB22</f>
        <v>0</v>
      </c>
      <c r="U17" s="76">
        <f>+Passwörter_Agenturen!AC22</f>
        <v>0</v>
      </c>
      <c r="V17" s="76">
        <f>+Passwörter_Agenturen!AD22</f>
        <v>0</v>
      </c>
      <c r="W17" s="76">
        <f>+Passwörter_Agenturen!AE22</f>
        <v>0</v>
      </c>
      <c r="X17" s="76">
        <f>+Passwörter_Agenturen!AF22</f>
        <v>0</v>
      </c>
      <c r="Y17" s="76">
        <f>+Passwörter_Agenturen!AG22</f>
        <v>0</v>
      </c>
      <c r="Z17" s="76">
        <f>+Passwörter_Agenturen!AH22</f>
        <v>0</v>
      </c>
    </row>
    <row r="18" spans="1:26" x14ac:dyDescent="0.25">
      <c r="A18" s="75" t="str">
        <f>+Passwörter_Agenturen!H23</f>
        <v>Apella</v>
      </c>
      <c r="B18" s="76">
        <f>+Passwörter_Agenturen!J23</f>
        <v>0</v>
      </c>
      <c r="C18" s="76">
        <f>+Passwörter_Agenturen!I23</f>
        <v>0</v>
      </c>
      <c r="D18" s="76">
        <f>+Passwörter_Agenturen!K23</f>
        <v>0</v>
      </c>
      <c r="E18" s="76">
        <f>+Passwörter_Agenturen!L23</f>
        <v>0</v>
      </c>
      <c r="F18" s="76">
        <f>+Passwörter_Agenturen!M23</f>
        <v>0</v>
      </c>
      <c r="G18" s="76">
        <f>+Passwörter_Agenturen!N23</f>
        <v>0</v>
      </c>
      <c r="H18" s="76">
        <f>+Passwörter_Agenturen!P23</f>
        <v>0</v>
      </c>
      <c r="I18" s="76">
        <f>+Passwörter_Agenturen!Q23</f>
        <v>0</v>
      </c>
      <c r="J18" s="76">
        <f>+Passwörter_Agenturen!R23</f>
        <v>0</v>
      </c>
      <c r="K18" s="76">
        <f>+Passwörter_Agenturen!S23</f>
        <v>0</v>
      </c>
      <c r="L18" s="76">
        <f>+Passwörter_Agenturen!T23</f>
        <v>0</v>
      </c>
      <c r="M18" s="76">
        <f>+Passwörter_Agenturen!U23</f>
        <v>0</v>
      </c>
      <c r="N18" s="76">
        <f>+Passwörter_Agenturen!V23</f>
        <v>0</v>
      </c>
      <c r="O18" s="76">
        <f>+Passwörter_Agenturen!W23</f>
        <v>0</v>
      </c>
      <c r="P18" s="76">
        <f>+Passwörter_Agenturen!X23</f>
        <v>0</v>
      </c>
      <c r="Q18" s="76">
        <f>+Passwörter_Agenturen!Y23</f>
        <v>0</v>
      </c>
      <c r="R18" s="76">
        <f>+Passwörter_Agenturen!Z23</f>
        <v>0</v>
      </c>
      <c r="S18" s="76">
        <f>+Passwörter_Agenturen!AA23</f>
        <v>0</v>
      </c>
      <c r="T18" s="76">
        <f>+Passwörter_Agenturen!AB23</f>
        <v>0</v>
      </c>
      <c r="U18" s="76">
        <f>+Passwörter_Agenturen!AC23</f>
        <v>0</v>
      </c>
      <c r="V18" s="76">
        <f>+Passwörter_Agenturen!AD23</f>
        <v>0</v>
      </c>
      <c r="W18" s="76">
        <f>+Passwörter_Agenturen!AE23</f>
        <v>0</v>
      </c>
      <c r="X18" s="76">
        <f>+Passwörter_Agenturen!AF23</f>
        <v>0</v>
      </c>
      <c r="Y18" s="76">
        <f>+Passwörter_Agenturen!AG23</f>
        <v>0</v>
      </c>
      <c r="Z18" s="76">
        <f>+Passwörter_Agenturen!AH23</f>
        <v>0</v>
      </c>
    </row>
    <row r="19" spans="1:26" x14ac:dyDescent="0.25">
      <c r="A19" s="75" t="str">
        <f>+Passwörter_Agenturen!H24</f>
        <v>ARAG Krankenversicherungen</v>
      </c>
      <c r="B19" s="76" t="str">
        <f>+Passwörter_Agenturen!J24</f>
        <v>643/060344</v>
      </c>
      <c r="C19" s="76">
        <f>+Passwörter_Agenturen!I24</f>
        <v>60344</v>
      </c>
      <c r="D19" s="76">
        <f>+Passwörter_Agenturen!K24</f>
        <v>0</v>
      </c>
      <c r="E19" s="76">
        <f>+Passwörter_Agenturen!L24</f>
        <v>0</v>
      </c>
      <c r="F19" s="76">
        <f>+Passwörter_Agenturen!M24</f>
        <v>0</v>
      </c>
      <c r="G19" s="76">
        <f>+Passwörter_Agenturen!N24</f>
        <v>0</v>
      </c>
      <c r="H19" s="76">
        <f>+Passwörter_Agenturen!P24</f>
        <v>0</v>
      </c>
      <c r="I19" s="76">
        <f>+Passwörter_Agenturen!Q24</f>
        <v>0</v>
      </c>
      <c r="J19" s="76">
        <f>+Passwörter_Agenturen!R24</f>
        <v>0</v>
      </c>
      <c r="K19" s="76">
        <f>+Passwörter_Agenturen!S24</f>
        <v>0</v>
      </c>
      <c r="L19" s="76">
        <f>+Passwörter_Agenturen!T24</f>
        <v>0</v>
      </c>
      <c r="M19" s="76">
        <f>+Passwörter_Agenturen!U24</f>
        <v>0</v>
      </c>
      <c r="N19" s="76">
        <f>+Passwörter_Agenturen!V24</f>
        <v>0</v>
      </c>
      <c r="O19" s="76">
        <f>+Passwörter_Agenturen!W24</f>
        <v>0</v>
      </c>
      <c r="P19" s="76">
        <f>+Passwörter_Agenturen!X24</f>
        <v>0</v>
      </c>
      <c r="Q19" s="76">
        <f>+Passwörter_Agenturen!Y24</f>
        <v>0</v>
      </c>
      <c r="R19" s="76">
        <f>+Passwörter_Agenturen!Z24</f>
        <v>0</v>
      </c>
      <c r="S19" s="76">
        <f>+Passwörter_Agenturen!AA24</f>
        <v>0</v>
      </c>
      <c r="T19" s="76">
        <f>+Passwörter_Agenturen!AB24</f>
        <v>0</v>
      </c>
      <c r="U19" s="76">
        <f>+Passwörter_Agenturen!AC24</f>
        <v>0</v>
      </c>
      <c r="V19" s="76">
        <f>+Passwörter_Agenturen!AD24</f>
        <v>0</v>
      </c>
      <c r="W19" s="76">
        <f>+Passwörter_Agenturen!AE24</f>
        <v>0</v>
      </c>
      <c r="X19" s="76">
        <f>+Passwörter_Agenturen!AF24</f>
        <v>0</v>
      </c>
      <c r="Y19" s="76">
        <f>+Passwörter_Agenturen!AG24</f>
        <v>0</v>
      </c>
      <c r="Z19" s="76">
        <f>+Passwörter_Agenturen!AH24</f>
        <v>0</v>
      </c>
    </row>
    <row r="20" spans="1:26" x14ac:dyDescent="0.25">
      <c r="A20" s="75" t="str">
        <f>+Passwörter_Agenturen!H25</f>
        <v>ARAG Rechtsschutzversicherung</v>
      </c>
      <c r="B20" s="76" t="str">
        <f>+Passwörter_Agenturen!J25</f>
        <v>643/AA2481-3</v>
      </c>
      <c r="C20" s="76" t="str">
        <f>+Passwörter_Agenturen!I25</f>
        <v>AA2481-3</v>
      </c>
      <c r="D20" s="76">
        <f>+Passwörter_Agenturen!K25</f>
        <v>0</v>
      </c>
      <c r="E20" s="76" t="str">
        <f>+Passwörter_Agenturen!L25</f>
        <v>7975101</v>
      </c>
      <c r="F20" s="76">
        <f>+Passwörter_Agenturen!M25</f>
        <v>0</v>
      </c>
      <c r="G20" s="76">
        <f>+Passwörter_Agenturen!N25</f>
        <v>0</v>
      </c>
      <c r="H20" s="76">
        <f>+Passwörter_Agenturen!P25</f>
        <v>0</v>
      </c>
      <c r="I20" s="76">
        <f>+Passwörter_Agenturen!Q25</f>
        <v>0</v>
      </c>
      <c r="J20" s="76">
        <f>+Passwörter_Agenturen!R25</f>
        <v>0</v>
      </c>
      <c r="K20" s="76">
        <f>+Passwörter_Agenturen!S25</f>
        <v>0</v>
      </c>
      <c r="L20" s="76">
        <f>+Passwörter_Agenturen!T25</f>
        <v>0</v>
      </c>
      <c r="M20" s="76">
        <f>+Passwörter_Agenturen!U25</f>
        <v>0</v>
      </c>
      <c r="N20" s="76">
        <f>+Passwörter_Agenturen!V25</f>
        <v>0</v>
      </c>
      <c r="O20" s="76">
        <f>+Passwörter_Agenturen!W25</f>
        <v>0</v>
      </c>
      <c r="P20" s="76">
        <f>+Passwörter_Agenturen!X25</f>
        <v>0</v>
      </c>
      <c r="Q20" s="76">
        <f>+Passwörter_Agenturen!Y25</f>
        <v>0</v>
      </c>
      <c r="R20" s="76">
        <f>+Passwörter_Agenturen!Z25</f>
        <v>0</v>
      </c>
      <c r="S20" s="76">
        <f>+Passwörter_Agenturen!AA25</f>
        <v>0</v>
      </c>
      <c r="T20" s="76">
        <f>+Passwörter_Agenturen!AB25</f>
        <v>0</v>
      </c>
      <c r="U20" s="76">
        <f>+Passwörter_Agenturen!AC25</f>
        <v>0</v>
      </c>
      <c r="V20" s="76">
        <f>+Passwörter_Agenturen!AD25</f>
        <v>0</v>
      </c>
      <c r="W20" s="76">
        <f>+Passwörter_Agenturen!AE25</f>
        <v>0</v>
      </c>
      <c r="X20" s="76">
        <f>+Passwörter_Agenturen!AF25</f>
        <v>0</v>
      </c>
      <c r="Y20" s="76">
        <f>+Passwörter_Agenturen!AG25</f>
        <v>0</v>
      </c>
      <c r="Z20" s="76">
        <f>+Passwörter_Agenturen!AH25</f>
        <v>0</v>
      </c>
    </row>
    <row r="21" spans="1:26" x14ac:dyDescent="0.25">
      <c r="A21" s="75" t="str">
        <f>+Passwörter_Agenturen!H26</f>
        <v>ARAG Versicherungen</v>
      </c>
      <c r="B21" s="76" t="str">
        <f>+Passwörter_Agenturen!J26</f>
        <v>643/AA2481-3</v>
      </c>
      <c r="C21" s="76" t="str">
        <f>+Passwörter_Agenturen!I26</f>
        <v>AA2481-3</v>
      </c>
      <c r="D21" s="76">
        <f>+Passwörter_Agenturen!K26</f>
        <v>0</v>
      </c>
      <c r="E21" s="76">
        <f>+Passwörter_Agenturen!L26</f>
        <v>0</v>
      </c>
      <c r="F21" s="76">
        <f>+Passwörter_Agenturen!M26</f>
        <v>0</v>
      </c>
      <c r="G21" s="76">
        <f>+Passwörter_Agenturen!N26</f>
        <v>0</v>
      </c>
      <c r="H21" s="76">
        <f>+Passwörter_Agenturen!P26</f>
        <v>0</v>
      </c>
      <c r="I21" s="76">
        <f>+Passwörter_Agenturen!Q26</f>
        <v>0</v>
      </c>
      <c r="J21" s="76">
        <f>+Passwörter_Agenturen!R26</f>
        <v>0</v>
      </c>
      <c r="K21" s="76">
        <f>+Passwörter_Agenturen!S26</f>
        <v>0</v>
      </c>
      <c r="L21" s="76">
        <f>+Passwörter_Agenturen!T26</f>
        <v>0</v>
      </c>
      <c r="M21" s="76">
        <f>+Passwörter_Agenturen!U26</f>
        <v>0</v>
      </c>
      <c r="N21" s="76">
        <f>+Passwörter_Agenturen!V26</f>
        <v>0</v>
      </c>
      <c r="O21" s="76">
        <f>+Passwörter_Agenturen!W26</f>
        <v>0</v>
      </c>
      <c r="P21" s="76">
        <f>+Passwörter_Agenturen!X26</f>
        <v>0</v>
      </c>
      <c r="Q21" s="76">
        <f>+Passwörter_Agenturen!Y26</f>
        <v>0</v>
      </c>
      <c r="R21" s="76">
        <f>+Passwörter_Agenturen!Z26</f>
        <v>0</v>
      </c>
      <c r="S21" s="76">
        <f>+Passwörter_Agenturen!AA26</f>
        <v>0</v>
      </c>
      <c r="T21" s="76">
        <f>+Passwörter_Agenturen!AB26</f>
        <v>0</v>
      </c>
      <c r="U21" s="76">
        <f>+Passwörter_Agenturen!AC26</f>
        <v>0</v>
      </c>
      <c r="V21" s="76">
        <f>+Passwörter_Agenturen!AD26</f>
        <v>0</v>
      </c>
      <c r="W21" s="76">
        <f>+Passwörter_Agenturen!AE26</f>
        <v>0</v>
      </c>
      <c r="X21" s="76">
        <f>+Passwörter_Agenturen!AF26</f>
        <v>0</v>
      </c>
      <c r="Y21" s="76">
        <f>+Passwörter_Agenturen!AG26</f>
        <v>0</v>
      </c>
      <c r="Z21" s="76">
        <f>+Passwörter_Agenturen!AH26</f>
        <v>0</v>
      </c>
    </row>
    <row r="22" spans="1:26" x14ac:dyDescent="0.25">
      <c r="A22" s="75" t="str">
        <f>+Passwörter_Agenturen!H27</f>
        <v>ASC</v>
      </c>
      <c r="B22" s="76" t="str">
        <f>+Passwörter_Agenturen!J27</f>
        <v>89299</v>
      </c>
      <c r="C22" s="76">
        <f>+Passwörter_Agenturen!I27</f>
        <v>0</v>
      </c>
      <c r="D22" s="76">
        <f>+Passwörter_Agenturen!K27</f>
        <v>0</v>
      </c>
      <c r="E22" s="76">
        <f>+Passwörter_Agenturen!L27</f>
        <v>0</v>
      </c>
      <c r="F22" s="76">
        <f>+Passwörter_Agenturen!M27</f>
        <v>0</v>
      </c>
      <c r="G22" s="76">
        <f>+Passwörter_Agenturen!N27</f>
        <v>0</v>
      </c>
      <c r="H22" s="76">
        <f>+Passwörter_Agenturen!P27</f>
        <v>0</v>
      </c>
      <c r="I22" s="76">
        <f>+Passwörter_Agenturen!Q27</f>
        <v>0</v>
      </c>
      <c r="J22" s="76">
        <f>+Passwörter_Agenturen!R27</f>
        <v>0</v>
      </c>
      <c r="K22" s="76">
        <f>+Passwörter_Agenturen!S27</f>
        <v>0</v>
      </c>
      <c r="L22" s="76">
        <f>+Passwörter_Agenturen!T27</f>
        <v>0</v>
      </c>
      <c r="M22" s="76">
        <f>+Passwörter_Agenturen!U27</f>
        <v>0</v>
      </c>
      <c r="N22" s="76">
        <f>+Passwörter_Agenturen!V27</f>
        <v>0</v>
      </c>
      <c r="O22" s="76">
        <f>+Passwörter_Agenturen!W27</f>
        <v>0</v>
      </c>
      <c r="P22" s="76">
        <f>+Passwörter_Agenturen!X27</f>
        <v>0</v>
      </c>
      <c r="Q22" s="76">
        <f>+Passwörter_Agenturen!Y27</f>
        <v>0</v>
      </c>
      <c r="R22" s="76">
        <f>+Passwörter_Agenturen!Z27</f>
        <v>0</v>
      </c>
      <c r="S22" s="76">
        <f>+Passwörter_Agenturen!AA27</f>
        <v>0</v>
      </c>
      <c r="T22" s="76">
        <f>+Passwörter_Agenturen!AB27</f>
        <v>0</v>
      </c>
      <c r="U22" s="76">
        <f>+Passwörter_Agenturen!AC27</f>
        <v>0</v>
      </c>
      <c r="V22" s="76">
        <f>+Passwörter_Agenturen!AD27</f>
        <v>0</v>
      </c>
      <c r="W22" s="76">
        <f>+Passwörter_Agenturen!AE27</f>
        <v>0</v>
      </c>
      <c r="X22" s="76">
        <f>+Passwörter_Agenturen!AF27</f>
        <v>0</v>
      </c>
      <c r="Y22" s="76">
        <f>+Passwörter_Agenturen!AG27</f>
        <v>0</v>
      </c>
      <c r="Z22" s="76">
        <f>+Passwörter_Agenturen!AH27</f>
        <v>0</v>
      </c>
    </row>
    <row r="23" spans="1:26" x14ac:dyDescent="0.25">
      <c r="A23" s="75" t="str">
        <f>+Passwörter_Agenturen!H28</f>
        <v>Athora (alt Athene ;Delta Lloyd)</v>
      </c>
      <c r="B23" s="76" t="str">
        <f>+Passwörter_Agenturen!J28</f>
        <v>4187038</v>
      </c>
      <c r="C23" s="76">
        <f>+Passwörter_Agenturen!I28</f>
        <v>0</v>
      </c>
      <c r="D23" s="76">
        <f>+Passwörter_Agenturen!K28</f>
        <v>0</v>
      </c>
      <c r="E23" s="76">
        <f>+Passwörter_Agenturen!L28</f>
        <v>0</v>
      </c>
      <c r="F23" s="76">
        <f>+Passwörter_Agenturen!M28</f>
        <v>0</v>
      </c>
      <c r="G23" s="76">
        <f>+Passwörter_Agenturen!N28</f>
        <v>0</v>
      </c>
      <c r="H23" s="76">
        <f>+Passwörter_Agenturen!P28</f>
        <v>0</v>
      </c>
      <c r="I23" s="76">
        <f>+Passwörter_Agenturen!Q28</f>
        <v>0</v>
      </c>
      <c r="J23" s="76">
        <f>+Passwörter_Agenturen!R28</f>
        <v>0</v>
      </c>
      <c r="K23" s="76">
        <f>+Passwörter_Agenturen!S28</f>
        <v>0</v>
      </c>
      <c r="L23" s="76">
        <f>+Passwörter_Agenturen!T28</f>
        <v>0</v>
      </c>
      <c r="M23" s="76">
        <f>+Passwörter_Agenturen!U28</f>
        <v>0</v>
      </c>
      <c r="N23" s="76">
        <f>+Passwörter_Agenturen!V28</f>
        <v>0</v>
      </c>
      <c r="O23" s="76">
        <f>+Passwörter_Agenturen!W28</f>
        <v>0</v>
      </c>
      <c r="P23" s="76">
        <f>+Passwörter_Agenturen!X28</f>
        <v>0</v>
      </c>
      <c r="Q23" s="76">
        <f>+Passwörter_Agenturen!Y28</f>
        <v>0</v>
      </c>
      <c r="R23" s="76">
        <f>+Passwörter_Agenturen!Z28</f>
        <v>0</v>
      </c>
      <c r="S23" s="76">
        <f>+Passwörter_Agenturen!AA28</f>
        <v>0</v>
      </c>
      <c r="T23" s="76">
        <f>+Passwörter_Agenturen!AB28</f>
        <v>0</v>
      </c>
      <c r="U23" s="76">
        <f>+Passwörter_Agenturen!AC28</f>
        <v>0</v>
      </c>
      <c r="V23" s="76">
        <f>+Passwörter_Agenturen!AD28</f>
        <v>0</v>
      </c>
      <c r="W23" s="76">
        <f>+Passwörter_Agenturen!AE28</f>
        <v>0</v>
      </c>
      <c r="X23" s="76">
        <f>+Passwörter_Agenturen!AF28</f>
        <v>0</v>
      </c>
      <c r="Y23" s="76">
        <f>+Passwörter_Agenturen!AG28</f>
        <v>0</v>
      </c>
      <c r="Z23" s="76">
        <f>+Passwörter_Agenturen!AH28</f>
        <v>0</v>
      </c>
    </row>
    <row r="24" spans="1:26" x14ac:dyDescent="0.25">
      <c r="A24" s="75" t="str">
        <f>+Passwörter_Agenturen!H29</f>
        <v>AUXILIA Rechtsschutz-Versicherungs AG</v>
      </c>
      <c r="B24" s="76" t="str">
        <f>+Passwörter_Agenturen!J29</f>
        <v>107175</v>
      </c>
      <c r="C24" s="76" t="str">
        <f>+Passwörter_Agenturen!I29</f>
        <v>107175</v>
      </c>
      <c r="D24" s="76">
        <f>+Passwörter_Agenturen!K29</f>
        <v>0</v>
      </c>
      <c r="E24" s="76" t="str">
        <f>+Passwörter_Agenturen!L29</f>
        <v>108980</v>
      </c>
      <c r="F24" s="76">
        <f>+Passwörter_Agenturen!M29</f>
        <v>0</v>
      </c>
      <c r="G24" s="76">
        <f>+Passwörter_Agenturen!N29</f>
        <v>0</v>
      </c>
      <c r="H24" s="76">
        <f>+Passwörter_Agenturen!P29</f>
        <v>0</v>
      </c>
      <c r="I24" s="76">
        <f>+Passwörter_Agenturen!Q29</f>
        <v>0</v>
      </c>
      <c r="J24" s="76">
        <f>+Passwörter_Agenturen!R29</f>
        <v>0</v>
      </c>
      <c r="K24" s="76">
        <f>+Passwörter_Agenturen!S29</f>
        <v>0</v>
      </c>
      <c r="L24" s="76" t="str">
        <f>+Passwörter_Agenturen!T29</f>
        <v>112366</v>
      </c>
      <c r="M24" s="76">
        <f>+Passwörter_Agenturen!U29</f>
        <v>0</v>
      </c>
      <c r="N24" s="76">
        <f>+Passwörter_Agenturen!V29</f>
        <v>0</v>
      </c>
      <c r="O24" s="76">
        <f>+Passwörter_Agenturen!W29</f>
        <v>0</v>
      </c>
      <c r="P24" s="76">
        <f>+Passwörter_Agenturen!X29</f>
        <v>0</v>
      </c>
      <c r="Q24" s="76">
        <f>+Passwörter_Agenturen!Y29</f>
        <v>0</v>
      </c>
      <c r="R24" s="76">
        <f>+Passwörter_Agenturen!Z29</f>
        <v>0</v>
      </c>
      <c r="S24" s="76">
        <f>+Passwörter_Agenturen!AA29</f>
        <v>0</v>
      </c>
      <c r="T24" s="76">
        <f>+Passwörter_Agenturen!AB29</f>
        <v>0</v>
      </c>
      <c r="U24" s="76">
        <f>+Passwörter_Agenturen!AC29</f>
        <v>0</v>
      </c>
      <c r="V24" s="76">
        <f>+Passwörter_Agenturen!AD29</f>
        <v>0</v>
      </c>
      <c r="W24" s="76">
        <f>+Passwörter_Agenturen!AE29</f>
        <v>0</v>
      </c>
      <c r="X24" s="76">
        <f>+Passwörter_Agenturen!AF29</f>
        <v>0</v>
      </c>
      <c r="Y24" s="76">
        <f>+Passwörter_Agenturen!AG29</f>
        <v>0</v>
      </c>
      <c r="Z24" s="76">
        <f>+Passwörter_Agenturen!AH29</f>
        <v>0</v>
      </c>
    </row>
    <row r="25" spans="1:26" x14ac:dyDescent="0.25">
      <c r="A25" s="75" t="str">
        <f>+Passwörter_Agenturen!H30</f>
        <v>AXA (Innendienst) Kfz</v>
      </c>
      <c r="B25" s="76">
        <f>+Passwörter_Agenturen!J30</f>
        <v>0</v>
      </c>
      <c r="C25" s="76">
        <f>+Passwörter_Agenturen!I30</f>
        <v>0</v>
      </c>
      <c r="D25" s="76">
        <f>+Passwörter_Agenturen!K30</f>
        <v>0</v>
      </c>
      <c r="E25" s="76">
        <f>+Passwörter_Agenturen!L30</f>
        <v>0</v>
      </c>
      <c r="F25" s="76">
        <f>+Passwörter_Agenturen!M30</f>
        <v>0</v>
      </c>
      <c r="G25" s="76">
        <f>+Passwörter_Agenturen!N30</f>
        <v>0</v>
      </c>
      <c r="H25" s="76" t="str">
        <f>+Passwörter_Agenturen!P30</f>
        <v>10/48/00/1783</v>
      </c>
      <c r="I25" s="76" t="str">
        <f>+Passwörter_Agenturen!Q30</f>
        <v>10/48/00/1778</v>
      </c>
      <c r="J25" s="76">
        <f>+Passwörter_Agenturen!R30</f>
        <v>0</v>
      </c>
      <c r="K25" s="76">
        <f>+Passwörter_Agenturen!S30</f>
        <v>0</v>
      </c>
      <c r="L25" s="76">
        <f>+Passwörter_Agenturen!T30</f>
        <v>0</v>
      </c>
      <c r="M25" s="76">
        <f>+Passwörter_Agenturen!U30</f>
        <v>0</v>
      </c>
      <c r="N25" s="76">
        <f>+Passwörter_Agenturen!V30</f>
        <v>0</v>
      </c>
      <c r="O25" s="76">
        <f>+Passwörter_Agenturen!W30</f>
        <v>0</v>
      </c>
      <c r="P25" s="76">
        <f>+Passwörter_Agenturen!X30</f>
        <v>0</v>
      </c>
      <c r="Q25" s="76">
        <f>+Passwörter_Agenturen!Y30</f>
        <v>0</v>
      </c>
      <c r="R25" s="76">
        <f>+Passwörter_Agenturen!Z30</f>
        <v>0</v>
      </c>
      <c r="S25" s="76">
        <f>+Passwörter_Agenturen!AA30</f>
        <v>0</v>
      </c>
      <c r="T25" s="76">
        <f>+Passwörter_Agenturen!AB30</f>
        <v>0</v>
      </c>
      <c r="U25" s="76">
        <f>+Passwörter_Agenturen!AC30</f>
        <v>0</v>
      </c>
      <c r="V25" s="76">
        <f>+Passwörter_Agenturen!AD30</f>
        <v>0</v>
      </c>
      <c r="W25" s="76">
        <f>+Passwörter_Agenturen!AE30</f>
        <v>0</v>
      </c>
      <c r="X25" s="76">
        <f>+Passwörter_Agenturen!AF30</f>
        <v>0</v>
      </c>
      <c r="Y25" s="76">
        <f>+Passwörter_Agenturen!AG30</f>
        <v>0</v>
      </c>
      <c r="Z25" s="76">
        <f>+Passwörter_Agenturen!AH30</f>
        <v>0</v>
      </c>
    </row>
    <row r="26" spans="1:26" x14ac:dyDescent="0.25">
      <c r="A26" s="75" t="str">
        <f>+Passwörter_Agenturen!H31</f>
        <v>AXA Leben</v>
      </c>
      <c r="B26" s="76" t="str">
        <f>+Passwörter_Agenturen!J31</f>
        <v>10/35/00/6249</v>
      </c>
      <c r="C26" s="76" t="str">
        <f>+Passwörter_Agenturen!I31</f>
        <v>1035006249</v>
      </c>
      <c r="D26" s="76">
        <f>+Passwörter_Agenturen!K31</f>
        <v>0</v>
      </c>
      <c r="E26" s="76">
        <f>+Passwörter_Agenturen!L31</f>
        <v>0</v>
      </c>
      <c r="F26" s="76">
        <f>+Passwörter_Agenturen!M31</f>
        <v>0</v>
      </c>
      <c r="G26" s="76">
        <f>+Passwörter_Agenturen!N31</f>
        <v>0</v>
      </c>
      <c r="H26" s="76">
        <f>+Passwörter_Agenturen!P31</f>
        <v>0</v>
      </c>
      <c r="I26" s="76">
        <f>+Passwörter_Agenturen!Q31</f>
        <v>0</v>
      </c>
      <c r="J26" s="76">
        <f>+Passwörter_Agenturen!R31</f>
        <v>0</v>
      </c>
      <c r="K26" s="76">
        <f>+Passwörter_Agenturen!S31</f>
        <v>0</v>
      </c>
      <c r="L26" s="76">
        <f>+Passwörter_Agenturen!T31</f>
        <v>0</v>
      </c>
      <c r="M26" s="76">
        <f>+Passwörter_Agenturen!U31</f>
        <v>0</v>
      </c>
      <c r="N26" s="76">
        <f>+Passwörter_Agenturen!V31</f>
        <v>0</v>
      </c>
      <c r="O26" s="76">
        <f>+Passwörter_Agenturen!W31</f>
        <v>0</v>
      </c>
      <c r="P26" s="76">
        <f>+Passwörter_Agenturen!X31</f>
        <v>0</v>
      </c>
      <c r="Q26" s="76">
        <f>+Passwörter_Agenturen!Y31</f>
        <v>0</v>
      </c>
      <c r="R26" s="76">
        <f>+Passwörter_Agenturen!Z31</f>
        <v>0</v>
      </c>
      <c r="S26" s="76">
        <f>+Passwörter_Agenturen!AA31</f>
        <v>0</v>
      </c>
      <c r="T26" s="76">
        <f>+Passwörter_Agenturen!AB31</f>
        <v>0</v>
      </c>
      <c r="U26" s="76">
        <f>+Passwörter_Agenturen!AC31</f>
        <v>0</v>
      </c>
      <c r="V26" s="76">
        <f>+Passwörter_Agenturen!AD31</f>
        <v>0</v>
      </c>
      <c r="W26" s="76">
        <f>+Passwörter_Agenturen!AE31</f>
        <v>0</v>
      </c>
      <c r="X26" s="76">
        <f>+Passwörter_Agenturen!AF31</f>
        <v>0</v>
      </c>
      <c r="Y26" s="76">
        <f>+Passwörter_Agenturen!AG31</f>
        <v>0</v>
      </c>
      <c r="Z26" s="76">
        <f>+Passwörter_Agenturen!AH31</f>
        <v>0</v>
      </c>
    </row>
    <row r="27" spans="1:26" x14ac:dyDescent="0.25">
      <c r="A27" s="75" t="str">
        <f>+Passwörter_Agenturen!H32</f>
        <v>AXA Leben (alt  DBV-Leben)</v>
      </c>
      <c r="B27" s="76" t="str">
        <f>+Passwörter_Agenturen!J32</f>
        <v>10/36/00/2754</v>
      </c>
      <c r="C27" s="76">
        <f>+Passwörter_Agenturen!I32</f>
        <v>0</v>
      </c>
      <c r="D27" s="76">
        <f>+Passwörter_Agenturen!K32</f>
        <v>0</v>
      </c>
      <c r="E27" s="76">
        <f>+Passwörter_Agenturen!L32</f>
        <v>0</v>
      </c>
      <c r="F27" s="76">
        <f>+Passwörter_Agenturen!M32</f>
        <v>0</v>
      </c>
      <c r="G27" s="76">
        <f>+Passwörter_Agenturen!N32</f>
        <v>0</v>
      </c>
      <c r="H27" s="76">
        <f>+Passwörter_Agenturen!P32</f>
        <v>0</v>
      </c>
      <c r="I27" s="76">
        <f>+Passwörter_Agenturen!Q32</f>
        <v>0</v>
      </c>
      <c r="J27" s="76">
        <f>+Passwörter_Agenturen!R32</f>
        <v>0</v>
      </c>
      <c r="K27" s="76">
        <f>+Passwörter_Agenturen!S32</f>
        <v>0</v>
      </c>
      <c r="L27" s="76">
        <f>+Passwörter_Agenturen!T32</f>
        <v>0</v>
      </c>
      <c r="M27" s="76">
        <f>+Passwörter_Agenturen!U32</f>
        <v>0</v>
      </c>
      <c r="N27" s="76">
        <f>+Passwörter_Agenturen!V32</f>
        <v>0</v>
      </c>
      <c r="O27" s="76">
        <f>+Passwörter_Agenturen!W32</f>
        <v>0</v>
      </c>
      <c r="P27" s="76">
        <f>+Passwörter_Agenturen!X32</f>
        <v>0</v>
      </c>
      <c r="Q27" s="76">
        <f>+Passwörter_Agenturen!Y32</f>
        <v>0</v>
      </c>
      <c r="R27" s="76">
        <f>+Passwörter_Agenturen!Z32</f>
        <v>0</v>
      </c>
      <c r="S27" s="76">
        <f>+Passwörter_Agenturen!AA32</f>
        <v>0</v>
      </c>
      <c r="T27" s="76">
        <f>+Passwörter_Agenturen!AB32</f>
        <v>0</v>
      </c>
      <c r="U27" s="76">
        <f>+Passwörter_Agenturen!AC32</f>
        <v>0</v>
      </c>
      <c r="V27" s="76">
        <f>+Passwörter_Agenturen!AD32</f>
        <v>0</v>
      </c>
      <c r="W27" s="76">
        <f>+Passwörter_Agenturen!AE32</f>
        <v>0</v>
      </c>
      <c r="X27" s="76">
        <f>+Passwörter_Agenturen!AF32</f>
        <v>0</v>
      </c>
      <c r="Y27" s="76">
        <f>+Passwörter_Agenturen!AG32</f>
        <v>0</v>
      </c>
      <c r="Z27" s="76">
        <f>+Passwörter_Agenturen!AH32</f>
        <v>0</v>
      </c>
    </row>
    <row r="28" spans="1:26" x14ac:dyDescent="0.25">
      <c r="A28" s="75" t="str">
        <f>+Passwörter_Agenturen!H33</f>
        <v>AXA Sach</v>
      </c>
      <c r="B28" s="76" t="str">
        <f>+Passwörter_Agenturen!J33</f>
        <v>10/48/00/0805</v>
      </c>
      <c r="C28" s="76" t="str">
        <f>+Passwörter_Agenturen!I33</f>
        <v xml:space="preserve">1048000805, 1048001741, 1048001767, 1048001772, </v>
      </c>
      <c r="D28" s="76">
        <f>+Passwörter_Agenturen!K33</f>
        <v>0</v>
      </c>
      <c r="E28" s="76">
        <f>+Passwörter_Agenturen!L33</f>
        <v>0</v>
      </c>
      <c r="F28" s="76">
        <f>+Passwörter_Agenturen!M33</f>
        <v>0</v>
      </c>
      <c r="G28" s="76">
        <f>+Passwörter_Agenturen!N33</f>
        <v>0</v>
      </c>
      <c r="H28" s="76" t="str">
        <f>+Passwörter_Agenturen!P33</f>
        <v>10/48/00/1767</v>
      </c>
      <c r="I28" s="76" t="str">
        <f>+Passwörter_Agenturen!Q33</f>
        <v>10/48/00/1741</v>
      </c>
      <c r="J28" s="76" t="str">
        <f>+Passwörter_Agenturen!R33</f>
        <v>10/48/00/1772</v>
      </c>
      <c r="K28" s="76">
        <f>+Passwörter_Agenturen!S33</f>
        <v>0</v>
      </c>
      <c r="L28" s="76">
        <f>+Passwörter_Agenturen!T33</f>
        <v>0</v>
      </c>
      <c r="M28" s="76">
        <f>+Passwörter_Agenturen!U33</f>
        <v>0</v>
      </c>
      <c r="N28" s="76" t="str">
        <f>+Passwörter_Agenturen!V33</f>
        <v>10/48/00/1791</v>
      </c>
      <c r="O28" s="76" t="str">
        <f>+Passwörter_Agenturen!W33</f>
        <v>10/48/00/1296</v>
      </c>
      <c r="P28" s="76">
        <f>+Passwörter_Agenturen!X33</f>
        <v>0</v>
      </c>
      <c r="Q28" s="76" t="str">
        <f>+Passwörter_Agenturen!Y33</f>
        <v>10/48/00/1268</v>
      </c>
      <c r="R28" s="76" t="str">
        <f>+Passwörter_Agenturen!Z33</f>
        <v>10/48/00/1674</v>
      </c>
      <c r="S28" s="76" t="str">
        <f>+Passwörter_Agenturen!AA33</f>
        <v>10/48/00/1743</v>
      </c>
      <c r="T28" s="76" t="str">
        <f>+Passwörter_Agenturen!AB33</f>
        <v>10/48/00/1190</v>
      </c>
      <c r="U28" s="76">
        <f>+Passwörter_Agenturen!AC33</f>
        <v>0</v>
      </c>
      <c r="V28" s="76">
        <f>+Passwörter_Agenturen!AD33</f>
        <v>0</v>
      </c>
      <c r="W28" s="76">
        <f>+Passwörter_Agenturen!AE33</f>
        <v>0</v>
      </c>
      <c r="X28" s="76">
        <f>+Passwörter_Agenturen!AF33</f>
        <v>0</v>
      </c>
      <c r="Y28" s="76">
        <f>+Passwörter_Agenturen!AG33</f>
        <v>0</v>
      </c>
      <c r="Z28" s="76">
        <f>+Passwörter_Agenturen!AH33</f>
        <v>0</v>
      </c>
    </row>
    <row r="29" spans="1:26" x14ac:dyDescent="0.25">
      <c r="A29" s="75" t="str">
        <f>+Passwörter_Agenturen!H34</f>
        <v>AXA Sach (Rahmenvertrag Kfz)</v>
      </c>
      <c r="B29" s="76" t="str">
        <f>+Passwörter_Agenturen!J34</f>
        <v>130040363</v>
      </c>
      <c r="C29" s="76" t="e">
        <f>+Passwörter_Agenturen!#REF!</f>
        <v>#REF!</v>
      </c>
      <c r="D29" s="76">
        <f>+Passwörter_Agenturen!K34</f>
        <v>0</v>
      </c>
      <c r="E29" s="76">
        <f>+Passwörter_Agenturen!L34</f>
        <v>0</v>
      </c>
      <c r="F29" s="76">
        <f>+Passwörter_Agenturen!M34</f>
        <v>0</v>
      </c>
      <c r="G29" s="76">
        <f>+Passwörter_Agenturen!N34</f>
        <v>0</v>
      </c>
      <c r="H29" s="76">
        <f>+Passwörter_Agenturen!P34</f>
        <v>0</v>
      </c>
      <c r="I29" s="76">
        <f>+Passwörter_Agenturen!Q34</f>
        <v>0</v>
      </c>
      <c r="J29" s="76">
        <f>+Passwörter_Agenturen!R34</f>
        <v>0</v>
      </c>
      <c r="K29" s="76">
        <f>+Passwörter_Agenturen!S34</f>
        <v>0</v>
      </c>
      <c r="L29" s="76">
        <f>+Passwörter_Agenturen!T34</f>
        <v>0</v>
      </c>
      <c r="M29" s="76">
        <f>+Passwörter_Agenturen!U34</f>
        <v>0</v>
      </c>
      <c r="N29" s="76">
        <f>+Passwörter_Agenturen!V34</f>
        <v>0</v>
      </c>
      <c r="O29" s="76">
        <f>+Passwörter_Agenturen!W34</f>
        <v>0</v>
      </c>
      <c r="P29" s="76">
        <f>+Passwörter_Agenturen!X34</f>
        <v>0</v>
      </c>
      <c r="Q29" s="76">
        <f>+Passwörter_Agenturen!Y34</f>
        <v>0</v>
      </c>
      <c r="R29" s="76">
        <f>+Passwörter_Agenturen!Z34</f>
        <v>0</v>
      </c>
      <c r="S29" s="76">
        <f>+Passwörter_Agenturen!AA34</f>
        <v>0</v>
      </c>
      <c r="T29" s="76">
        <f>+Passwörter_Agenturen!AB34</f>
        <v>0</v>
      </c>
      <c r="U29" s="76">
        <f>+Passwörter_Agenturen!AC34</f>
        <v>0</v>
      </c>
      <c r="V29" s="76">
        <f>+Passwörter_Agenturen!AD34</f>
        <v>0</v>
      </c>
      <c r="W29" s="76">
        <f>+Passwörter_Agenturen!AE34</f>
        <v>0</v>
      </c>
      <c r="X29" s="76">
        <f>+Passwörter_Agenturen!AF34</f>
        <v>0</v>
      </c>
      <c r="Y29" s="76">
        <f>+Passwörter_Agenturen!AG34</f>
        <v>0</v>
      </c>
      <c r="Z29" s="76">
        <f>+Passwörter_Agenturen!AH34</f>
        <v>0</v>
      </c>
    </row>
    <row r="30" spans="1:26" x14ac:dyDescent="0.25">
      <c r="A30" s="75" t="str">
        <f>+Passwörter_Agenturen!H35</f>
        <v>AXA Sach (Rahmenvertrag Sach)</v>
      </c>
      <c r="B30" s="76" t="str">
        <f>+Passwörter_Agenturen!J35</f>
        <v>003816</v>
      </c>
      <c r="C30" s="76">
        <f>+Passwörter_Agenturen!I34</f>
        <v>0</v>
      </c>
      <c r="D30" s="76">
        <f>+Passwörter_Agenturen!K35</f>
        <v>0</v>
      </c>
      <c r="E30" s="76">
        <f>+Passwörter_Agenturen!L35</f>
        <v>0</v>
      </c>
      <c r="F30" s="76">
        <f>+Passwörter_Agenturen!M35</f>
        <v>0</v>
      </c>
      <c r="G30" s="76">
        <f>+Passwörter_Agenturen!N35</f>
        <v>0</v>
      </c>
      <c r="H30" s="76">
        <f>+Passwörter_Agenturen!P35</f>
        <v>0</v>
      </c>
      <c r="I30" s="76">
        <f>+Passwörter_Agenturen!Q35</f>
        <v>0</v>
      </c>
      <c r="J30" s="76">
        <f>+Passwörter_Agenturen!R35</f>
        <v>0</v>
      </c>
      <c r="K30" s="76">
        <f>+Passwörter_Agenturen!S35</f>
        <v>0</v>
      </c>
      <c r="L30" s="76">
        <f>+Passwörter_Agenturen!T35</f>
        <v>0</v>
      </c>
      <c r="M30" s="76">
        <f>+Passwörter_Agenturen!U35</f>
        <v>0</v>
      </c>
      <c r="N30" s="76">
        <f>+Passwörter_Agenturen!V35</f>
        <v>0</v>
      </c>
      <c r="O30" s="76">
        <f>+Passwörter_Agenturen!W35</f>
        <v>0</v>
      </c>
      <c r="P30" s="76">
        <f>+Passwörter_Agenturen!X35</f>
        <v>0</v>
      </c>
      <c r="Q30" s="76">
        <f>+Passwörter_Agenturen!Y35</f>
        <v>0</v>
      </c>
      <c r="R30" s="76">
        <f>+Passwörter_Agenturen!Z35</f>
        <v>0</v>
      </c>
      <c r="S30" s="76">
        <f>+Passwörter_Agenturen!AA35</f>
        <v>0</v>
      </c>
      <c r="T30" s="76">
        <f>+Passwörter_Agenturen!AB35</f>
        <v>0</v>
      </c>
      <c r="U30" s="76">
        <f>+Passwörter_Agenturen!AC35</f>
        <v>0</v>
      </c>
      <c r="V30" s="76">
        <f>+Passwörter_Agenturen!AD35</f>
        <v>0</v>
      </c>
      <c r="W30" s="76">
        <f>+Passwörter_Agenturen!AE35</f>
        <v>0</v>
      </c>
      <c r="X30" s="76">
        <f>+Passwörter_Agenturen!AF35</f>
        <v>0</v>
      </c>
      <c r="Y30" s="76">
        <f>+Passwörter_Agenturen!AG35</f>
        <v>0</v>
      </c>
      <c r="Z30" s="76">
        <f>+Passwörter_Agenturen!AH35</f>
        <v>0</v>
      </c>
    </row>
    <row r="31" spans="1:26" x14ac:dyDescent="0.25">
      <c r="A31" s="75" t="str">
        <f>+Passwörter_Agenturen!H37</f>
        <v>Zurich Sach / fbs (ex Baden-Badener)</v>
      </c>
      <c r="B31" s="76" t="str">
        <f>+Passwörter_Agenturen!J37</f>
        <v>782644</v>
      </c>
      <c r="C31" s="76">
        <f>+Passwörter_Agenturen!I37</f>
        <v>0</v>
      </c>
      <c r="D31" s="76">
        <f>+Passwörter_Agenturen!K37</f>
        <v>0</v>
      </c>
      <c r="E31" s="76" t="str">
        <f>+Passwörter_Agenturen!L37</f>
        <v>76993201</v>
      </c>
      <c r="F31" s="76">
        <f>+Passwörter_Agenturen!M37</f>
        <v>0</v>
      </c>
      <c r="G31" s="76">
        <f>+Passwörter_Agenturen!N37</f>
        <v>0</v>
      </c>
      <c r="H31" s="76">
        <f>+Passwörter_Agenturen!P37</f>
        <v>0</v>
      </c>
      <c r="I31" s="76">
        <f>+Passwörter_Agenturen!Q37</f>
        <v>0</v>
      </c>
      <c r="J31" s="76">
        <f>+Passwörter_Agenturen!R37</f>
        <v>0</v>
      </c>
      <c r="K31" s="76">
        <f>+Passwörter_Agenturen!S37</f>
        <v>0</v>
      </c>
      <c r="L31" s="76">
        <f>+Passwörter_Agenturen!T37</f>
        <v>0</v>
      </c>
      <c r="M31" s="76">
        <f>+Passwörter_Agenturen!U37</f>
        <v>0</v>
      </c>
      <c r="N31" s="76">
        <f>+Passwörter_Agenturen!V37</f>
        <v>0</v>
      </c>
      <c r="O31" s="76">
        <f>+Passwörter_Agenturen!W37</f>
        <v>0</v>
      </c>
      <c r="P31" s="76">
        <f>+Passwörter_Agenturen!X37</f>
        <v>0</v>
      </c>
      <c r="Q31" s="76">
        <f>+Passwörter_Agenturen!Y37</f>
        <v>0</v>
      </c>
      <c r="R31" s="76">
        <f>+Passwörter_Agenturen!Z37</f>
        <v>0</v>
      </c>
      <c r="S31" s="76">
        <f>+Passwörter_Agenturen!AA37</f>
        <v>0</v>
      </c>
      <c r="T31" s="76">
        <f>+Passwörter_Agenturen!AB37</f>
        <v>0</v>
      </c>
      <c r="U31" s="76">
        <f>+Passwörter_Agenturen!AC37</f>
        <v>0</v>
      </c>
      <c r="V31" s="76">
        <f>+Passwörter_Agenturen!AD37</f>
        <v>0</v>
      </c>
      <c r="W31" s="76">
        <f>+Passwörter_Agenturen!AE37</f>
        <v>0</v>
      </c>
      <c r="X31" s="76">
        <f>+Passwörter_Agenturen!AF37</f>
        <v>0</v>
      </c>
      <c r="Y31" s="76">
        <f>+Passwörter_Agenturen!AG37</f>
        <v>0</v>
      </c>
      <c r="Z31" s="76">
        <f>+Passwörter_Agenturen!AH37</f>
        <v>0</v>
      </c>
    </row>
    <row r="32" spans="1:26" x14ac:dyDescent="0.25">
      <c r="A32" s="75" t="str">
        <f>+Passwörter_Agenturen!H41</f>
        <v>Baloise Lebensversicherung AG</v>
      </c>
      <c r="B32" s="76" t="str">
        <f>+Passwörter_Agenturen!J41</f>
        <v>871/0929</v>
      </c>
      <c r="C32" s="76" t="str">
        <f>+Passwörter_Agenturen!I41</f>
        <v>871/0929</v>
      </c>
      <c r="D32" s="76">
        <f>+Passwörter_Agenturen!K41</f>
        <v>0</v>
      </c>
      <c r="E32" s="76">
        <f>+Passwörter_Agenturen!L41</f>
        <v>0</v>
      </c>
      <c r="F32" s="76">
        <f>+Passwörter_Agenturen!M41</f>
        <v>0</v>
      </c>
      <c r="G32" s="76">
        <f>+Passwörter_Agenturen!N41</f>
        <v>0</v>
      </c>
      <c r="H32" s="76">
        <f>+Passwörter_Agenturen!P41</f>
        <v>0</v>
      </c>
      <c r="I32" s="76">
        <f>+Passwörter_Agenturen!Q41</f>
        <v>0</v>
      </c>
      <c r="J32" s="76">
        <f>+Passwörter_Agenturen!R41</f>
        <v>0</v>
      </c>
      <c r="K32" s="76">
        <f>+Passwörter_Agenturen!S41</f>
        <v>0</v>
      </c>
      <c r="L32" s="76">
        <f>+Passwörter_Agenturen!T41</f>
        <v>0</v>
      </c>
      <c r="M32" s="76">
        <f>+Passwörter_Agenturen!U41</f>
        <v>0</v>
      </c>
      <c r="N32" s="76">
        <f>+Passwörter_Agenturen!V41</f>
        <v>0</v>
      </c>
      <c r="O32" s="76">
        <f>+Passwörter_Agenturen!W41</f>
        <v>0</v>
      </c>
      <c r="P32" s="76">
        <f>+Passwörter_Agenturen!X41</f>
        <v>0</v>
      </c>
      <c r="Q32" s="76">
        <f>+Passwörter_Agenturen!Y41</f>
        <v>0</v>
      </c>
      <c r="R32" s="76">
        <f>+Passwörter_Agenturen!Z41</f>
        <v>0</v>
      </c>
      <c r="S32" s="76">
        <f>+Passwörter_Agenturen!AA41</f>
        <v>0</v>
      </c>
      <c r="T32" s="76">
        <f>+Passwörter_Agenturen!AB41</f>
        <v>0</v>
      </c>
      <c r="U32" s="76">
        <f>+Passwörter_Agenturen!AC41</f>
        <v>0</v>
      </c>
      <c r="V32" s="76">
        <f>+Passwörter_Agenturen!AD41</f>
        <v>0</v>
      </c>
      <c r="W32" s="76">
        <f>+Passwörter_Agenturen!AE41</f>
        <v>0</v>
      </c>
      <c r="X32" s="76">
        <f>+Passwörter_Agenturen!AF41</f>
        <v>0</v>
      </c>
      <c r="Y32" s="76">
        <f>+Passwörter_Agenturen!AG41</f>
        <v>0</v>
      </c>
      <c r="Z32" s="76">
        <f>+Passwörter_Agenturen!AH41</f>
        <v>0</v>
      </c>
    </row>
    <row r="33" spans="1:26" x14ac:dyDescent="0.25">
      <c r="A33" s="75" t="str">
        <f>+Passwörter_Agenturen!H42</f>
        <v>BSG Baloise Service GmbH</v>
      </c>
      <c r="B33" s="76">
        <f>+Passwörter_Agenturen!J42</f>
        <v>0</v>
      </c>
      <c r="C33" s="76" t="str">
        <f>+Passwörter_Agenturen!I42</f>
        <v>2202-00</v>
      </c>
      <c r="D33" s="76">
        <f>+Passwörter_Agenturen!K42</f>
        <v>0</v>
      </c>
      <c r="E33" s="76">
        <f>+Passwörter_Agenturen!L42</f>
        <v>0</v>
      </c>
      <c r="F33" s="76">
        <f>+Passwörter_Agenturen!M42</f>
        <v>0</v>
      </c>
      <c r="G33" s="76">
        <f>+Passwörter_Agenturen!N42</f>
        <v>0</v>
      </c>
      <c r="H33" s="76">
        <f>+Passwörter_Agenturen!P42</f>
        <v>0</v>
      </c>
      <c r="I33" s="76">
        <f>+Passwörter_Agenturen!Q42</f>
        <v>0</v>
      </c>
      <c r="J33" s="76">
        <f>+Passwörter_Agenturen!R42</f>
        <v>0</v>
      </c>
      <c r="K33" s="76">
        <f>+Passwörter_Agenturen!S42</f>
        <v>0</v>
      </c>
      <c r="L33" s="76">
        <f>+Passwörter_Agenturen!T42</f>
        <v>0</v>
      </c>
      <c r="M33" s="76">
        <f>+Passwörter_Agenturen!U42</f>
        <v>0</v>
      </c>
      <c r="N33" s="76">
        <f>+Passwörter_Agenturen!V42</f>
        <v>0</v>
      </c>
      <c r="O33" s="76">
        <f>+Passwörter_Agenturen!W42</f>
        <v>0</v>
      </c>
      <c r="P33" s="76">
        <f>+Passwörter_Agenturen!X42</f>
        <v>0</v>
      </c>
      <c r="Q33" s="76">
        <f>+Passwörter_Agenturen!Y42</f>
        <v>0</v>
      </c>
      <c r="R33" s="76">
        <f>+Passwörter_Agenturen!Z42</f>
        <v>0</v>
      </c>
      <c r="S33" s="76">
        <f>+Passwörter_Agenturen!AA42</f>
        <v>0</v>
      </c>
      <c r="T33" s="76">
        <f>+Passwörter_Agenturen!AB42</f>
        <v>0</v>
      </c>
      <c r="U33" s="76">
        <f>+Passwörter_Agenturen!AC42</f>
        <v>0</v>
      </c>
      <c r="V33" s="76">
        <f>+Passwörter_Agenturen!AD42</f>
        <v>0</v>
      </c>
      <c r="W33" s="76">
        <f>+Passwörter_Agenturen!AE42</f>
        <v>0</v>
      </c>
      <c r="X33" s="76">
        <f>+Passwörter_Agenturen!AF42</f>
        <v>0</v>
      </c>
      <c r="Y33" s="76">
        <f>+Passwörter_Agenturen!AG42</f>
        <v>0</v>
      </c>
      <c r="Z33" s="76">
        <f>+Passwörter_Agenturen!AH42</f>
        <v>0</v>
      </c>
    </row>
    <row r="34" spans="1:26" x14ac:dyDescent="0.25">
      <c r="A34" s="75" t="str">
        <f>+Passwörter_Agenturen!H44</f>
        <v>Bayerische Hausbesitzer Versicherung</v>
      </c>
      <c r="B34" s="76" t="str">
        <f>+Passwörter_Agenturen!J44</f>
        <v>6255</v>
      </c>
      <c r="C34" s="76" t="str">
        <f>+Passwörter_Agenturen!I44</f>
        <v>6255</v>
      </c>
      <c r="D34" s="76">
        <f>+Passwörter_Agenturen!K44</f>
        <v>0</v>
      </c>
      <c r="E34" s="76">
        <f>+Passwörter_Agenturen!L44</f>
        <v>0</v>
      </c>
      <c r="F34" s="76">
        <f>+Passwörter_Agenturen!M44</f>
        <v>0</v>
      </c>
      <c r="G34" s="76">
        <f>+Passwörter_Agenturen!N44</f>
        <v>0</v>
      </c>
      <c r="H34" s="76">
        <f>+Passwörter_Agenturen!P44</f>
        <v>0</v>
      </c>
      <c r="I34" s="76">
        <f>+Passwörter_Agenturen!Q44</f>
        <v>0</v>
      </c>
      <c r="J34" s="76">
        <f>+Passwörter_Agenturen!R44</f>
        <v>0</v>
      </c>
      <c r="K34" s="76">
        <f>+Passwörter_Agenturen!S44</f>
        <v>0</v>
      </c>
      <c r="L34" s="76">
        <f>+Passwörter_Agenturen!T44</f>
        <v>0</v>
      </c>
      <c r="M34" s="76">
        <f>+Passwörter_Agenturen!U44</f>
        <v>0</v>
      </c>
      <c r="N34" s="76">
        <f>+Passwörter_Agenturen!V44</f>
        <v>0</v>
      </c>
      <c r="O34" s="76">
        <f>+Passwörter_Agenturen!W44</f>
        <v>0</v>
      </c>
      <c r="P34" s="76">
        <f>+Passwörter_Agenturen!X44</f>
        <v>0</v>
      </c>
      <c r="Q34" s="76">
        <f>+Passwörter_Agenturen!Y44</f>
        <v>0</v>
      </c>
      <c r="R34" s="76">
        <f>+Passwörter_Agenturen!Z44</f>
        <v>0</v>
      </c>
      <c r="S34" s="76">
        <f>+Passwörter_Agenturen!AA44</f>
        <v>0</v>
      </c>
      <c r="T34" s="76">
        <f>+Passwörter_Agenturen!AB44</f>
        <v>0</v>
      </c>
      <c r="U34" s="76">
        <f>+Passwörter_Agenturen!AC44</f>
        <v>0</v>
      </c>
      <c r="V34" s="76">
        <f>+Passwörter_Agenturen!AD44</f>
        <v>0</v>
      </c>
      <c r="W34" s="76">
        <f>+Passwörter_Agenturen!AE44</f>
        <v>0</v>
      </c>
      <c r="X34" s="76">
        <f>+Passwörter_Agenturen!AF44</f>
        <v>0</v>
      </c>
      <c r="Y34" s="76">
        <f>+Passwörter_Agenturen!AG44</f>
        <v>0</v>
      </c>
      <c r="Z34" s="76">
        <f>+Passwörter_Agenturen!AH44</f>
        <v>0</v>
      </c>
    </row>
    <row r="35" spans="1:26" x14ac:dyDescent="0.25">
      <c r="A35" s="75" t="e">
        <f>+Passwörter_Agenturen!#REF!</f>
        <v>#REF!</v>
      </c>
      <c r="B35" s="76" t="e">
        <f>+Passwörter_Agenturen!#REF!</f>
        <v>#REF!</v>
      </c>
      <c r="C35" s="76" t="e">
        <f>+Passwörter_Agenturen!#REF!</f>
        <v>#REF!</v>
      </c>
      <c r="D35" s="76" t="e">
        <f>+Passwörter_Agenturen!#REF!</f>
        <v>#REF!</v>
      </c>
      <c r="E35" s="76" t="e">
        <f>+Passwörter_Agenturen!#REF!</f>
        <v>#REF!</v>
      </c>
      <c r="F35" s="76" t="e">
        <f>+Passwörter_Agenturen!#REF!</f>
        <v>#REF!</v>
      </c>
      <c r="G35" s="76" t="e">
        <f>+Passwörter_Agenturen!#REF!</f>
        <v>#REF!</v>
      </c>
      <c r="H35" s="76" t="e">
        <f>+Passwörter_Agenturen!#REF!</f>
        <v>#REF!</v>
      </c>
      <c r="I35" s="76" t="e">
        <f>+Passwörter_Agenturen!#REF!</f>
        <v>#REF!</v>
      </c>
      <c r="J35" s="76" t="e">
        <f>+Passwörter_Agenturen!#REF!</f>
        <v>#REF!</v>
      </c>
      <c r="K35" s="76" t="e">
        <f>+Passwörter_Agenturen!#REF!</f>
        <v>#REF!</v>
      </c>
      <c r="L35" s="76" t="e">
        <f>+Passwörter_Agenturen!#REF!</f>
        <v>#REF!</v>
      </c>
      <c r="M35" s="76" t="e">
        <f>+Passwörter_Agenturen!#REF!</f>
        <v>#REF!</v>
      </c>
      <c r="N35" s="76" t="e">
        <f>+Passwörter_Agenturen!#REF!</f>
        <v>#REF!</v>
      </c>
      <c r="O35" s="76" t="e">
        <f>+Passwörter_Agenturen!#REF!</f>
        <v>#REF!</v>
      </c>
      <c r="P35" s="76" t="e">
        <f>+Passwörter_Agenturen!#REF!</f>
        <v>#REF!</v>
      </c>
      <c r="Q35" s="76" t="e">
        <f>+Passwörter_Agenturen!#REF!</f>
        <v>#REF!</v>
      </c>
      <c r="R35" s="76" t="e">
        <f>+Passwörter_Agenturen!#REF!</f>
        <v>#REF!</v>
      </c>
      <c r="S35" s="76" t="e">
        <f>+Passwörter_Agenturen!#REF!</f>
        <v>#REF!</v>
      </c>
      <c r="T35" s="76" t="e">
        <f>+Passwörter_Agenturen!#REF!</f>
        <v>#REF!</v>
      </c>
      <c r="U35" s="76" t="e">
        <f>+Passwörter_Agenturen!#REF!</f>
        <v>#REF!</v>
      </c>
      <c r="V35" s="76" t="e">
        <f>+Passwörter_Agenturen!#REF!</f>
        <v>#REF!</v>
      </c>
      <c r="W35" s="76" t="e">
        <f>+Passwörter_Agenturen!#REF!</f>
        <v>#REF!</v>
      </c>
      <c r="X35" s="76" t="e">
        <f>+Passwörter_Agenturen!#REF!</f>
        <v>#REF!</v>
      </c>
      <c r="Y35" s="76" t="e">
        <f>+Passwörter_Agenturen!#REF!</f>
        <v>#REF!</v>
      </c>
      <c r="Z35" s="76" t="e">
        <f>+Passwörter_Agenturen!#REF!</f>
        <v>#REF!</v>
      </c>
    </row>
    <row r="36" spans="1:26" x14ac:dyDescent="0.25">
      <c r="A36" s="75" t="str">
        <f>+Passwörter_Agenturen!H46</f>
        <v>BHW (Invers)</v>
      </c>
      <c r="B36" s="76">
        <f>+Passwörter_Agenturen!J46</f>
        <v>0</v>
      </c>
      <c r="C36" s="76">
        <f>+Passwörter_Agenturen!I46</f>
        <v>0</v>
      </c>
      <c r="D36" s="76">
        <f>+Passwörter_Agenturen!K46</f>
        <v>0</v>
      </c>
      <c r="E36" s="76" t="str">
        <f>+Passwörter_Agenturen!L46</f>
        <v>02431917357</v>
      </c>
      <c r="F36" s="76">
        <f>+Passwörter_Agenturen!M46</f>
        <v>0</v>
      </c>
      <c r="G36" s="76">
        <f>+Passwörter_Agenturen!N46</f>
        <v>0</v>
      </c>
      <c r="H36" s="76">
        <f>+Passwörter_Agenturen!P46</f>
        <v>0</v>
      </c>
      <c r="I36" s="76">
        <f>+Passwörter_Agenturen!Q46</f>
        <v>0</v>
      </c>
      <c r="J36" s="76">
        <f>+Passwörter_Agenturen!R46</f>
        <v>0</v>
      </c>
      <c r="K36" s="76">
        <f>+Passwörter_Agenturen!S46</f>
        <v>0</v>
      </c>
      <c r="L36" s="76">
        <f>+Passwörter_Agenturen!T46</f>
        <v>0</v>
      </c>
      <c r="M36" s="76">
        <f>+Passwörter_Agenturen!U46</f>
        <v>0</v>
      </c>
      <c r="N36" s="76">
        <f>+Passwörter_Agenturen!V46</f>
        <v>0</v>
      </c>
      <c r="O36" s="76">
        <f>+Passwörter_Agenturen!W46</f>
        <v>0</v>
      </c>
      <c r="P36" s="76">
        <f>+Passwörter_Agenturen!X46</f>
        <v>0</v>
      </c>
      <c r="Q36" s="76">
        <f>+Passwörter_Agenturen!Y46</f>
        <v>0</v>
      </c>
      <c r="R36" s="76">
        <f>+Passwörter_Agenturen!Z46</f>
        <v>0</v>
      </c>
      <c r="S36" s="76">
        <f>+Passwörter_Agenturen!AA46</f>
        <v>0</v>
      </c>
      <c r="T36" s="76">
        <f>+Passwörter_Agenturen!AB46</f>
        <v>0</v>
      </c>
      <c r="U36" s="76">
        <f>+Passwörter_Agenturen!AC46</f>
        <v>0</v>
      </c>
      <c r="V36" s="76">
        <f>+Passwörter_Agenturen!AD46</f>
        <v>0</v>
      </c>
      <c r="W36" s="76">
        <f>+Passwörter_Agenturen!AE46</f>
        <v>0</v>
      </c>
      <c r="X36" s="76">
        <f>+Passwörter_Agenturen!AF46</f>
        <v>0</v>
      </c>
      <c r="Y36" s="76">
        <f>+Passwörter_Agenturen!AG46</f>
        <v>0</v>
      </c>
      <c r="Z36" s="76">
        <f>+Passwörter_Agenturen!AH46</f>
        <v>0</v>
      </c>
    </row>
    <row r="37" spans="1:26" x14ac:dyDescent="0.25">
      <c r="A37" s="75" t="str">
        <f>+Passwörter_Agenturen!H47</f>
        <v>BKM Bausparkasse Mainz</v>
      </c>
      <c r="B37" s="76" t="str">
        <f>+Passwörter_Agenturen!J47</f>
        <v>568063</v>
      </c>
      <c r="C37" s="76">
        <f>+Passwörter_Agenturen!I47</f>
        <v>0</v>
      </c>
      <c r="D37" s="76">
        <f>+Passwörter_Agenturen!K47</f>
        <v>0</v>
      </c>
      <c r="E37" s="76">
        <f>+Passwörter_Agenturen!L47</f>
        <v>0</v>
      </c>
      <c r="F37" s="76">
        <f>+Passwörter_Agenturen!M47</f>
        <v>0</v>
      </c>
      <c r="G37" s="76">
        <f>+Passwörter_Agenturen!N47</f>
        <v>0</v>
      </c>
      <c r="H37" s="76">
        <f>+Passwörter_Agenturen!P47</f>
        <v>0</v>
      </c>
      <c r="I37" s="76">
        <f>+Passwörter_Agenturen!Q47</f>
        <v>0</v>
      </c>
      <c r="J37" s="76">
        <f>+Passwörter_Agenturen!R47</f>
        <v>0</v>
      </c>
      <c r="K37" s="76">
        <f>+Passwörter_Agenturen!S47</f>
        <v>0</v>
      </c>
      <c r="L37" s="76">
        <f>+Passwörter_Agenturen!T47</f>
        <v>0</v>
      </c>
      <c r="M37" s="76">
        <f>+Passwörter_Agenturen!U47</f>
        <v>0</v>
      </c>
      <c r="N37" s="76">
        <f>+Passwörter_Agenturen!V47</f>
        <v>0</v>
      </c>
      <c r="O37" s="76">
        <f>+Passwörter_Agenturen!W47</f>
        <v>0</v>
      </c>
      <c r="P37" s="76">
        <f>+Passwörter_Agenturen!X47</f>
        <v>0</v>
      </c>
      <c r="Q37" s="76">
        <f>+Passwörter_Agenturen!Y47</f>
        <v>0</v>
      </c>
      <c r="R37" s="76">
        <f>+Passwörter_Agenturen!Z47</f>
        <v>0</v>
      </c>
      <c r="S37" s="76">
        <f>+Passwörter_Agenturen!AA47</f>
        <v>0</v>
      </c>
      <c r="T37" s="76">
        <f>+Passwörter_Agenturen!AB47</f>
        <v>0</v>
      </c>
      <c r="U37" s="76">
        <f>+Passwörter_Agenturen!AC47</f>
        <v>0</v>
      </c>
      <c r="V37" s="76">
        <f>+Passwörter_Agenturen!AD47</f>
        <v>0</v>
      </c>
      <c r="W37" s="76">
        <f>+Passwörter_Agenturen!AE47</f>
        <v>0</v>
      </c>
      <c r="X37" s="76">
        <f>+Passwörter_Agenturen!AF47</f>
        <v>0</v>
      </c>
      <c r="Y37" s="76">
        <f>+Passwörter_Agenturen!AG47</f>
        <v>0</v>
      </c>
      <c r="Z37" s="76">
        <f>+Passwörter_Agenturen!AH47</f>
        <v>0</v>
      </c>
    </row>
    <row r="38" spans="1:26" x14ac:dyDescent="0.25">
      <c r="A38" s="75" t="str">
        <f>+Passwörter_Agenturen!H48</f>
        <v>Brandgilde Versicherung</v>
      </c>
      <c r="B38" s="76" t="str">
        <f>+Passwörter_Agenturen!J48</f>
        <v>14356</v>
      </c>
      <c r="C38" s="76">
        <f>+Passwörter_Agenturen!I48</f>
        <v>0</v>
      </c>
      <c r="D38" s="76">
        <f>+Passwörter_Agenturen!K48</f>
        <v>0</v>
      </c>
      <c r="E38" s="76">
        <f>+Passwörter_Agenturen!L48</f>
        <v>0</v>
      </c>
      <c r="F38" s="76">
        <f>+Passwörter_Agenturen!M48</f>
        <v>0</v>
      </c>
      <c r="G38" s="76">
        <f>+Passwörter_Agenturen!N48</f>
        <v>0</v>
      </c>
      <c r="H38" s="76">
        <f>+Passwörter_Agenturen!P48</f>
        <v>0</v>
      </c>
      <c r="I38" s="76">
        <f>+Passwörter_Agenturen!Q48</f>
        <v>0</v>
      </c>
      <c r="J38" s="76">
        <f>+Passwörter_Agenturen!R48</f>
        <v>0</v>
      </c>
      <c r="K38" s="76">
        <f>+Passwörter_Agenturen!S48</f>
        <v>0</v>
      </c>
      <c r="L38" s="76">
        <f>+Passwörter_Agenturen!T48</f>
        <v>0</v>
      </c>
      <c r="M38" s="76">
        <f>+Passwörter_Agenturen!U48</f>
        <v>0</v>
      </c>
      <c r="N38" s="76">
        <f>+Passwörter_Agenturen!V48</f>
        <v>0</v>
      </c>
      <c r="O38" s="76">
        <f>+Passwörter_Agenturen!W48</f>
        <v>0</v>
      </c>
      <c r="P38" s="76">
        <f>+Passwörter_Agenturen!X48</f>
        <v>0</v>
      </c>
      <c r="Q38" s="76">
        <f>+Passwörter_Agenturen!Y48</f>
        <v>0</v>
      </c>
      <c r="R38" s="76">
        <f>+Passwörter_Agenturen!Z48</f>
        <v>0</v>
      </c>
      <c r="S38" s="76">
        <f>+Passwörter_Agenturen!AA48</f>
        <v>0</v>
      </c>
      <c r="T38" s="76">
        <f>+Passwörter_Agenturen!AB48</f>
        <v>0</v>
      </c>
      <c r="U38" s="76">
        <f>+Passwörter_Agenturen!AC48</f>
        <v>0</v>
      </c>
      <c r="V38" s="76">
        <f>+Passwörter_Agenturen!AD48</f>
        <v>0</v>
      </c>
      <c r="W38" s="76">
        <f>+Passwörter_Agenturen!AE48</f>
        <v>0</v>
      </c>
      <c r="X38" s="76">
        <f>+Passwörter_Agenturen!AF48</f>
        <v>0</v>
      </c>
      <c r="Y38" s="76">
        <f>+Passwörter_Agenturen!AG48</f>
        <v>0</v>
      </c>
      <c r="Z38" s="76">
        <f>+Passwörter_Agenturen!AH48</f>
        <v>0</v>
      </c>
    </row>
    <row r="39" spans="1:26" x14ac:dyDescent="0.25">
      <c r="A39" s="75" t="str">
        <f>+Passwörter_Agenturen!H49</f>
        <v>Canada Life</v>
      </c>
      <c r="B39" s="76" t="str">
        <f>+Passwörter_Agenturen!J49</f>
        <v>A5G6</v>
      </c>
      <c r="C39" s="76" t="str">
        <f>+Passwörter_Agenturen!I49</f>
        <v>A5G6</v>
      </c>
      <c r="D39" s="76">
        <f>+Passwörter_Agenturen!K49</f>
        <v>0</v>
      </c>
      <c r="E39" s="76">
        <f>+Passwörter_Agenturen!L49</f>
        <v>0</v>
      </c>
      <c r="F39" s="76">
        <f>+Passwörter_Agenturen!M49</f>
        <v>0</v>
      </c>
      <c r="G39" s="76">
        <f>+Passwörter_Agenturen!N49</f>
        <v>0</v>
      </c>
      <c r="H39" s="76">
        <f>+Passwörter_Agenturen!P49</f>
        <v>0</v>
      </c>
      <c r="I39" s="76">
        <f>+Passwörter_Agenturen!Q49</f>
        <v>0</v>
      </c>
      <c r="J39" s="76">
        <f>+Passwörter_Agenturen!R49</f>
        <v>0</v>
      </c>
      <c r="K39" s="76">
        <f>+Passwörter_Agenturen!S49</f>
        <v>0</v>
      </c>
      <c r="L39" s="76">
        <f>+Passwörter_Agenturen!T49</f>
        <v>0</v>
      </c>
      <c r="M39" s="76">
        <f>+Passwörter_Agenturen!U49</f>
        <v>0</v>
      </c>
      <c r="N39" s="76">
        <f>+Passwörter_Agenturen!V49</f>
        <v>0</v>
      </c>
      <c r="O39" s="76">
        <f>+Passwörter_Agenturen!W49</f>
        <v>0</v>
      </c>
      <c r="P39" s="76">
        <f>+Passwörter_Agenturen!X49</f>
        <v>0</v>
      </c>
      <c r="Q39" s="76">
        <f>+Passwörter_Agenturen!Y49</f>
        <v>0</v>
      </c>
      <c r="R39" s="76">
        <f>+Passwörter_Agenturen!Z49</f>
        <v>0</v>
      </c>
      <c r="S39" s="76">
        <f>+Passwörter_Agenturen!AA49</f>
        <v>0</v>
      </c>
      <c r="T39" s="76">
        <f>+Passwörter_Agenturen!AB49</f>
        <v>0</v>
      </c>
      <c r="U39" s="76">
        <f>+Passwörter_Agenturen!AC49</f>
        <v>0</v>
      </c>
      <c r="V39" s="76">
        <f>+Passwörter_Agenturen!AD49</f>
        <v>0</v>
      </c>
      <c r="W39" s="76">
        <f>+Passwörter_Agenturen!AE49</f>
        <v>0</v>
      </c>
      <c r="X39" s="76">
        <f>+Passwörter_Agenturen!AF49</f>
        <v>0</v>
      </c>
      <c r="Y39" s="76">
        <f>+Passwörter_Agenturen!AG49</f>
        <v>0</v>
      </c>
      <c r="Z39" s="76">
        <f>+Passwörter_Agenturen!AH49</f>
        <v>0</v>
      </c>
    </row>
    <row r="40" spans="1:26" x14ac:dyDescent="0.25">
      <c r="A40" s="75" t="str">
        <f>+Passwörter_Agenturen!H50</f>
        <v>Care Concept</v>
      </c>
      <c r="B40" s="76" t="str">
        <f>+Passwörter_Agenturen!J50</f>
        <v>000 20 50000</v>
      </c>
      <c r="C40" s="76">
        <f>+Passwörter_Agenturen!I50</f>
        <v>0</v>
      </c>
      <c r="D40" s="76">
        <f>+Passwörter_Agenturen!K50</f>
        <v>0</v>
      </c>
      <c r="E40" s="76">
        <f>+Passwörter_Agenturen!L50</f>
        <v>0</v>
      </c>
      <c r="F40" s="76">
        <f>+Passwörter_Agenturen!M50</f>
        <v>0</v>
      </c>
      <c r="G40" s="76">
        <f>+Passwörter_Agenturen!N50</f>
        <v>0</v>
      </c>
      <c r="H40" s="76">
        <f>+Passwörter_Agenturen!P50</f>
        <v>0</v>
      </c>
      <c r="I40" s="76">
        <f>+Passwörter_Agenturen!Q50</f>
        <v>0</v>
      </c>
      <c r="J40" s="76">
        <f>+Passwörter_Agenturen!R50</f>
        <v>0</v>
      </c>
      <c r="K40" s="76">
        <f>+Passwörter_Agenturen!S50</f>
        <v>0</v>
      </c>
      <c r="L40" s="76">
        <f>+Passwörter_Agenturen!T50</f>
        <v>0</v>
      </c>
      <c r="M40" s="76">
        <f>+Passwörter_Agenturen!U50</f>
        <v>0</v>
      </c>
      <c r="N40" s="76">
        <f>+Passwörter_Agenturen!V50</f>
        <v>0</v>
      </c>
      <c r="O40" s="76">
        <f>+Passwörter_Agenturen!W50</f>
        <v>0</v>
      </c>
      <c r="P40" s="76">
        <f>+Passwörter_Agenturen!X50</f>
        <v>0</v>
      </c>
      <c r="Q40" s="76">
        <f>+Passwörter_Agenturen!Y50</f>
        <v>0</v>
      </c>
      <c r="R40" s="76">
        <f>+Passwörter_Agenturen!Z50</f>
        <v>0</v>
      </c>
      <c r="S40" s="76">
        <f>+Passwörter_Agenturen!AA50</f>
        <v>0</v>
      </c>
      <c r="T40" s="76">
        <f>+Passwörter_Agenturen!AB50</f>
        <v>0</v>
      </c>
      <c r="U40" s="76">
        <f>+Passwörter_Agenturen!AC50</f>
        <v>0</v>
      </c>
      <c r="V40" s="76">
        <f>+Passwörter_Agenturen!AD50</f>
        <v>0</v>
      </c>
      <c r="W40" s="76">
        <f>+Passwörter_Agenturen!AE50</f>
        <v>0</v>
      </c>
      <c r="X40" s="76">
        <f>+Passwörter_Agenturen!AF50</f>
        <v>0</v>
      </c>
      <c r="Y40" s="76">
        <f>+Passwörter_Agenturen!AG50</f>
        <v>0</v>
      </c>
      <c r="Z40" s="76">
        <f>+Passwörter_Agenturen!AH50</f>
        <v>0</v>
      </c>
    </row>
    <row r="41" spans="1:26" x14ac:dyDescent="0.25">
      <c r="A41" s="75" t="str">
        <f>+Passwörter_Agenturen!H51</f>
        <v>carglass</v>
      </c>
      <c r="B41" s="76" t="str">
        <f>+Passwörter_Agenturen!J51</f>
        <v>3655829222</v>
      </c>
      <c r="C41" s="76">
        <f>+Passwörter_Agenturen!I51</f>
        <v>0</v>
      </c>
      <c r="D41" s="76">
        <f>+Passwörter_Agenturen!K51</f>
        <v>0</v>
      </c>
      <c r="E41" s="76">
        <f>+Passwörter_Agenturen!L51</f>
        <v>0</v>
      </c>
      <c r="F41" s="76">
        <f>+Passwörter_Agenturen!M51</f>
        <v>0</v>
      </c>
      <c r="G41" s="76">
        <f>+Passwörter_Agenturen!N51</f>
        <v>0</v>
      </c>
      <c r="H41" s="76">
        <f>+Passwörter_Agenturen!P51</f>
        <v>0</v>
      </c>
      <c r="I41" s="76">
        <f>+Passwörter_Agenturen!Q51</f>
        <v>0</v>
      </c>
      <c r="J41" s="76">
        <f>+Passwörter_Agenturen!R51</f>
        <v>0</v>
      </c>
      <c r="K41" s="76">
        <f>+Passwörter_Agenturen!S51</f>
        <v>0</v>
      </c>
      <c r="L41" s="76">
        <f>+Passwörter_Agenturen!T51</f>
        <v>0</v>
      </c>
      <c r="M41" s="76">
        <f>+Passwörter_Agenturen!U51</f>
        <v>0</v>
      </c>
      <c r="N41" s="76">
        <f>+Passwörter_Agenturen!V51</f>
        <v>0</v>
      </c>
      <c r="O41" s="76">
        <f>+Passwörter_Agenturen!W51</f>
        <v>0</v>
      </c>
      <c r="P41" s="76">
        <f>+Passwörter_Agenturen!X51</f>
        <v>0</v>
      </c>
      <c r="Q41" s="76">
        <f>+Passwörter_Agenturen!Y51</f>
        <v>0</v>
      </c>
      <c r="R41" s="76">
        <f>+Passwörter_Agenturen!Z51</f>
        <v>0</v>
      </c>
      <c r="S41" s="76">
        <f>+Passwörter_Agenturen!AA51</f>
        <v>0</v>
      </c>
      <c r="T41" s="76">
        <f>+Passwörter_Agenturen!AB51</f>
        <v>0</v>
      </c>
      <c r="U41" s="76">
        <f>+Passwörter_Agenturen!AC51</f>
        <v>0</v>
      </c>
      <c r="V41" s="76">
        <f>+Passwörter_Agenturen!AD51</f>
        <v>0</v>
      </c>
      <c r="W41" s="76">
        <f>+Passwörter_Agenturen!AE51</f>
        <v>0</v>
      </c>
      <c r="X41" s="76">
        <f>+Passwörter_Agenturen!AF51</f>
        <v>0</v>
      </c>
      <c r="Y41" s="76">
        <f>+Passwörter_Agenturen!AG51</f>
        <v>0</v>
      </c>
      <c r="Z41" s="76">
        <f>+Passwörter_Agenturen!AH51</f>
        <v>0</v>
      </c>
    </row>
    <row r="42" spans="1:26" x14ac:dyDescent="0.25">
      <c r="A42" s="75" t="str">
        <f>+Passwörter_Agenturen!H52</f>
        <v>Concenter</v>
      </c>
      <c r="B42" s="76">
        <f>+Passwörter_Agenturen!J52</f>
        <v>0</v>
      </c>
      <c r="C42" s="76">
        <f>+Passwörter_Agenturen!I52</f>
        <v>0</v>
      </c>
      <c r="D42" s="76">
        <f>+Passwörter_Agenturen!K52</f>
        <v>0</v>
      </c>
      <c r="E42" s="76">
        <f>+Passwörter_Agenturen!L52</f>
        <v>0</v>
      </c>
      <c r="F42" s="76">
        <f>+Passwörter_Agenturen!M52</f>
        <v>0</v>
      </c>
      <c r="G42" s="76">
        <f>+Passwörter_Agenturen!N52</f>
        <v>0</v>
      </c>
      <c r="H42" s="76">
        <f>+Passwörter_Agenturen!P52</f>
        <v>0</v>
      </c>
      <c r="I42" s="76">
        <f>+Passwörter_Agenturen!Q52</f>
        <v>0</v>
      </c>
      <c r="J42" s="76">
        <f>+Passwörter_Agenturen!R52</f>
        <v>0</v>
      </c>
      <c r="K42" s="76">
        <f>+Passwörter_Agenturen!S52</f>
        <v>0</v>
      </c>
      <c r="L42" s="76">
        <f>+Passwörter_Agenturen!T52</f>
        <v>0</v>
      </c>
      <c r="M42" s="76">
        <f>+Passwörter_Agenturen!U52</f>
        <v>0</v>
      </c>
      <c r="N42" s="76">
        <f>+Passwörter_Agenturen!V52</f>
        <v>0</v>
      </c>
      <c r="O42" s="76">
        <f>+Passwörter_Agenturen!W52</f>
        <v>0</v>
      </c>
      <c r="P42" s="76">
        <f>+Passwörter_Agenturen!X52</f>
        <v>0</v>
      </c>
      <c r="Q42" s="76">
        <f>+Passwörter_Agenturen!Y52</f>
        <v>0</v>
      </c>
      <c r="R42" s="76">
        <f>+Passwörter_Agenturen!Z52</f>
        <v>0</v>
      </c>
      <c r="S42" s="76">
        <f>+Passwörter_Agenturen!AA52</f>
        <v>0</v>
      </c>
      <c r="T42" s="76">
        <f>+Passwörter_Agenturen!AB52</f>
        <v>0</v>
      </c>
      <c r="U42" s="76">
        <f>+Passwörter_Agenturen!AC52</f>
        <v>0</v>
      </c>
      <c r="V42" s="76">
        <f>+Passwörter_Agenturen!AD52</f>
        <v>0</v>
      </c>
      <c r="W42" s="76">
        <f>+Passwörter_Agenturen!AE52</f>
        <v>0</v>
      </c>
      <c r="X42" s="76">
        <f>+Passwörter_Agenturen!AF52</f>
        <v>0</v>
      </c>
      <c r="Y42" s="76">
        <f>+Passwörter_Agenturen!AG52</f>
        <v>0</v>
      </c>
      <c r="Z42" s="76">
        <f>+Passwörter_Agenturen!AH52</f>
        <v>0</v>
      </c>
    </row>
    <row r="43" spans="1:26" x14ac:dyDescent="0.25">
      <c r="A43" s="75" t="str">
        <f>+Passwörter_Agenturen!H53</f>
        <v>Conceptif</v>
      </c>
      <c r="B43" s="76">
        <f>+Passwörter_Agenturen!J53</f>
        <v>0</v>
      </c>
      <c r="C43" s="76">
        <f>+Passwörter_Agenturen!I53</f>
        <v>0</v>
      </c>
      <c r="D43" s="76">
        <f>+Passwörter_Agenturen!K53</f>
        <v>0</v>
      </c>
      <c r="E43" s="76">
        <f>+Passwörter_Agenturen!L53</f>
        <v>0</v>
      </c>
      <c r="F43" s="76">
        <f>+Passwörter_Agenturen!M53</f>
        <v>0</v>
      </c>
      <c r="G43" s="76">
        <f>+Passwörter_Agenturen!N53</f>
        <v>0</v>
      </c>
      <c r="H43" s="76">
        <f>+Passwörter_Agenturen!P53</f>
        <v>0</v>
      </c>
      <c r="I43" s="76">
        <f>+Passwörter_Agenturen!Q53</f>
        <v>0</v>
      </c>
      <c r="J43" s="76">
        <f>+Passwörter_Agenturen!R53</f>
        <v>0</v>
      </c>
      <c r="K43" s="76">
        <f>+Passwörter_Agenturen!S53</f>
        <v>0</v>
      </c>
      <c r="L43" s="76">
        <f>+Passwörter_Agenturen!T53</f>
        <v>0</v>
      </c>
      <c r="M43" s="76">
        <f>+Passwörter_Agenturen!U53</f>
        <v>0</v>
      </c>
      <c r="N43" s="76">
        <f>+Passwörter_Agenturen!V53</f>
        <v>0</v>
      </c>
      <c r="O43" s="76">
        <f>+Passwörter_Agenturen!W53</f>
        <v>0</v>
      </c>
      <c r="P43" s="76">
        <f>+Passwörter_Agenturen!X53</f>
        <v>0</v>
      </c>
      <c r="Q43" s="76">
        <f>+Passwörter_Agenturen!Y53</f>
        <v>0</v>
      </c>
      <c r="R43" s="76">
        <f>+Passwörter_Agenturen!Z53</f>
        <v>0</v>
      </c>
      <c r="S43" s="76">
        <f>+Passwörter_Agenturen!AA53</f>
        <v>0</v>
      </c>
      <c r="T43" s="76">
        <f>+Passwörter_Agenturen!AB53</f>
        <v>0</v>
      </c>
      <c r="U43" s="76">
        <f>+Passwörter_Agenturen!AC53</f>
        <v>0</v>
      </c>
      <c r="V43" s="76">
        <f>+Passwörter_Agenturen!AD53</f>
        <v>0</v>
      </c>
      <c r="W43" s="76">
        <f>+Passwörter_Agenturen!AE53</f>
        <v>0</v>
      </c>
      <c r="X43" s="76">
        <f>+Passwörter_Agenturen!AF53</f>
        <v>0</v>
      </c>
      <c r="Y43" s="76">
        <f>+Passwörter_Agenturen!AG53</f>
        <v>0</v>
      </c>
      <c r="Z43" s="76">
        <f>+Passwörter_Agenturen!AH53</f>
        <v>0</v>
      </c>
    </row>
    <row r="44" spans="1:26" x14ac:dyDescent="0.25">
      <c r="A44" s="75" t="e">
        <f>+Passwörter_Agenturen!#REF!</f>
        <v>#REF!</v>
      </c>
      <c r="B44" s="76" t="e">
        <f>+Passwörter_Agenturen!#REF!</f>
        <v>#REF!</v>
      </c>
      <c r="C44" s="76" t="e">
        <f>+Passwörter_Agenturen!#REF!</f>
        <v>#REF!</v>
      </c>
      <c r="D44" s="76" t="e">
        <f>+Passwörter_Agenturen!#REF!</f>
        <v>#REF!</v>
      </c>
      <c r="E44" s="76" t="e">
        <f>+Passwörter_Agenturen!#REF!</f>
        <v>#REF!</v>
      </c>
      <c r="F44" s="76" t="e">
        <f>+Passwörter_Agenturen!#REF!</f>
        <v>#REF!</v>
      </c>
      <c r="G44" s="76" t="e">
        <f>+Passwörter_Agenturen!#REF!</f>
        <v>#REF!</v>
      </c>
      <c r="H44" s="76" t="e">
        <f>+Passwörter_Agenturen!#REF!</f>
        <v>#REF!</v>
      </c>
      <c r="I44" s="76" t="e">
        <f>+Passwörter_Agenturen!#REF!</f>
        <v>#REF!</v>
      </c>
      <c r="J44" s="76" t="e">
        <f>+Passwörter_Agenturen!#REF!</f>
        <v>#REF!</v>
      </c>
      <c r="K44" s="76" t="e">
        <f>+Passwörter_Agenturen!#REF!</f>
        <v>#REF!</v>
      </c>
      <c r="L44" s="76" t="e">
        <f>+Passwörter_Agenturen!#REF!</f>
        <v>#REF!</v>
      </c>
      <c r="M44" s="76" t="e">
        <f>+Passwörter_Agenturen!#REF!</f>
        <v>#REF!</v>
      </c>
      <c r="N44" s="76" t="e">
        <f>+Passwörter_Agenturen!#REF!</f>
        <v>#REF!</v>
      </c>
      <c r="O44" s="76" t="e">
        <f>+Passwörter_Agenturen!#REF!</f>
        <v>#REF!</v>
      </c>
      <c r="P44" s="76" t="e">
        <f>+Passwörter_Agenturen!#REF!</f>
        <v>#REF!</v>
      </c>
      <c r="Q44" s="76" t="e">
        <f>+Passwörter_Agenturen!#REF!</f>
        <v>#REF!</v>
      </c>
      <c r="R44" s="76" t="e">
        <f>+Passwörter_Agenturen!#REF!</f>
        <v>#REF!</v>
      </c>
      <c r="S44" s="76" t="e">
        <f>+Passwörter_Agenturen!#REF!</f>
        <v>#REF!</v>
      </c>
      <c r="T44" s="76" t="e">
        <f>+Passwörter_Agenturen!#REF!</f>
        <v>#REF!</v>
      </c>
      <c r="U44" s="76" t="e">
        <f>+Passwörter_Agenturen!#REF!</f>
        <v>#REF!</v>
      </c>
      <c r="V44" s="76" t="e">
        <f>+Passwörter_Agenturen!#REF!</f>
        <v>#REF!</v>
      </c>
      <c r="W44" s="76" t="e">
        <f>+Passwörter_Agenturen!#REF!</f>
        <v>#REF!</v>
      </c>
      <c r="X44" s="76" t="e">
        <f>+Passwörter_Agenturen!#REF!</f>
        <v>#REF!</v>
      </c>
      <c r="Y44" s="76" t="e">
        <f>+Passwörter_Agenturen!#REF!</f>
        <v>#REF!</v>
      </c>
      <c r="Z44" s="76" t="e">
        <f>+Passwörter_Agenturen!#REF!</f>
        <v>#REF!</v>
      </c>
    </row>
    <row r="45" spans="1:26" x14ac:dyDescent="0.25">
      <c r="A45" s="75" t="str">
        <f>+Passwörter_Agenturen!H54</f>
        <v>Concordia</v>
      </c>
      <c r="B45" s="76" t="str">
        <f>+Passwörter_Agenturen!J54</f>
        <v>25111000</v>
      </c>
      <c r="C45" s="76" t="str">
        <f>+Passwörter_Agenturen!I54</f>
        <v>25111000</v>
      </c>
      <c r="D45" s="76">
        <f>+Passwörter_Agenturen!K54</f>
        <v>0</v>
      </c>
      <c r="E45" s="76" t="str">
        <f>+Passwörter_Agenturen!L54</f>
        <v>55280055</v>
      </c>
      <c r="F45" s="76">
        <f>+Passwörter_Agenturen!M54</f>
        <v>0</v>
      </c>
      <c r="G45" s="76">
        <f>+Passwörter_Agenturen!N54</f>
        <v>0</v>
      </c>
      <c r="H45" s="76">
        <f>+Passwörter_Agenturen!P54</f>
        <v>0</v>
      </c>
      <c r="I45" s="76">
        <f>+Passwörter_Agenturen!Q54</f>
        <v>0</v>
      </c>
      <c r="J45" s="76">
        <f>+Passwörter_Agenturen!R54</f>
        <v>0</v>
      </c>
      <c r="K45" s="76">
        <f>+Passwörter_Agenturen!S54</f>
        <v>0</v>
      </c>
      <c r="L45" s="76">
        <f>+Passwörter_Agenturen!T54</f>
        <v>0</v>
      </c>
      <c r="M45" s="76">
        <f>+Passwörter_Agenturen!U54</f>
        <v>0</v>
      </c>
      <c r="N45" s="76">
        <f>+Passwörter_Agenturen!V54</f>
        <v>0</v>
      </c>
      <c r="O45" s="76">
        <f>+Passwörter_Agenturen!W54</f>
        <v>0</v>
      </c>
      <c r="P45" s="76">
        <f>+Passwörter_Agenturen!X54</f>
        <v>0</v>
      </c>
      <c r="Q45" s="76">
        <f>+Passwörter_Agenturen!Y54</f>
        <v>0</v>
      </c>
      <c r="R45" s="76">
        <f>+Passwörter_Agenturen!Z54</f>
        <v>0</v>
      </c>
      <c r="S45" s="76">
        <f>+Passwörter_Agenturen!AA54</f>
        <v>0</v>
      </c>
      <c r="T45" s="76">
        <f>+Passwörter_Agenturen!AB54</f>
        <v>0</v>
      </c>
      <c r="U45" s="76">
        <f>+Passwörter_Agenturen!AC54</f>
        <v>0</v>
      </c>
      <c r="V45" s="76">
        <f>+Passwörter_Agenturen!AD54</f>
        <v>0</v>
      </c>
      <c r="W45" s="76">
        <f>+Passwörter_Agenturen!AE54</f>
        <v>0</v>
      </c>
      <c r="X45" s="76">
        <f>+Passwörter_Agenturen!AF54</f>
        <v>0</v>
      </c>
      <c r="Y45" s="76">
        <f>+Passwörter_Agenturen!AG54</f>
        <v>0</v>
      </c>
      <c r="Z45" s="76">
        <f>+Passwörter_Agenturen!AH54</f>
        <v>0</v>
      </c>
    </row>
    <row r="46" spans="1:26" x14ac:dyDescent="0.25">
      <c r="A46" s="75" t="str">
        <f>+Passwörter_Agenturen!H55</f>
        <v>Condor Klass. LV/BU / Optima</v>
      </c>
      <c r="B46" s="76" t="str">
        <f>+Passwörter_Agenturen!J55</f>
        <v>806252</v>
      </c>
      <c r="C46" s="76" t="str">
        <f>+Passwörter_Agenturen!I55</f>
        <v>14855, (806252 alt)</v>
      </c>
      <c r="D46" s="76">
        <f>+Passwörter_Agenturen!K55</f>
        <v>0</v>
      </c>
      <c r="E46" s="76">
        <f>+Passwörter_Agenturen!L55</f>
        <v>0</v>
      </c>
      <c r="F46" s="76">
        <f>+Passwörter_Agenturen!M55</f>
        <v>0</v>
      </c>
      <c r="G46" s="76">
        <f>+Passwörter_Agenturen!N55</f>
        <v>0</v>
      </c>
      <c r="H46" s="76">
        <f>+Passwörter_Agenturen!P55</f>
        <v>0</v>
      </c>
      <c r="I46" s="76">
        <f>+Passwörter_Agenturen!Q55</f>
        <v>0</v>
      </c>
      <c r="J46" s="76">
        <f>+Passwörter_Agenturen!R55</f>
        <v>0</v>
      </c>
      <c r="K46" s="76">
        <f>+Passwörter_Agenturen!S55</f>
        <v>0</v>
      </c>
      <c r="L46" s="76">
        <f>+Passwörter_Agenturen!T55</f>
        <v>0</v>
      </c>
      <c r="M46" s="76">
        <f>+Passwörter_Agenturen!U55</f>
        <v>0</v>
      </c>
      <c r="N46" s="76">
        <f>+Passwörter_Agenturen!V55</f>
        <v>0</v>
      </c>
      <c r="O46" s="76">
        <f>+Passwörter_Agenturen!W55</f>
        <v>0</v>
      </c>
      <c r="P46" s="76">
        <f>+Passwörter_Agenturen!X55</f>
        <v>0</v>
      </c>
      <c r="Q46" s="76">
        <f>+Passwörter_Agenturen!Y55</f>
        <v>0</v>
      </c>
      <c r="R46" s="76">
        <f>+Passwörter_Agenturen!Z55</f>
        <v>0</v>
      </c>
      <c r="S46" s="76">
        <f>+Passwörter_Agenturen!AA55</f>
        <v>0</v>
      </c>
      <c r="T46" s="76">
        <f>+Passwörter_Agenturen!AB55</f>
        <v>0</v>
      </c>
      <c r="U46" s="76">
        <f>+Passwörter_Agenturen!AC55</f>
        <v>0</v>
      </c>
      <c r="V46" s="76">
        <f>+Passwörter_Agenturen!AD55</f>
        <v>0</v>
      </c>
      <c r="W46" s="76">
        <f>+Passwörter_Agenturen!AE55</f>
        <v>0</v>
      </c>
      <c r="X46" s="76">
        <f>+Passwörter_Agenturen!AF55</f>
        <v>0</v>
      </c>
      <c r="Y46" s="76">
        <f>+Passwörter_Agenturen!AG55</f>
        <v>0</v>
      </c>
      <c r="Z46" s="76">
        <f>+Passwörter_Agenturen!AH55</f>
        <v>0</v>
      </c>
    </row>
    <row r="47" spans="1:26" x14ac:dyDescent="0.25">
      <c r="A47" s="75" t="str">
        <f>+Passwörter_Agenturen!H56</f>
        <v>Condor Leben (FLV) / Optima</v>
      </c>
      <c r="B47" s="76" t="str">
        <f>+Passwörter_Agenturen!J56</f>
        <v>58/14855</v>
      </c>
      <c r="C47" s="76" t="str">
        <f>+Passwörter_Agenturen!I56</f>
        <v>14855, (806252 alt)</v>
      </c>
      <c r="D47" s="76">
        <f>+Passwörter_Agenturen!K56</f>
        <v>0</v>
      </c>
      <c r="E47" s="76">
        <f>+Passwörter_Agenturen!L56</f>
        <v>0</v>
      </c>
      <c r="F47" s="76">
        <f>+Passwörter_Agenturen!M56</f>
        <v>0</v>
      </c>
      <c r="G47" s="76">
        <f>+Passwörter_Agenturen!N56</f>
        <v>0</v>
      </c>
      <c r="H47" s="76">
        <f>+Passwörter_Agenturen!P56</f>
        <v>0</v>
      </c>
      <c r="I47" s="76">
        <f>+Passwörter_Agenturen!Q56</f>
        <v>0</v>
      </c>
      <c r="J47" s="76">
        <f>+Passwörter_Agenturen!R56</f>
        <v>0</v>
      </c>
      <c r="K47" s="76">
        <f>+Passwörter_Agenturen!S56</f>
        <v>0</v>
      </c>
      <c r="L47" s="76">
        <f>+Passwörter_Agenturen!T56</f>
        <v>0</v>
      </c>
      <c r="M47" s="76">
        <f>+Passwörter_Agenturen!U56</f>
        <v>0</v>
      </c>
      <c r="N47" s="76">
        <f>+Passwörter_Agenturen!V56</f>
        <v>0</v>
      </c>
      <c r="O47" s="76">
        <f>+Passwörter_Agenturen!W56</f>
        <v>0</v>
      </c>
      <c r="P47" s="76">
        <f>+Passwörter_Agenturen!X56</f>
        <v>0</v>
      </c>
      <c r="Q47" s="76">
        <f>+Passwörter_Agenturen!Y56</f>
        <v>0</v>
      </c>
      <c r="R47" s="76">
        <f>+Passwörter_Agenturen!Z56</f>
        <v>0</v>
      </c>
      <c r="S47" s="76">
        <f>+Passwörter_Agenturen!AA56</f>
        <v>0</v>
      </c>
      <c r="T47" s="76">
        <f>+Passwörter_Agenturen!AB56</f>
        <v>0</v>
      </c>
      <c r="U47" s="76">
        <f>+Passwörter_Agenturen!AC56</f>
        <v>0</v>
      </c>
      <c r="V47" s="76">
        <f>+Passwörter_Agenturen!AD56</f>
        <v>0</v>
      </c>
      <c r="W47" s="76">
        <f>+Passwörter_Agenturen!AE56</f>
        <v>0</v>
      </c>
      <c r="X47" s="76">
        <f>+Passwörter_Agenturen!AF56</f>
        <v>0</v>
      </c>
      <c r="Y47" s="76">
        <f>+Passwörter_Agenturen!AG56</f>
        <v>0</v>
      </c>
      <c r="Z47" s="76">
        <f>+Passwörter_Agenturen!AH56</f>
        <v>0</v>
      </c>
    </row>
    <row r="48" spans="1:26" x14ac:dyDescent="0.25">
      <c r="A48" s="75" t="str">
        <f>+Passwörter_Agenturen!H57</f>
        <v>Condor Sach (nur Altbestand)</v>
      </c>
      <c r="B48" s="76" t="str">
        <f>+Passwörter_Agenturen!J57</f>
        <v xml:space="preserve">58/14855 </v>
      </c>
      <c r="C48" s="76">
        <f>+Passwörter_Agenturen!I57</f>
        <v>0</v>
      </c>
      <c r="D48" s="76">
        <f>+Passwörter_Agenturen!K57</f>
        <v>0</v>
      </c>
      <c r="E48" s="76">
        <f>+Passwörter_Agenturen!L57</f>
        <v>0</v>
      </c>
      <c r="F48" s="76">
        <f>+Passwörter_Agenturen!M57</f>
        <v>0</v>
      </c>
      <c r="G48" s="76">
        <f>+Passwörter_Agenturen!N57</f>
        <v>0</v>
      </c>
      <c r="H48" s="76">
        <f>+Passwörter_Agenturen!P57</f>
        <v>0</v>
      </c>
      <c r="I48" s="76">
        <f>+Passwörter_Agenturen!Q57</f>
        <v>0</v>
      </c>
      <c r="J48" s="76">
        <f>+Passwörter_Agenturen!R57</f>
        <v>0</v>
      </c>
      <c r="K48" s="76">
        <f>+Passwörter_Agenturen!S57</f>
        <v>0</v>
      </c>
      <c r="L48" s="76">
        <f>+Passwörter_Agenturen!T57</f>
        <v>0</v>
      </c>
      <c r="M48" s="76">
        <f>+Passwörter_Agenturen!U57</f>
        <v>0</v>
      </c>
      <c r="N48" s="76">
        <f>+Passwörter_Agenturen!V57</f>
        <v>0</v>
      </c>
      <c r="O48" s="76">
        <f>+Passwörter_Agenturen!W57</f>
        <v>0</v>
      </c>
      <c r="P48" s="76">
        <f>+Passwörter_Agenturen!X57</f>
        <v>0</v>
      </c>
      <c r="Q48" s="76">
        <f>+Passwörter_Agenturen!Y57</f>
        <v>0</v>
      </c>
      <c r="R48" s="76">
        <f>+Passwörter_Agenturen!Z57</f>
        <v>0</v>
      </c>
      <c r="S48" s="76">
        <f>+Passwörter_Agenturen!AA57</f>
        <v>0</v>
      </c>
      <c r="T48" s="76">
        <f>+Passwörter_Agenturen!AB57</f>
        <v>0</v>
      </c>
      <c r="U48" s="76">
        <f>+Passwörter_Agenturen!AC57</f>
        <v>0</v>
      </c>
      <c r="V48" s="76">
        <f>+Passwörter_Agenturen!AD57</f>
        <v>0</v>
      </c>
      <c r="W48" s="76">
        <f>+Passwörter_Agenturen!AE57</f>
        <v>0</v>
      </c>
      <c r="X48" s="76">
        <f>+Passwörter_Agenturen!AF57</f>
        <v>0</v>
      </c>
      <c r="Y48" s="76">
        <f>+Passwörter_Agenturen!AG57</f>
        <v>0</v>
      </c>
      <c r="Z48" s="76">
        <f>+Passwörter_Agenturen!AH57</f>
        <v>0</v>
      </c>
    </row>
    <row r="49" spans="1:26" x14ac:dyDescent="0.25">
      <c r="A49" s="75" t="str">
        <f>+Passwörter_Agenturen!H58</f>
        <v>Continentale</v>
      </c>
      <c r="B49" s="76" t="str">
        <f>+Passwörter_Agenturen!J58</f>
        <v>6100401</v>
      </c>
      <c r="C49" s="76">
        <f>+Passwörter_Agenturen!I58</f>
        <v>0</v>
      </c>
      <c r="D49" s="76">
        <f>+Passwörter_Agenturen!K58</f>
        <v>0</v>
      </c>
      <c r="E49" s="76">
        <f>+Passwörter_Agenturen!L58</f>
        <v>0</v>
      </c>
      <c r="F49" s="76">
        <f>+Passwörter_Agenturen!M58</f>
        <v>0</v>
      </c>
      <c r="G49" s="76">
        <f>+Passwörter_Agenturen!N58</f>
        <v>0</v>
      </c>
      <c r="H49" s="76">
        <f>+Passwörter_Agenturen!P58</f>
        <v>0</v>
      </c>
      <c r="I49" s="76">
        <f>+Passwörter_Agenturen!Q58</f>
        <v>0</v>
      </c>
      <c r="J49" s="76">
        <f>+Passwörter_Agenturen!R58</f>
        <v>0</v>
      </c>
      <c r="K49" s="76">
        <f>+Passwörter_Agenturen!S58</f>
        <v>0</v>
      </c>
      <c r="L49" s="76">
        <f>+Passwörter_Agenturen!T58</f>
        <v>0</v>
      </c>
      <c r="M49" s="76">
        <f>+Passwörter_Agenturen!U58</f>
        <v>0</v>
      </c>
      <c r="N49" s="76">
        <f>+Passwörter_Agenturen!V58</f>
        <v>0</v>
      </c>
      <c r="O49" s="76">
        <f>+Passwörter_Agenturen!W58</f>
        <v>0</v>
      </c>
      <c r="P49" s="76">
        <f>+Passwörter_Agenturen!X58</f>
        <v>0</v>
      </c>
      <c r="Q49" s="76">
        <f>+Passwörter_Agenturen!Y58</f>
        <v>0</v>
      </c>
      <c r="R49" s="76">
        <f>+Passwörter_Agenturen!Z58</f>
        <v>0</v>
      </c>
      <c r="S49" s="76">
        <f>+Passwörter_Agenturen!AA58</f>
        <v>0</v>
      </c>
      <c r="T49" s="76">
        <f>+Passwörter_Agenturen!AB58</f>
        <v>0</v>
      </c>
      <c r="U49" s="76">
        <f>+Passwörter_Agenturen!AC58</f>
        <v>0</v>
      </c>
      <c r="V49" s="76">
        <f>+Passwörter_Agenturen!AD58</f>
        <v>0</v>
      </c>
      <c r="W49" s="76">
        <f>+Passwörter_Agenturen!AE58</f>
        <v>0</v>
      </c>
      <c r="X49" s="76">
        <f>+Passwörter_Agenturen!AF58</f>
        <v>0</v>
      </c>
      <c r="Y49" s="76">
        <f>+Passwörter_Agenturen!AG58</f>
        <v>0</v>
      </c>
      <c r="Z49" s="76">
        <f>+Passwörter_Agenturen!AH58</f>
        <v>0</v>
      </c>
    </row>
    <row r="50" spans="1:26" x14ac:dyDescent="0.25">
      <c r="A50" s="75" t="str">
        <f>+Passwörter_Agenturen!H59</f>
        <v>covomo</v>
      </c>
      <c r="B50" s="76" t="str">
        <f>+Passwörter_Agenturen!J59</f>
        <v>49237783</v>
      </c>
      <c r="C50" s="76">
        <f>+Passwörter_Agenturen!I59</f>
        <v>0</v>
      </c>
      <c r="D50" s="76">
        <f>+Passwörter_Agenturen!K59</f>
        <v>0</v>
      </c>
      <c r="E50" s="76">
        <f>+Passwörter_Agenturen!L59</f>
        <v>0</v>
      </c>
      <c r="F50" s="76">
        <f>+Passwörter_Agenturen!M59</f>
        <v>0</v>
      </c>
      <c r="G50" s="76">
        <f>+Passwörter_Agenturen!N59</f>
        <v>0</v>
      </c>
      <c r="H50" s="76">
        <f>+Passwörter_Agenturen!P59</f>
        <v>0</v>
      </c>
      <c r="I50" s="76">
        <f>+Passwörter_Agenturen!Q59</f>
        <v>0</v>
      </c>
      <c r="J50" s="76">
        <f>+Passwörter_Agenturen!R59</f>
        <v>0</v>
      </c>
      <c r="K50" s="76">
        <f>+Passwörter_Agenturen!S59</f>
        <v>0</v>
      </c>
      <c r="L50" s="76">
        <f>+Passwörter_Agenturen!T59</f>
        <v>0</v>
      </c>
      <c r="M50" s="76">
        <f>+Passwörter_Agenturen!U59</f>
        <v>0</v>
      </c>
      <c r="N50" s="76">
        <f>+Passwörter_Agenturen!V59</f>
        <v>0</v>
      </c>
      <c r="O50" s="76">
        <f>+Passwörter_Agenturen!W59</f>
        <v>0</v>
      </c>
      <c r="P50" s="76">
        <f>+Passwörter_Agenturen!X59</f>
        <v>0</v>
      </c>
      <c r="Q50" s="76">
        <f>+Passwörter_Agenturen!Y59</f>
        <v>0</v>
      </c>
      <c r="R50" s="76">
        <f>+Passwörter_Agenturen!Z59</f>
        <v>0</v>
      </c>
      <c r="S50" s="76">
        <f>+Passwörter_Agenturen!AA59</f>
        <v>0</v>
      </c>
      <c r="T50" s="76">
        <f>+Passwörter_Agenturen!AB59</f>
        <v>0</v>
      </c>
      <c r="U50" s="76">
        <f>+Passwörter_Agenturen!AC59</f>
        <v>0</v>
      </c>
      <c r="V50" s="76">
        <f>+Passwörter_Agenturen!AD59</f>
        <v>0</v>
      </c>
      <c r="W50" s="76">
        <f>+Passwörter_Agenturen!AE59</f>
        <v>0</v>
      </c>
      <c r="X50" s="76">
        <f>+Passwörter_Agenturen!AF59</f>
        <v>0</v>
      </c>
      <c r="Y50" s="76">
        <f>+Passwörter_Agenturen!AG59</f>
        <v>0</v>
      </c>
      <c r="Z50" s="76">
        <f>+Passwörter_Agenturen!AH59</f>
        <v>0</v>
      </c>
    </row>
    <row r="51" spans="1:26" x14ac:dyDescent="0.25">
      <c r="A51" s="75" t="str">
        <f>+Passwörter_Agenturen!H61</f>
        <v>DEGENIA</v>
      </c>
      <c r="B51" s="76" t="str">
        <f>+Passwörter_Agenturen!J61</f>
        <v>00106876</v>
      </c>
      <c r="C51" s="76">
        <f>+Passwörter_Agenturen!I61</f>
        <v>0</v>
      </c>
      <c r="D51" s="76">
        <f>+Passwörter_Agenturen!K61</f>
        <v>0</v>
      </c>
      <c r="E51" s="76">
        <f>+Passwörter_Agenturen!L61</f>
        <v>0</v>
      </c>
      <c r="F51" s="76">
        <f>+Passwörter_Agenturen!M61</f>
        <v>0</v>
      </c>
      <c r="G51" s="76">
        <f>+Passwörter_Agenturen!N61</f>
        <v>0</v>
      </c>
      <c r="H51" s="76">
        <f>+Passwörter_Agenturen!P61</f>
        <v>0</v>
      </c>
      <c r="I51" s="76">
        <f>+Passwörter_Agenturen!Q61</f>
        <v>0</v>
      </c>
      <c r="J51" s="76">
        <f>+Passwörter_Agenturen!R61</f>
        <v>0</v>
      </c>
      <c r="K51" s="76">
        <f>+Passwörter_Agenturen!S61</f>
        <v>0</v>
      </c>
      <c r="L51" s="76">
        <f>+Passwörter_Agenturen!T61</f>
        <v>0</v>
      </c>
      <c r="M51" s="76">
        <f>+Passwörter_Agenturen!U61</f>
        <v>0</v>
      </c>
      <c r="N51" s="76">
        <f>+Passwörter_Agenturen!V61</f>
        <v>0</v>
      </c>
      <c r="O51" s="76">
        <f>+Passwörter_Agenturen!W61</f>
        <v>0</v>
      </c>
      <c r="P51" s="76">
        <f>+Passwörter_Agenturen!X61</f>
        <v>0</v>
      </c>
      <c r="Q51" s="76">
        <f>+Passwörter_Agenturen!Y61</f>
        <v>0</v>
      </c>
      <c r="R51" s="76">
        <f>+Passwörter_Agenturen!Z61</f>
        <v>0</v>
      </c>
      <c r="S51" s="76">
        <f>+Passwörter_Agenturen!AA61</f>
        <v>0</v>
      </c>
      <c r="T51" s="76">
        <f>+Passwörter_Agenturen!AB61</f>
        <v>0</v>
      </c>
      <c r="U51" s="76">
        <f>+Passwörter_Agenturen!AC61</f>
        <v>0</v>
      </c>
      <c r="V51" s="76">
        <f>+Passwörter_Agenturen!AD61</f>
        <v>0</v>
      </c>
      <c r="W51" s="76">
        <f>+Passwörter_Agenturen!AE61</f>
        <v>0</v>
      </c>
      <c r="X51" s="76">
        <f>+Passwörter_Agenturen!AF61</f>
        <v>0</v>
      </c>
      <c r="Y51" s="76">
        <f>+Passwörter_Agenturen!AG61</f>
        <v>0</v>
      </c>
      <c r="Z51" s="76">
        <f>+Passwörter_Agenturen!AH61</f>
        <v>0</v>
      </c>
    </row>
    <row r="52" spans="1:26" x14ac:dyDescent="0.25">
      <c r="A52" s="75" t="str">
        <f>+Passwörter_Agenturen!H63</f>
        <v>Delta Direkt</v>
      </c>
      <c r="B52" s="76" t="str">
        <f>+Passwörter_Agenturen!J63</f>
        <v>23226630</v>
      </c>
      <c r="C52" s="76">
        <f>+Passwörter_Agenturen!I63</f>
        <v>0</v>
      </c>
      <c r="D52" s="76">
        <f>+Passwörter_Agenturen!K63</f>
        <v>0</v>
      </c>
      <c r="E52" s="76">
        <f>+Passwörter_Agenturen!L63</f>
        <v>0</v>
      </c>
      <c r="F52" s="76">
        <f>+Passwörter_Agenturen!M63</f>
        <v>0</v>
      </c>
      <c r="G52" s="76">
        <f>+Passwörter_Agenturen!N63</f>
        <v>0</v>
      </c>
      <c r="H52" s="76">
        <f>+Passwörter_Agenturen!P63</f>
        <v>0</v>
      </c>
      <c r="I52" s="76">
        <f>+Passwörter_Agenturen!Q63</f>
        <v>0</v>
      </c>
      <c r="J52" s="76">
        <f>+Passwörter_Agenturen!R63</f>
        <v>0</v>
      </c>
      <c r="K52" s="76">
        <f>+Passwörter_Agenturen!S63</f>
        <v>0</v>
      </c>
      <c r="L52" s="76">
        <f>+Passwörter_Agenturen!T63</f>
        <v>0</v>
      </c>
      <c r="M52" s="76">
        <f>+Passwörter_Agenturen!U63</f>
        <v>0</v>
      </c>
      <c r="N52" s="76">
        <f>+Passwörter_Agenturen!V63</f>
        <v>0</v>
      </c>
      <c r="O52" s="76">
        <f>+Passwörter_Agenturen!W63</f>
        <v>0</v>
      </c>
      <c r="P52" s="76">
        <f>+Passwörter_Agenturen!X63</f>
        <v>0</v>
      </c>
      <c r="Q52" s="76">
        <f>+Passwörter_Agenturen!Y63</f>
        <v>0</v>
      </c>
      <c r="R52" s="76">
        <f>+Passwörter_Agenturen!Z63</f>
        <v>0</v>
      </c>
      <c r="S52" s="76">
        <f>+Passwörter_Agenturen!AA63</f>
        <v>0</v>
      </c>
      <c r="T52" s="76">
        <f>+Passwörter_Agenturen!AB63</f>
        <v>0</v>
      </c>
      <c r="U52" s="76">
        <f>+Passwörter_Agenturen!AC63</f>
        <v>0</v>
      </c>
      <c r="V52" s="76">
        <f>+Passwörter_Agenturen!AD63</f>
        <v>0</v>
      </c>
      <c r="W52" s="76">
        <f>+Passwörter_Agenturen!AE63</f>
        <v>0</v>
      </c>
      <c r="X52" s="76">
        <f>+Passwörter_Agenturen!AF63</f>
        <v>0</v>
      </c>
      <c r="Y52" s="76">
        <f>+Passwörter_Agenturen!AG63</f>
        <v>0</v>
      </c>
      <c r="Z52" s="76">
        <f>+Passwörter_Agenturen!AH63</f>
        <v>0</v>
      </c>
    </row>
    <row r="53" spans="1:26" x14ac:dyDescent="0.25">
      <c r="A53" s="75" t="str">
        <f>+Passwörter_Agenturen!H65</f>
        <v>Der Sachpool</v>
      </c>
      <c r="B53" s="76">
        <f>+Passwörter_Agenturen!J65</f>
        <v>0</v>
      </c>
      <c r="C53" s="76">
        <f>+Passwörter_Agenturen!I65</f>
        <v>0</v>
      </c>
      <c r="D53" s="76">
        <f>+Passwörter_Agenturen!K65</f>
        <v>0</v>
      </c>
      <c r="E53" s="76">
        <f>+Passwörter_Agenturen!L65</f>
        <v>0</v>
      </c>
      <c r="F53" s="76">
        <f>+Passwörter_Agenturen!M65</f>
        <v>0</v>
      </c>
      <c r="G53" s="76">
        <f>+Passwörter_Agenturen!N65</f>
        <v>0</v>
      </c>
      <c r="H53" s="76">
        <f>+Passwörter_Agenturen!P65</f>
        <v>0</v>
      </c>
      <c r="I53" s="76">
        <f>+Passwörter_Agenturen!Q65</f>
        <v>0</v>
      </c>
      <c r="J53" s="76">
        <f>+Passwörter_Agenturen!R65</f>
        <v>0</v>
      </c>
      <c r="K53" s="76">
        <f>+Passwörter_Agenturen!S65</f>
        <v>0</v>
      </c>
      <c r="L53" s="76">
        <f>+Passwörter_Agenturen!T65</f>
        <v>0</v>
      </c>
      <c r="M53" s="76">
        <f>+Passwörter_Agenturen!U65</f>
        <v>0</v>
      </c>
      <c r="N53" s="76">
        <f>+Passwörter_Agenturen!V65</f>
        <v>0</v>
      </c>
      <c r="O53" s="76">
        <f>+Passwörter_Agenturen!W65</f>
        <v>0</v>
      </c>
      <c r="P53" s="76">
        <f>+Passwörter_Agenturen!X65</f>
        <v>0</v>
      </c>
      <c r="Q53" s="76">
        <f>+Passwörter_Agenturen!Y65</f>
        <v>0</v>
      </c>
      <c r="R53" s="76">
        <f>+Passwörter_Agenturen!Z65</f>
        <v>0</v>
      </c>
      <c r="S53" s="76">
        <f>+Passwörter_Agenturen!AA65</f>
        <v>0</v>
      </c>
      <c r="T53" s="76">
        <f>+Passwörter_Agenturen!AB65</f>
        <v>0</v>
      </c>
      <c r="U53" s="76">
        <f>+Passwörter_Agenturen!AC65</f>
        <v>0</v>
      </c>
      <c r="V53" s="76">
        <f>+Passwörter_Agenturen!AD65</f>
        <v>0</v>
      </c>
      <c r="W53" s="76">
        <f>+Passwörter_Agenturen!AE65</f>
        <v>0</v>
      </c>
      <c r="X53" s="76">
        <f>+Passwörter_Agenturen!AF65</f>
        <v>0</v>
      </c>
      <c r="Y53" s="76">
        <f>+Passwörter_Agenturen!AG65</f>
        <v>0</v>
      </c>
      <c r="Z53" s="76">
        <f>+Passwörter_Agenturen!AH65</f>
        <v>0</v>
      </c>
    </row>
    <row r="54" spans="1:26" x14ac:dyDescent="0.25">
      <c r="A54" s="75" t="str">
        <f>+Passwörter_Agenturen!H66</f>
        <v>Deurag</v>
      </c>
      <c r="B54" s="76" t="str">
        <f>+Passwörter_Agenturen!J66</f>
        <v>47502</v>
      </c>
      <c r="C54" s="76" t="str">
        <f>+Passwörter_Agenturen!I66</f>
        <v>47502</v>
      </c>
      <c r="D54" s="76">
        <f>+Passwörter_Agenturen!K66</f>
        <v>0</v>
      </c>
      <c r="E54" s="76" t="str">
        <f>+Passwörter_Agenturen!L66</f>
        <v>51089</v>
      </c>
      <c r="F54" s="76">
        <f>+Passwörter_Agenturen!M66</f>
        <v>0</v>
      </c>
      <c r="G54" s="76">
        <f>+Passwörter_Agenturen!N66</f>
        <v>0</v>
      </c>
      <c r="H54" s="76">
        <f>+Passwörter_Agenturen!P66</f>
        <v>0</v>
      </c>
      <c r="I54" s="76">
        <f>+Passwörter_Agenturen!Q66</f>
        <v>0</v>
      </c>
      <c r="J54" s="76">
        <f>+Passwörter_Agenturen!R66</f>
        <v>0</v>
      </c>
      <c r="K54" s="76">
        <f>+Passwörter_Agenturen!S66</f>
        <v>0</v>
      </c>
      <c r="L54" s="76">
        <f>+Passwörter_Agenturen!T66</f>
        <v>0</v>
      </c>
      <c r="M54" s="76">
        <f>+Passwörter_Agenturen!U66</f>
        <v>0</v>
      </c>
      <c r="N54" s="76">
        <f>+Passwörter_Agenturen!V66</f>
        <v>0</v>
      </c>
      <c r="O54" s="76">
        <f>+Passwörter_Agenturen!W66</f>
        <v>0</v>
      </c>
      <c r="P54" s="76">
        <f>+Passwörter_Agenturen!X66</f>
        <v>0</v>
      </c>
      <c r="Q54" s="76">
        <f>+Passwörter_Agenturen!Y66</f>
        <v>0</v>
      </c>
      <c r="R54" s="76">
        <f>+Passwörter_Agenturen!Z66</f>
        <v>0</v>
      </c>
      <c r="S54" s="76">
        <f>+Passwörter_Agenturen!AA66</f>
        <v>0</v>
      </c>
      <c r="T54" s="76">
        <f>+Passwörter_Agenturen!AB66</f>
        <v>0</v>
      </c>
      <c r="U54" s="76">
        <f>+Passwörter_Agenturen!AC66</f>
        <v>0</v>
      </c>
      <c r="V54" s="76">
        <f>+Passwörter_Agenturen!AD66</f>
        <v>0</v>
      </c>
      <c r="W54" s="76">
        <f>+Passwörter_Agenturen!AE66</f>
        <v>0</v>
      </c>
      <c r="X54" s="76" t="str">
        <f>+Passwörter_Agenturen!AF66</f>
        <v>42992</v>
      </c>
      <c r="Y54" s="76">
        <f>+Passwörter_Agenturen!AG66</f>
        <v>0</v>
      </c>
      <c r="Z54" s="76">
        <f>+Passwörter_Agenturen!AH66</f>
        <v>0</v>
      </c>
    </row>
    <row r="55" spans="1:26" x14ac:dyDescent="0.25">
      <c r="A55" s="75" t="e">
        <f>+Passwörter_Agenturen!#REF!</f>
        <v>#REF!</v>
      </c>
      <c r="B55" s="76" t="e">
        <f>+Passwörter_Agenturen!#REF!</f>
        <v>#REF!</v>
      </c>
      <c r="C55" s="76" t="e">
        <f>+Passwörter_Agenturen!#REF!</f>
        <v>#REF!</v>
      </c>
      <c r="D55" s="76" t="e">
        <f>+Passwörter_Agenturen!#REF!</f>
        <v>#REF!</v>
      </c>
      <c r="E55" s="76" t="e">
        <f>+Passwörter_Agenturen!#REF!</f>
        <v>#REF!</v>
      </c>
      <c r="F55" s="76" t="e">
        <f>+Passwörter_Agenturen!#REF!</f>
        <v>#REF!</v>
      </c>
      <c r="G55" s="76" t="e">
        <f>+Passwörter_Agenturen!#REF!</f>
        <v>#REF!</v>
      </c>
      <c r="H55" s="76" t="e">
        <f>+Passwörter_Agenturen!#REF!</f>
        <v>#REF!</v>
      </c>
      <c r="I55" s="76" t="e">
        <f>+Passwörter_Agenturen!#REF!</f>
        <v>#REF!</v>
      </c>
      <c r="J55" s="76" t="e">
        <f>+Passwörter_Agenturen!#REF!</f>
        <v>#REF!</v>
      </c>
      <c r="K55" s="76" t="e">
        <f>+Passwörter_Agenturen!#REF!</f>
        <v>#REF!</v>
      </c>
      <c r="L55" s="76" t="e">
        <f>+Passwörter_Agenturen!#REF!</f>
        <v>#REF!</v>
      </c>
      <c r="M55" s="76" t="e">
        <f>+Passwörter_Agenturen!#REF!</f>
        <v>#REF!</v>
      </c>
      <c r="N55" s="76" t="e">
        <f>+Passwörter_Agenturen!#REF!</f>
        <v>#REF!</v>
      </c>
      <c r="O55" s="76" t="e">
        <f>+Passwörter_Agenturen!#REF!</f>
        <v>#REF!</v>
      </c>
      <c r="P55" s="76" t="e">
        <f>+Passwörter_Agenturen!#REF!</f>
        <v>#REF!</v>
      </c>
      <c r="Q55" s="76" t="e">
        <f>+Passwörter_Agenturen!#REF!</f>
        <v>#REF!</v>
      </c>
      <c r="R55" s="76" t="e">
        <f>+Passwörter_Agenturen!#REF!</f>
        <v>#REF!</v>
      </c>
      <c r="S55" s="76" t="e">
        <f>+Passwörter_Agenturen!#REF!</f>
        <v>#REF!</v>
      </c>
      <c r="T55" s="76" t="e">
        <f>+Passwörter_Agenturen!#REF!</f>
        <v>#REF!</v>
      </c>
      <c r="U55" s="76" t="e">
        <f>+Passwörter_Agenturen!#REF!</f>
        <v>#REF!</v>
      </c>
      <c r="V55" s="76" t="e">
        <f>+Passwörter_Agenturen!#REF!</f>
        <v>#REF!</v>
      </c>
      <c r="W55" s="76" t="e">
        <f>+Passwörter_Agenturen!#REF!</f>
        <v>#REF!</v>
      </c>
      <c r="X55" s="76" t="e">
        <f>+Passwörter_Agenturen!#REF!</f>
        <v>#REF!</v>
      </c>
      <c r="Y55" s="76" t="e">
        <f>+Passwörter_Agenturen!#REF!</f>
        <v>#REF!</v>
      </c>
      <c r="Z55" s="76" t="e">
        <f>+Passwörter_Agenturen!#REF!</f>
        <v>#REF!</v>
      </c>
    </row>
    <row r="56" spans="1:26" x14ac:dyDescent="0.25">
      <c r="A56" s="75" t="str">
        <f>+Passwörter_Agenturen!H67</f>
        <v>Deutsche Lebensversicherung AG (Allianz)</v>
      </c>
      <c r="B56" s="76" t="str">
        <f>+Passwörter_Agenturen!J67</f>
        <v>70/2020418</v>
      </c>
      <c r="C56" s="76">
        <f>+Passwörter_Agenturen!I67</f>
        <v>0</v>
      </c>
      <c r="D56" s="76">
        <f>+Passwörter_Agenturen!K67</f>
        <v>0</v>
      </c>
      <c r="E56" s="76">
        <f>+Passwörter_Agenturen!L67</f>
        <v>0</v>
      </c>
      <c r="F56" s="76">
        <f>+Passwörter_Agenturen!M67</f>
        <v>0</v>
      </c>
      <c r="G56" s="76">
        <f>+Passwörter_Agenturen!N67</f>
        <v>0</v>
      </c>
      <c r="H56" s="76">
        <f>+Passwörter_Agenturen!P67</f>
        <v>0</v>
      </c>
      <c r="I56" s="76">
        <f>+Passwörter_Agenturen!Q67</f>
        <v>0</v>
      </c>
      <c r="J56" s="76">
        <f>+Passwörter_Agenturen!R67</f>
        <v>0</v>
      </c>
      <c r="K56" s="76">
        <f>+Passwörter_Agenturen!S67</f>
        <v>0</v>
      </c>
      <c r="L56" s="76">
        <f>+Passwörter_Agenturen!T67</f>
        <v>0</v>
      </c>
      <c r="M56" s="76">
        <f>+Passwörter_Agenturen!U67</f>
        <v>0</v>
      </c>
      <c r="N56" s="76">
        <f>+Passwörter_Agenturen!V67</f>
        <v>0</v>
      </c>
      <c r="O56" s="76">
        <f>+Passwörter_Agenturen!W67</f>
        <v>0</v>
      </c>
      <c r="P56" s="76">
        <f>+Passwörter_Agenturen!X67</f>
        <v>0</v>
      </c>
      <c r="Q56" s="76">
        <f>+Passwörter_Agenturen!Y67</f>
        <v>0</v>
      </c>
      <c r="R56" s="76">
        <f>+Passwörter_Agenturen!Z67</f>
        <v>0</v>
      </c>
      <c r="S56" s="76">
        <f>+Passwörter_Agenturen!AA67</f>
        <v>0</v>
      </c>
      <c r="T56" s="76">
        <f>+Passwörter_Agenturen!AB67</f>
        <v>0</v>
      </c>
      <c r="U56" s="76">
        <f>+Passwörter_Agenturen!AC67</f>
        <v>0</v>
      </c>
      <c r="V56" s="76">
        <f>+Passwörter_Agenturen!AD67</f>
        <v>0</v>
      </c>
      <c r="W56" s="76">
        <f>+Passwörter_Agenturen!AE67</f>
        <v>0</v>
      </c>
      <c r="X56" s="76">
        <f>+Passwörter_Agenturen!AF67</f>
        <v>0</v>
      </c>
      <c r="Y56" s="76">
        <f>+Passwörter_Agenturen!AG67</f>
        <v>0</v>
      </c>
      <c r="Z56" s="76">
        <f>+Passwörter_Agenturen!AH67</f>
        <v>0</v>
      </c>
    </row>
    <row r="57" spans="1:26" x14ac:dyDescent="0.25">
      <c r="A57" s="75" t="str">
        <f>+Passwörter_Agenturen!H69</f>
        <v>Deutscher Ring Kranken</v>
      </c>
      <c r="B57" s="76" t="str">
        <f>+Passwörter_Agenturen!J69</f>
        <v>8656194</v>
      </c>
      <c r="C57" s="76" t="str">
        <f>+Passwörter_Agenturen!I69</f>
        <v>8656194</v>
      </c>
      <c r="D57" s="76">
        <f>+Passwörter_Agenturen!K69</f>
        <v>0</v>
      </c>
      <c r="E57" s="76">
        <f>+Passwörter_Agenturen!L69</f>
        <v>0</v>
      </c>
      <c r="F57" s="76">
        <f>+Passwörter_Agenturen!M69</f>
        <v>0</v>
      </c>
      <c r="G57" s="76">
        <f>+Passwörter_Agenturen!N69</f>
        <v>0</v>
      </c>
      <c r="H57" s="76">
        <f>+Passwörter_Agenturen!P69</f>
        <v>0</v>
      </c>
      <c r="I57" s="76">
        <f>+Passwörter_Agenturen!Q69</f>
        <v>0</v>
      </c>
      <c r="J57" s="76">
        <f>+Passwörter_Agenturen!R69</f>
        <v>0</v>
      </c>
      <c r="K57" s="76">
        <f>+Passwörter_Agenturen!S69</f>
        <v>0</v>
      </c>
      <c r="L57" s="76">
        <f>+Passwörter_Agenturen!T69</f>
        <v>0</v>
      </c>
      <c r="M57" s="76">
        <f>+Passwörter_Agenturen!U69</f>
        <v>0</v>
      </c>
      <c r="N57" s="76">
        <f>+Passwörter_Agenturen!V69</f>
        <v>0</v>
      </c>
      <c r="O57" s="76">
        <f>+Passwörter_Agenturen!W69</f>
        <v>0</v>
      </c>
      <c r="P57" s="76">
        <f>+Passwörter_Agenturen!X69</f>
        <v>0</v>
      </c>
      <c r="Q57" s="76">
        <f>+Passwörter_Agenturen!Y69</f>
        <v>0</v>
      </c>
      <c r="R57" s="76">
        <f>+Passwörter_Agenturen!Z69</f>
        <v>0</v>
      </c>
      <c r="S57" s="76">
        <f>+Passwörter_Agenturen!AA69</f>
        <v>0</v>
      </c>
      <c r="T57" s="76">
        <f>+Passwörter_Agenturen!AB69</f>
        <v>0</v>
      </c>
      <c r="U57" s="76">
        <f>+Passwörter_Agenturen!AC69</f>
        <v>0</v>
      </c>
      <c r="V57" s="76">
        <f>+Passwörter_Agenturen!AD69</f>
        <v>0</v>
      </c>
      <c r="W57" s="76">
        <f>+Passwörter_Agenturen!AE69</f>
        <v>0</v>
      </c>
      <c r="X57" s="76">
        <f>+Passwörter_Agenturen!AF69</f>
        <v>0</v>
      </c>
      <c r="Y57" s="76">
        <f>+Passwörter_Agenturen!AG69</f>
        <v>0</v>
      </c>
      <c r="Z57" s="76">
        <f>+Passwörter_Agenturen!AH69</f>
        <v>0</v>
      </c>
    </row>
    <row r="58" spans="1:26" x14ac:dyDescent="0.25">
      <c r="A58" s="75" t="str">
        <f>+Passwörter_Agenturen!H71</f>
        <v>Dialog Leben</v>
      </c>
      <c r="B58" s="76" t="str">
        <f>+Passwörter_Agenturen!J71</f>
        <v>48/0203</v>
      </c>
      <c r="C58" s="76" t="str">
        <f>+Passwörter_Agenturen!I71</f>
        <v>480203</v>
      </c>
      <c r="D58" s="76">
        <f>+Passwörter_Agenturen!K71</f>
        <v>0</v>
      </c>
      <c r="E58" s="76">
        <f>+Passwörter_Agenturen!L71</f>
        <v>0</v>
      </c>
      <c r="F58" s="76">
        <f>+Passwörter_Agenturen!M71</f>
        <v>0</v>
      </c>
      <c r="G58" s="76">
        <f>+Passwörter_Agenturen!N71</f>
        <v>0</v>
      </c>
      <c r="H58" s="76">
        <f>+Passwörter_Agenturen!P71</f>
        <v>0</v>
      </c>
      <c r="I58" s="76">
        <f>+Passwörter_Agenturen!Q71</f>
        <v>0</v>
      </c>
      <c r="J58" s="76">
        <f>+Passwörter_Agenturen!R71</f>
        <v>0</v>
      </c>
      <c r="K58" s="76">
        <f>+Passwörter_Agenturen!S71</f>
        <v>0</v>
      </c>
      <c r="L58" s="76">
        <f>+Passwörter_Agenturen!T71</f>
        <v>0</v>
      </c>
      <c r="M58" s="76">
        <f>+Passwörter_Agenturen!U71</f>
        <v>0</v>
      </c>
      <c r="N58" s="76">
        <f>+Passwörter_Agenturen!V71</f>
        <v>0</v>
      </c>
      <c r="O58" s="76">
        <f>+Passwörter_Agenturen!W71</f>
        <v>0</v>
      </c>
      <c r="P58" s="76">
        <f>+Passwörter_Agenturen!X71</f>
        <v>0</v>
      </c>
      <c r="Q58" s="76">
        <f>+Passwörter_Agenturen!Y71</f>
        <v>0</v>
      </c>
      <c r="R58" s="76">
        <f>+Passwörter_Agenturen!Z71</f>
        <v>0</v>
      </c>
      <c r="S58" s="76">
        <f>+Passwörter_Agenturen!AA71</f>
        <v>0</v>
      </c>
      <c r="T58" s="76">
        <f>+Passwörter_Agenturen!AB71</f>
        <v>0</v>
      </c>
      <c r="U58" s="76">
        <f>+Passwörter_Agenturen!AC71</f>
        <v>0</v>
      </c>
      <c r="V58" s="76">
        <f>+Passwörter_Agenturen!AD71</f>
        <v>0</v>
      </c>
      <c r="W58" s="76">
        <f>+Passwörter_Agenturen!AE71</f>
        <v>0</v>
      </c>
      <c r="X58" s="76">
        <f>+Passwörter_Agenturen!AF71</f>
        <v>0</v>
      </c>
      <c r="Y58" s="76">
        <f>+Passwörter_Agenturen!AG71</f>
        <v>0</v>
      </c>
      <c r="Z58" s="76">
        <f>+Passwörter_Agenturen!AH71</f>
        <v>0</v>
      </c>
    </row>
    <row r="59" spans="1:26" x14ac:dyDescent="0.25">
      <c r="A59" s="75" t="str">
        <f>+Passwörter_Agenturen!H76</f>
        <v xml:space="preserve">die Bayerische </v>
      </c>
      <c r="B59" s="76" t="str">
        <f>+Passwörter_Agenturen!J76</f>
        <v>940862</v>
      </c>
      <c r="C59" s="76" t="str">
        <f>+Passwörter_Agenturen!I76</f>
        <v>095910</v>
      </c>
      <c r="D59" s="76">
        <f>+Passwörter_Agenturen!K76</f>
        <v>0</v>
      </c>
      <c r="E59" s="76" t="str">
        <f>+Passwörter_Agenturen!L76</f>
        <v>002992 / 95022 (Patronus)</v>
      </c>
      <c r="F59" s="76">
        <f>+Passwörter_Agenturen!M76</f>
        <v>0</v>
      </c>
      <c r="G59" s="76">
        <f>+Passwörter_Agenturen!N76</f>
        <v>0</v>
      </c>
      <c r="H59" s="76">
        <f>+Passwörter_Agenturen!P76</f>
        <v>0</v>
      </c>
      <c r="I59" s="76">
        <f>+Passwörter_Agenturen!Q76</f>
        <v>0</v>
      </c>
      <c r="J59" s="76">
        <f>+Passwörter_Agenturen!R76</f>
        <v>0</v>
      </c>
      <c r="K59" s="76">
        <f>+Passwörter_Agenturen!S76</f>
        <v>0</v>
      </c>
      <c r="L59" s="76">
        <f>+Passwörter_Agenturen!T76</f>
        <v>0</v>
      </c>
      <c r="M59" s="76">
        <f>+Passwörter_Agenturen!U76</f>
        <v>0</v>
      </c>
      <c r="N59" s="76">
        <f>+Passwörter_Agenturen!V76</f>
        <v>0</v>
      </c>
      <c r="O59" s="76">
        <f>+Passwörter_Agenturen!W76</f>
        <v>0</v>
      </c>
      <c r="P59" s="76">
        <f>+Passwörter_Agenturen!X76</f>
        <v>0</v>
      </c>
      <c r="Q59" s="76">
        <f>+Passwörter_Agenturen!Y76</f>
        <v>0</v>
      </c>
      <c r="R59" s="76">
        <f>+Passwörter_Agenturen!Z76</f>
        <v>0</v>
      </c>
      <c r="S59" s="76">
        <f>+Passwörter_Agenturen!AA76</f>
        <v>0</v>
      </c>
      <c r="T59" s="76">
        <f>+Passwörter_Agenturen!AB76</f>
        <v>0</v>
      </c>
      <c r="U59" s="76">
        <f>+Passwörter_Agenturen!AC76</f>
        <v>0</v>
      </c>
      <c r="V59" s="76">
        <f>+Passwörter_Agenturen!AD76</f>
        <v>0</v>
      </c>
      <c r="W59" s="76">
        <f>+Passwörter_Agenturen!AE76</f>
        <v>0</v>
      </c>
      <c r="X59" s="76" t="str">
        <f>+Passwörter_Agenturen!AF76</f>
        <v>940341</v>
      </c>
      <c r="Y59" s="76">
        <f>+Passwörter_Agenturen!AG76</f>
        <v>0</v>
      </c>
      <c r="Z59" s="76">
        <f>+Passwörter_Agenturen!AH76</f>
        <v>0</v>
      </c>
    </row>
    <row r="60" spans="1:26" x14ac:dyDescent="0.25">
      <c r="A60" s="75" t="str">
        <f>+Passwörter_Agenturen!H77</f>
        <v>Die Hinterbliebenenkasse HDH</v>
      </c>
      <c r="B60" s="76" t="str">
        <f>+Passwörter_Agenturen!J77</f>
        <v>1700999</v>
      </c>
      <c r="C60" s="76" t="str">
        <f>+Passwörter_Agenturen!I77</f>
        <v>1700999</v>
      </c>
      <c r="D60" s="76">
        <f>+Passwörter_Agenturen!K77</f>
        <v>0</v>
      </c>
      <c r="E60" s="76">
        <f>+Passwörter_Agenturen!L77</f>
        <v>0</v>
      </c>
      <c r="F60" s="76">
        <f>+Passwörter_Agenturen!M77</f>
        <v>0</v>
      </c>
      <c r="G60" s="76">
        <f>+Passwörter_Agenturen!N77</f>
        <v>0</v>
      </c>
      <c r="H60" s="76">
        <f>+Passwörter_Agenturen!P77</f>
        <v>0</v>
      </c>
      <c r="I60" s="76">
        <f>+Passwörter_Agenturen!Q77</f>
        <v>0</v>
      </c>
      <c r="J60" s="76">
        <f>+Passwörter_Agenturen!R77</f>
        <v>0</v>
      </c>
      <c r="K60" s="76">
        <f>+Passwörter_Agenturen!S77</f>
        <v>0</v>
      </c>
      <c r="L60" s="76">
        <f>+Passwörter_Agenturen!T77</f>
        <v>0</v>
      </c>
      <c r="M60" s="76">
        <f>+Passwörter_Agenturen!U77</f>
        <v>0</v>
      </c>
      <c r="N60" s="76">
        <f>+Passwörter_Agenturen!V77</f>
        <v>0</v>
      </c>
      <c r="O60" s="76">
        <f>+Passwörter_Agenturen!W77</f>
        <v>0</v>
      </c>
      <c r="P60" s="76">
        <f>+Passwörter_Agenturen!X77</f>
        <v>0</v>
      </c>
      <c r="Q60" s="76">
        <f>+Passwörter_Agenturen!Y77</f>
        <v>0</v>
      </c>
      <c r="R60" s="76">
        <f>+Passwörter_Agenturen!Z77</f>
        <v>0</v>
      </c>
      <c r="S60" s="76">
        <f>+Passwörter_Agenturen!AA77</f>
        <v>0</v>
      </c>
      <c r="T60" s="76">
        <f>+Passwörter_Agenturen!AB77</f>
        <v>0</v>
      </c>
      <c r="U60" s="76">
        <f>+Passwörter_Agenturen!AC77</f>
        <v>0</v>
      </c>
      <c r="V60" s="76">
        <f>+Passwörter_Agenturen!AD77</f>
        <v>0</v>
      </c>
      <c r="W60" s="76">
        <f>+Passwörter_Agenturen!AE77</f>
        <v>0</v>
      </c>
      <c r="X60" s="76">
        <f>+Passwörter_Agenturen!AF77</f>
        <v>0</v>
      </c>
      <c r="Y60" s="76">
        <f>+Passwörter_Agenturen!AG77</f>
        <v>0</v>
      </c>
      <c r="Z60" s="76">
        <f>+Passwörter_Agenturen!AH77</f>
        <v>0</v>
      </c>
    </row>
    <row r="61" spans="1:26" x14ac:dyDescent="0.25">
      <c r="A61" s="75" t="str">
        <f>+Passwörter_Agenturen!H78</f>
        <v xml:space="preserve">DKB </v>
      </c>
      <c r="B61" s="76" t="str">
        <f>+Passwörter_Agenturen!J78</f>
        <v>21 122</v>
      </c>
      <c r="C61" s="76">
        <f>+Passwörter_Agenturen!I78</f>
        <v>0</v>
      </c>
      <c r="D61" s="76">
        <f>+Passwörter_Agenturen!K78</f>
        <v>0</v>
      </c>
      <c r="E61" s="76">
        <f>+Passwörter_Agenturen!L78</f>
        <v>0</v>
      </c>
      <c r="F61" s="76">
        <f>+Passwörter_Agenturen!M78</f>
        <v>0</v>
      </c>
      <c r="G61" s="76">
        <f>+Passwörter_Agenturen!N78</f>
        <v>0</v>
      </c>
      <c r="H61" s="76">
        <f>+Passwörter_Agenturen!P78</f>
        <v>0</v>
      </c>
      <c r="I61" s="76">
        <f>+Passwörter_Agenturen!Q78</f>
        <v>0</v>
      </c>
      <c r="J61" s="76">
        <f>+Passwörter_Agenturen!R78</f>
        <v>0</v>
      </c>
      <c r="K61" s="76">
        <f>+Passwörter_Agenturen!S78</f>
        <v>0</v>
      </c>
      <c r="L61" s="76">
        <f>+Passwörter_Agenturen!T78</f>
        <v>0</v>
      </c>
      <c r="M61" s="76">
        <f>+Passwörter_Agenturen!U78</f>
        <v>0</v>
      </c>
      <c r="N61" s="76">
        <f>+Passwörter_Agenturen!V78</f>
        <v>0</v>
      </c>
      <c r="O61" s="76">
        <f>+Passwörter_Agenturen!W78</f>
        <v>0</v>
      </c>
      <c r="P61" s="76">
        <f>+Passwörter_Agenturen!X78</f>
        <v>0</v>
      </c>
      <c r="Q61" s="76">
        <f>+Passwörter_Agenturen!Y78</f>
        <v>0</v>
      </c>
      <c r="R61" s="76">
        <f>+Passwörter_Agenturen!Z78</f>
        <v>0</v>
      </c>
      <c r="S61" s="76">
        <f>+Passwörter_Agenturen!AA78</f>
        <v>0</v>
      </c>
      <c r="T61" s="76">
        <f>+Passwörter_Agenturen!AB78</f>
        <v>0</v>
      </c>
      <c r="U61" s="76">
        <f>+Passwörter_Agenturen!AC78</f>
        <v>0</v>
      </c>
      <c r="V61" s="76">
        <f>+Passwörter_Agenturen!AD78</f>
        <v>0</v>
      </c>
      <c r="W61" s="76">
        <f>+Passwörter_Agenturen!AE78</f>
        <v>0</v>
      </c>
      <c r="X61" s="76">
        <f>+Passwörter_Agenturen!AF78</f>
        <v>0</v>
      </c>
      <c r="Y61" s="76">
        <f>+Passwörter_Agenturen!AG78</f>
        <v>0</v>
      </c>
      <c r="Z61" s="76">
        <f>+Passwörter_Agenturen!AH78</f>
        <v>0</v>
      </c>
    </row>
    <row r="62" spans="1:26" x14ac:dyDescent="0.25">
      <c r="A62" s="75" t="str">
        <f>+Passwörter_Agenturen!H79</f>
        <v>DMB Rechtsschutz</v>
      </c>
      <c r="B62" s="76">
        <f>+Passwörter_Agenturen!J79</f>
        <v>0</v>
      </c>
      <c r="C62" s="76" t="str">
        <f>+Passwörter_Agenturen!I79</f>
        <v>9458</v>
      </c>
      <c r="D62" s="76">
        <f>+Passwörter_Agenturen!K79</f>
        <v>0</v>
      </c>
      <c r="E62" s="76">
        <f>+Passwörter_Agenturen!L79</f>
        <v>0</v>
      </c>
      <c r="F62" s="76">
        <f>+Passwörter_Agenturen!M79</f>
        <v>0</v>
      </c>
      <c r="G62" s="76">
        <f>+Passwörter_Agenturen!N79</f>
        <v>0</v>
      </c>
      <c r="H62" s="76">
        <f>+Passwörter_Agenturen!P79</f>
        <v>0</v>
      </c>
      <c r="I62" s="76">
        <f>+Passwörter_Agenturen!Q79</f>
        <v>0</v>
      </c>
      <c r="J62" s="76">
        <f>+Passwörter_Agenturen!R79</f>
        <v>0</v>
      </c>
      <c r="K62" s="76">
        <f>+Passwörter_Agenturen!S79</f>
        <v>0</v>
      </c>
      <c r="L62" s="76">
        <f>+Passwörter_Agenturen!T79</f>
        <v>0</v>
      </c>
      <c r="M62" s="76">
        <f>+Passwörter_Agenturen!U79</f>
        <v>0</v>
      </c>
      <c r="N62" s="76">
        <f>+Passwörter_Agenturen!V79</f>
        <v>0</v>
      </c>
      <c r="O62" s="76">
        <f>+Passwörter_Agenturen!W79</f>
        <v>0</v>
      </c>
      <c r="P62" s="76">
        <f>+Passwörter_Agenturen!X79</f>
        <v>0</v>
      </c>
      <c r="Q62" s="76">
        <f>+Passwörter_Agenturen!Y79</f>
        <v>0</v>
      </c>
      <c r="R62" s="76">
        <f>+Passwörter_Agenturen!Z79</f>
        <v>0</v>
      </c>
      <c r="S62" s="76">
        <f>+Passwörter_Agenturen!AA79</f>
        <v>0</v>
      </c>
      <c r="T62" s="76">
        <f>+Passwörter_Agenturen!AB79</f>
        <v>0</v>
      </c>
      <c r="U62" s="76">
        <f>+Passwörter_Agenturen!AC79</f>
        <v>0</v>
      </c>
      <c r="V62" s="76">
        <f>+Passwörter_Agenturen!AD79</f>
        <v>0</v>
      </c>
      <c r="W62" s="76">
        <f>+Passwörter_Agenturen!AE79</f>
        <v>0</v>
      </c>
      <c r="X62" s="76">
        <f>+Passwörter_Agenturen!AF79</f>
        <v>0</v>
      </c>
      <c r="Y62" s="76">
        <f>+Passwörter_Agenturen!AG79</f>
        <v>0</v>
      </c>
      <c r="Z62" s="76">
        <f>+Passwörter_Agenturen!AH79</f>
        <v>0</v>
      </c>
    </row>
    <row r="63" spans="1:26" x14ac:dyDescent="0.25">
      <c r="A63" s="75" t="str">
        <f>+Passwörter_Agenturen!H80</f>
        <v>Domcura AG</v>
      </c>
      <c r="B63" s="76">
        <f>+Passwörter_Agenturen!J80</f>
        <v>0</v>
      </c>
      <c r="C63" s="76" t="str">
        <f>+Passwörter_Agenturen!I80</f>
        <v>VEMA2202</v>
      </c>
      <c r="D63" s="76">
        <f>+Passwörter_Agenturen!K80</f>
        <v>0</v>
      </c>
      <c r="E63" s="76">
        <f>+Passwörter_Agenturen!L80</f>
        <v>0</v>
      </c>
      <c r="F63" s="76">
        <f>+Passwörter_Agenturen!M80</f>
        <v>0</v>
      </c>
      <c r="G63" s="76">
        <f>+Passwörter_Agenturen!N80</f>
        <v>0</v>
      </c>
      <c r="H63" s="76">
        <f>+Passwörter_Agenturen!P80</f>
        <v>0</v>
      </c>
      <c r="I63" s="76">
        <f>+Passwörter_Agenturen!Q80</f>
        <v>0</v>
      </c>
      <c r="J63" s="76">
        <f>+Passwörter_Agenturen!R80</f>
        <v>0</v>
      </c>
      <c r="K63" s="76">
        <f>+Passwörter_Agenturen!S80</f>
        <v>0</v>
      </c>
      <c r="L63" s="76">
        <f>+Passwörter_Agenturen!T80</f>
        <v>0</v>
      </c>
      <c r="M63" s="76">
        <f>+Passwörter_Agenturen!U80</f>
        <v>0</v>
      </c>
      <c r="N63" s="76">
        <f>+Passwörter_Agenturen!V80</f>
        <v>0</v>
      </c>
      <c r="O63" s="76">
        <f>+Passwörter_Agenturen!W80</f>
        <v>0</v>
      </c>
      <c r="P63" s="76">
        <f>+Passwörter_Agenturen!X80</f>
        <v>0</v>
      </c>
      <c r="Q63" s="76">
        <f>+Passwörter_Agenturen!Y80</f>
        <v>0</v>
      </c>
      <c r="R63" s="76">
        <f>+Passwörter_Agenturen!Z80</f>
        <v>0</v>
      </c>
      <c r="S63" s="76">
        <f>+Passwörter_Agenturen!AA80</f>
        <v>0</v>
      </c>
      <c r="T63" s="76">
        <f>+Passwörter_Agenturen!AB80</f>
        <v>0</v>
      </c>
      <c r="U63" s="76">
        <f>+Passwörter_Agenturen!AC80</f>
        <v>0</v>
      </c>
      <c r="V63" s="76">
        <f>+Passwörter_Agenturen!AD80</f>
        <v>0</v>
      </c>
      <c r="W63" s="76">
        <f>+Passwörter_Agenturen!AE80</f>
        <v>0</v>
      </c>
      <c r="X63" s="76">
        <f>+Passwörter_Agenturen!AF80</f>
        <v>0</v>
      </c>
      <c r="Y63" s="76">
        <f>+Passwörter_Agenturen!AG80</f>
        <v>0</v>
      </c>
      <c r="Z63" s="76">
        <f>+Passwörter_Agenturen!AH80</f>
        <v>0</v>
      </c>
    </row>
    <row r="64" spans="1:26" x14ac:dyDescent="0.25">
      <c r="A64" s="75" t="str">
        <f>+Passwörter_Agenturen!H82</f>
        <v>ebase (Jung DMS)</v>
      </c>
      <c r="B64" s="76">
        <f>+Passwörter_Agenturen!J82</f>
        <v>383816283</v>
      </c>
      <c r="C64" s="76">
        <f>+Passwörter_Agenturen!I82</f>
        <v>0</v>
      </c>
      <c r="D64" s="76">
        <f>+Passwörter_Agenturen!K82</f>
        <v>0</v>
      </c>
      <c r="E64" s="76">
        <f>+Passwörter_Agenturen!L82</f>
        <v>0</v>
      </c>
      <c r="F64" s="76">
        <f>+Passwörter_Agenturen!M82</f>
        <v>0</v>
      </c>
      <c r="G64" s="76">
        <f>+Passwörter_Agenturen!N82</f>
        <v>0</v>
      </c>
      <c r="H64" s="76">
        <f>+Passwörter_Agenturen!P82</f>
        <v>0</v>
      </c>
      <c r="I64" s="76">
        <f>+Passwörter_Agenturen!Q82</f>
        <v>0</v>
      </c>
      <c r="J64" s="76">
        <f>+Passwörter_Agenturen!R82</f>
        <v>0</v>
      </c>
      <c r="K64" s="76">
        <f>+Passwörter_Agenturen!S82</f>
        <v>0</v>
      </c>
      <c r="L64" s="76">
        <f>+Passwörter_Agenturen!T82</f>
        <v>0</v>
      </c>
      <c r="M64" s="76">
        <f>+Passwörter_Agenturen!U82</f>
        <v>0</v>
      </c>
      <c r="N64" s="76">
        <f>+Passwörter_Agenturen!V82</f>
        <v>0</v>
      </c>
      <c r="O64" s="76">
        <f>+Passwörter_Agenturen!W82</f>
        <v>0</v>
      </c>
      <c r="P64" s="76">
        <f>+Passwörter_Agenturen!X82</f>
        <v>0</v>
      </c>
      <c r="Q64" s="76">
        <f>+Passwörter_Agenturen!Y82</f>
        <v>0</v>
      </c>
      <c r="R64" s="76">
        <f>+Passwörter_Agenturen!Z82</f>
        <v>0</v>
      </c>
      <c r="S64" s="76">
        <f>+Passwörter_Agenturen!AA82</f>
        <v>0</v>
      </c>
      <c r="T64" s="76">
        <f>+Passwörter_Agenturen!AB82</f>
        <v>0</v>
      </c>
      <c r="U64" s="76">
        <f>+Passwörter_Agenturen!AC82</f>
        <v>0</v>
      </c>
      <c r="V64" s="76">
        <f>+Passwörter_Agenturen!AD82</f>
        <v>0</v>
      </c>
      <c r="W64" s="76">
        <f>+Passwörter_Agenturen!AE82</f>
        <v>0</v>
      </c>
      <c r="X64" s="76">
        <f>+Passwörter_Agenturen!AF82</f>
        <v>0</v>
      </c>
      <c r="Y64" s="76">
        <f>+Passwörter_Agenturen!AG82</f>
        <v>0</v>
      </c>
      <c r="Z64" s="76">
        <f>+Passwörter_Agenturen!AH82</f>
        <v>0</v>
      </c>
    </row>
    <row r="65" spans="1:26" x14ac:dyDescent="0.25">
      <c r="A65" s="75" t="str">
        <f>+Passwörter_Agenturen!H83</f>
        <v>ebase (Jung DMS)</v>
      </c>
      <c r="B65" s="76">
        <f>+Passwörter_Agenturen!J83</f>
        <v>37337993201</v>
      </c>
      <c r="C65" s="76">
        <f>+Passwörter_Agenturen!I83</f>
        <v>0</v>
      </c>
      <c r="D65" s="76">
        <f>+Passwörter_Agenturen!K83</f>
        <v>0</v>
      </c>
      <c r="E65" s="76">
        <f>+Passwörter_Agenturen!L83</f>
        <v>0</v>
      </c>
      <c r="F65" s="76">
        <f>+Passwörter_Agenturen!M83</f>
        <v>0</v>
      </c>
      <c r="G65" s="76">
        <f>+Passwörter_Agenturen!N83</f>
        <v>0</v>
      </c>
      <c r="H65" s="76">
        <f>+Passwörter_Agenturen!P83</f>
        <v>0</v>
      </c>
      <c r="I65" s="76">
        <f>+Passwörter_Agenturen!Q83</f>
        <v>0</v>
      </c>
      <c r="J65" s="76">
        <f>+Passwörter_Agenturen!R83</f>
        <v>0</v>
      </c>
      <c r="K65" s="76">
        <f>+Passwörter_Agenturen!S83</f>
        <v>0</v>
      </c>
      <c r="L65" s="76">
        <f>+Passwörter_Agenturen!T83</f>
        <v>0</v>
      </c>
      <c r="M65" s="76">
        <f>+Passwörter_Agenturen!U83</f>
        <v>0</v>
      </c>
      <c r="N65" s="76">
        <f>+Passwörter_Agenturen!V83</f>
        <v>0</v>
      </c>
      <c r="O65" s="76">
        <f>+Passwörter_Agenturen!W83</f>
        <v>0</v>
      </c>
      <c r="P65" s="76">
        <f>+Passwörter_Agenturen!X83</f>
        <v>0</v>
      </c>
      <c r="Q65" s="76">
        <f>+Passwörter_Agenturen!Y83</f>
        <v>0</v>
      </c>
      <c r="R65" s="76">
        <f>+Passwörter_Agenturen!Z83</f>
        <v>0</v>
      </c>
      <c r="S65" s="76">
        <f>+Passwörter_Agenturen!AA83</f>
        <v>0</v>
      </c>
      <c r="T65" s="76">
        <f>+Passwörter_Agenturen!AB83</f>
        <v>0</v>
      </c>
      <c r="U65" s="76">
        <f>+Passwörter_Agenturen!AC83</f>
        <v>0</v>
      </c>
      <c r="V65" s="76">
        <f>+Passwörter_Agenturen!AD83</f>
        <v>0</v>
      </c>
      <c r="W65" s="76">
        <f>+Passwörter_Agenturen!AE83</f>
        <v>0</v>
      </c>
      <c r="X65" s="76">
        <f>+Passwörter_Agenturen!AF83</f>
        <v>0</v>
      </c>
      <c r="Y65" s="76">
        <f>+Passwörter_Agenturen!AG83</f>
        <v>0</v>
      </c>
      <c r="Z65" s="76">
        <f>+Passwörter_Agenturen!AH83</f>
        <v>0</v>
      </c>
    </row>
    <row r="66" spans="1:26" x14ac:dyDescent="0.25">
      <c r="A66" s="75" t="str">
        <f>+Passwörter_Agenturen!H84</f>
        <v>ebase (Jung DMS)</v>
      </c>
      <c r="B66" s="76">
        <f>+Passwörter_Agenturen!J84</f>
        <v>383816284</v>
      </c>
      <c r="C66" s="76">
        <f>+Passwörter_Agenturen!I84</f>
        <v>0</v>
      </c>
      <c r="D66" s="76">
        <f>+Passwörter_Agenturen!K84</f>
        <v>0</v>
      </c>
      <c r="E66" s="76">
        <f>+Passwörter_Agenturen!L84</f>
        <v>0</v>
      </c>
      <c r="F66" s="76">
        <f>+Passwörter_Agenturen!M84</f>
        <v>0</v>
      </c>
      <c r="G66" s="76">
        <f>+Passwörter_Agenturen!N84</f>
        <v>0</v>
      </c>
      <c r="H66" s="76">
        <f>+Passwörter_Agenturen!P84</f>
        <v>0</v>
      </c>
      <c r="I66" s="76">
        <f>+Passwörter_Agenturen!Q84</f>
        <v>0</v>
      </c>
      <c r="J66" s="76">
        <f>+Passwörter_Agenturen!R84</f>
        <v>0</v>
      </c>
      <c r="K66" s="76">
        <f>+Passwörter_Agenturen!S84</f>
        <v>0</v>
      </c>
      <c r="L66" s="76">
        <f>+Passwörter_Agenturen!T84</f>
        <v>0</v>
      </c>
      <c r="M66" s="76">
        <f>+Passwörter_Agenturen!U84</f>
        <v>0</v>
      </c>
      <c r="N66" s="76">
        <f>+Passwörter_Agenturen!V84</f>
        <v>0</v>
      </c>
      <c r="O66" s="76">
        <f>+Passwörter_Agenturen!W84</f>
        <v>0</v>
      </c>
      <c r="P66" s="76">
        <f>+Passwörter_Agenturen!X84</f>
        <v>0</v>
      </c>
      <c r="Q66" s="76">
        <f>+Passwörter_Agenturen!Y84</f>
        <v>0</v>
      </c>
      <c r="R66" s="76">
        <f>+Passwörter_Agenturen!Z84</f>
        <v>0</v>
      </c>
      <c r="S66" s="76">
        <f>+Passwörter_Agenturen!AA84</f>
        <v>0</v>
      </c>
      <c r="T66" s="76">
        <f>+Passwörter_Agenturen!AB84</f>
        <v>0</v>
      </c>
      <c r="U66" s="76">
        <f>+Passwörter_Agenturen!AC84</f>
        <v>0</v>
      </c>
      <c r="V66" s="76">
        <f>+Passwörter_Agenturen!AD84</f>
        <v>0</v>
      </c>
      <c r="W66" s="76">
        <f>+Passwörter_Agenturen!AE84</f>
        <v>0</v>
      </c>
      <c r="X66" s="76">
        <f>+Passwörter_Agenturen!AF84</f>
        <v>0</v>
      </c>
      <c r="Y66" s="76">
        <f>+Passwörter_Agenturen!AG84</f>
        <v>0</v>
      </c>
      <c r="Z66" s="76">
        <f>+Passwörter_Agenturen!AH84</f>
        <v>0</v>
      </c>
    </row>
    <row r="67" spans="1:26" x14ac:dyDescent="0.25">
      <c r="A67" s="75" t="str">
        <f>+Passwörter_Agenturen!H85</f>
        <v>ebase (Jung DMS)</v>
      </c>
      <c r="B67" s="76">
        <f>+Passwörter_Agenturen!J85</f>
        <v>383816286</v>
      </c>
      <c r="C67" s="76">
        <f>+Passwörter_Agenturen!I85</f>
        <v>0</v>
      </c>
      <c r="D67" s="76">
        <f>+Passwörter_Agenturen!K85</f>
        <v>0</v>
      </c>
      <c r="E67" s="76">
        <f>+Passwörter_Agenturen!L85</f>
        <v>0</v>
      </c>
      <c r="F67" s="76">
        <f>+Passwörter_Agenturen!M85</f>
        <v>0</v>
      </c>
      <c r="G67" s="76">
        <f>+Passwörter_Agenturen!N85</f>
        <v>0</v>
      </c>
      <c r="H67" s="76">
        <f>+Passwörter_Agenturen!P85</f>
        <v>0</v>
      </c>
      <c r="I67" s="76">
        <f>+Passwörter_Agenturen!Q85</f>
        <v>0</v>
      </c>
      <c r="J67" s="76">
        <f>+Passwörter_Agenturen!R85</f>
        <v>0</v>
      </c>
      <c r="K67" s="76">
        <f>+Passwörter_Agenturen!S85</f>
        <v>0</v>
      </c>
      <c r="L67" s="76">
        <f>+Passwörter_Agenturen!T85</f>
        <v>0</v>
      </c>
      <c r="M67" s="76">
        <f>+Passwörter_Agenturen!U85</f>
        <v>0</v>
      </c>
      <c r="N67" s="76">
        <f>+Passwörter_Agenturen!V85</f>
        <v>0</v>
      </c>
      <c r="O67" s="76">
        <f>+Passwörter_Agenturen!W85</f>
        <v>0</v>
      </c>
      <c r="P67" s="76">
        <f>+Passwörter_Agenturen!X85</f>
        <v>0</v>
      </c>
      <c r="Q67" s="76">
        <f>+Passwörter_Agenturen!Y85</f>
        <v>0</v>
      </c>
      <c r="R67" s="76">
        <f>+Passwörter_Agenturen!Z85</f>
        <v>0</v>
      </c>
      <c r="S67" s="76">
        <f>+Passwörter_Agenturen!AA85</f>
        <v>0</v>
      </c>
      <c r="T67" s="76">
        <f>+Passwörter_Agenturen!AB85</f>
        <v>0</v>
      </c>
      <c r="U67" s="76">
        <f>+Passwörter_Agenturen!AC85</f>
        <v>0</v>
      </c>
      <c r="V67" s="76">
        <f>+Passwörter_Agenturen!AD85</f>
        <v>0</v>
      </c>
      <c r="W67" s="76">
        <f>+Passwörter_Agenturen!AE85</f>
        <v>0</v>
      </c>
      <c r="X67" s="76">
        <f>+Passwörter_Agenturen!AF85</f>
        <v>0</v>
      </c>
      <c r="Y67" s="76">
        <f>+Passwörter_Agenturen!AG85</f>
        <v>0</v>
      </c>
      <c r="Z67" s="76">
        <f>+Passwörter_Agenturen!AH85</f>
        <v>0</v>
      </c>
    </row>
    <row r="68" spans="1:26" x14ac:dyDescent="0.25">
      <c r="A68" s="75" t="str">
        <f>+Passwörter_Agenturen!H87</f>
        <v>Ergo</v>
      </c>
      <c r="B68" s="76">
        <f>+Passwörter_Agenturen!J87</f>
        <v>0</v>
      </c>
      <c r="C68" s="76">
        <f>+Passwörter_Agenturen!I87</f>
        <v>0</v>
      </c>
      <c r="D68" s="76">
        <f>+Passwörter_Agenturen!K87</f>
        <v>0</v>
      </c>
      <c r="E68" s="76">
        <f>+Passwörter_Agenturen!L87</f>
        <v>0</v>
      </c>
      <c r="F68" s="76">
        <f>+Passwörter_Agenturen!M87</f>
        <v>0</v>
      </c>
      <c r="G68" s="76">
        <f>+Passwörter_Agenturen!N87</f>
        <v>0</v>
      </c>
      <c r="H68" s="76">
        <f>+Passwörter_Agenturen!P87</f>
        <v>0</v>
      </c>
      <c r="I68" s="76">
        <f>+Passwörter_Agenturen!Q87</f>
        <v>0</v>
      </c>
      <c r="J68" s="76">
        <f>+Passwörter_Agenturen!R87</f>
        <v>0</v>
      </c>
      <c r="K68" s="76">
        <f>+Passwörter_Agenturen!S87</f>
        <v>0</v>
      </c>
      <c r="L68" s="76">
        <f>+Passwörter_Agenturen!T87</f>
        <v>0</v>
      </c>
      <c r="M68" s="76">
        <f>+Passwörter_Agenturen!U87</f>
        <v>0</v>
      </c>
      <c r="N68" s="76">
        <f>+Passwörter_Agenturen!V87</f>
        <v>0</v>
      </c>
      <c r="O68" s="76">
        <f>+Passwörter_Agenturen!W87</f>
        <v>0</v>
      </c>
      <c r="P68" s="76">
        <f>+Passwörter_Agenturen!X87</f>
        <v>0</v>
      </c>
      <c r="Q68" s="76">
        <f>+Passwörter_Agenturen!Y87</f>
        <v>0</v>
      </c>
      <c r="R68" s="76">
        <f>+Passwörter_Agenturen!Z87</f>
        <v>0</v>
      </c>
      <c r="S68" s="76">
        <f>+Passwörter_Agenturen!AA87</f>
        <v>0</v>
      </c>
      <c r="T68" s="76">
        <f>+Passwörter_Agenturen!AB87</f>
        <v>0</v>
      </c>
      <c r="U68" s="76">
        <f>+Passwörter_Agenturen!AC87</f>
        <v>0</v>
      </c>
      <c r="V68" s="76">
        <f>+Passwörter_Agenturen!AD87</f>
        <v>0</v>
      </c>
      <c r="W68" s="76">
        <f>+Passwörter_Agenturen!AE87</f>
        <v>0</v>
      </c>
      <c r="X68" s="76">
        <f>+Passwörter_Agenturen!AF87</f>
        <v>0</v>
      </c>
      <c r="Y68" s="76">
        <f>+Passwörter_Agenturen!AG87</f>
        <v>0</v>
      </c>
      <c r="Z68" s="76">
        <f>+Passwörter_Agenturen!AH87</f>
        <v>0</v>
      </c>
    </row>
    <row r="69" spans="1:26" x14ac:dyDescent="0.25">
      <c r="A69" s="75" t="str">
        <f>+Passwörter_Agenturen!H88</f>
        <v>Ergo (ab 01.04.14 für Ergo, Ergo-L, DKV, DAS und Victoria)</v>
      </c>
      <c r="B69" s="76" t="str">
        <f>+Passwörter_Agenturen!J88</f>
        <v>00555-1323</v>
      </c>
      <c r="C69" s="76" t="str">
        <f>+Passwörter_Agenturen!I88</f>
        <v>00555-1323</v>
      </c>
      <c r="D69" s="76">
        <f>+Passwörter_Agenturen!K88</f>
        <v>0</v>
      </c>
      <c r="E69" s="76">
        <f>+Passwörter_Agenturen!L88</f>
        <v>0</v>
      </c>
      <c r="F69" s="76">
        <f>+Passwörter_Agenturen!M88</f>
        <v>0</v>
      </c>
      <c r="G69" s="76">
        <f>+Passwörter_Agenturen!N88</f>
        <v>0</v>
      </c>
      <c r="H69" s="76">
        <f>+Passwörter_Agenturen!P88</f>
        <v>0</v>
      </c>
      <c r="I69" s="76">
        <f>+Passwörter_Agenturen!Q88</f>
        <v>0</v>
      </c>
      <c r="J69" s="76">
        <f>+Passwörter_Agenturen!R88</f>
        <v>0</v>
      </c>
      <c r="K69" s="76">
        <f>+Passwörter_Agenturen!S88</f>
        <v>0</v>
      </c>
      <c r="L69" s="76">
        <f>+Passwörter_Agenturen!T88</f>
        <v>0</v>
      </c>
      <c r="M69" s="76">
        <f>+Passwörter_Agenturen!U88</f>
        <v>0</v>
      </c>
      <c r="N69" s="76">
        <f>+Passwörter_Agenturen!V88</f>
        <v>0</v>
      </c>
      <c r="O69" s="76">
        <f>+Passwörter_Agenturen!W88</f>
        <v>0</v>
      </c>
      <c r="P69" s="76">
        <f>+Passwörter_Agenturen!X88</f>
        <v>0</v>
      </c>
      <c r="Q69" s="76">
        <f>+Passwörter_Agenturen!Y88</f>
        <v>0</v>
      </c>
      <c r="R69" s="76">
        <f>+Passwörter_Agenturen!Z88</f>
        <v>0</v>
      </c>
      <c r="S69" s="76">
        <f>+Passwörter_Agenturen!AA88</f>
        <v>0</v>
      </c>
      <c r="T69" s="76">
        <f>+Passwörter_Agenturen!AB88</f>
        <v>0</v>
      </c>
      <c r="U69" s="76">
        <f>+Passwörter_Agenturen!AC88</f>
        <v>0</v>
      </c>
      <c r="V69" s="76">
        <f>+Passwörter_Agenturen!AD88</f>
        <v>0</v>
      </c>
      <c r="W69" s="76">
        <f>+Passwörter_Agenturen!AE88</f>
        <v>0</v>
      </c>
      <c r="X69" s="76">
        <f>+Passwörter_Agenturen!AF88</f>
        <v>0</v>
      </c>
      <c r="Y69" s="76">
        <f>+Passwörter_Agenturen!AG88</f>
        <v>0</v>
      </c>
      <c r="Z69" s="76">
        <f>+Passwörter_Agenturen!AH88</f>
        <v>0</v>
      </c>
    </row>
    <row r="70" spans="1:26" x14ac:dyDescent="0.25">
      <c r="A70" s="75" t="str">
        <f>+Passwörter_Agenturen!H89</f>
        <v>Ergo KV (ex DKV)</v>
      </c>
      <c r="B70" s="76" t="str">
        <f>+Passwörter_Agenturen!J89</f>
        <v>245353852</v>
      </c>
      <c r="C70" s="76" t="str">
        <f>+Passwörter_Agenturen!I91</f>
        <v>886221478</v>
      </c>
      <c r="D70" s="76">
        <f>+Passwörter_Agenturen!K89</f>
        <v>0</v>
      </c>
      <c r="E70" s="76">
        <f>+Passwörter_Agenturen!L89</f>
        <v>0</v>
      </c>
      <c r="F70" s="76">
        <f>+Passwörter_Agenturen!M89</f>
        <v>0</v>
      </c>
      <c r="G70" s="76">
        <f>+Passwörter_Agenturen!N89</f>
        <v>0</v>
      </c>
      <c r="H70" s="76">
        <f>+Passwörter_Agenturen!P89</f>
        <v>0</v>
      </c>
      <c r="I70" s="76">
        <f>+Passwörter_Agenturen!Q89</f>
        <v>0</v>
      </c>
      <c r="J70" s="76">
        <f>+Passwörter_Agenturen!R89</f>
        <v>0</v>
      </c>
      <c r="K70" s="76">
        <f>+Passwörter_Agenturen!S89</f>
        <v>0</v>
      </c>
      <c r="L70" s="76">
        <f>+Passwörter_Agenturen!T89</f>
        <v>0</v>
      </c>
      <c r="M70" s="76">
        <f>+Passwörter_Agenturen!U89</f>
        <v>0</v>
      </c>
      <c r="N70" s="76">
        <f>+Passwörter_Agenturen!V89</f>
        <v>0</v>
      </c>
      <c r="O70" s="76">
        <f>+Passwörter_Agenturen!W89</f>
        <v>0</v>
      </c>
      <c r="P70" s="76">
        <f>+Passwörter_Agenturen!X89</f>
        <v>0</v>
      </c>
      <c r="Q70" s="76">
        <f>+Passwörter_Agenturen!Y89</f>
        <v>0</v>
      </c>
      <c r="R70" s="76">
        <f>+Passwörter_Agenturen!Z89</f>
        <v>0</v>
      </c>
      <c r="S70" s="76">
        <f>+Passwörter_Agenturen!AA89</f>
        <v>0</v>
      </c>
      <c r="T70" s="76">
        <f>+Passwörter_Agenturen!AB89</f>
        <v>0</v>
      </c>
      <c r="U70" s="76">
        <f>+Passwörter_Agenturen!AC89</f>
        <v>0</v>
      </c>
      <c r="V70" s="76">
        <f>+Passwörter_Agenturen!AD89</f>
        <v>0</v>
      </c>
      <c r="W70" s="76">
        <f>+Passwörter_Agenturen!AE89</f>
        <v>0</v>
      </c>
      <c r="X70" s="76">
        <f>+Passwörter_Agenturen!AF89</f>
        <v>0</v>
      </c>
      <c r="Y70" s="76">
        <f>+Passwörter_Agenturen!AG89</f>
        <v>0</v>
      </c>
      <c r="Z70" s="76">
        <f>+Passwörter_Agenturen!AH89</f>
        <v>0</v>
      </c>
    </row>
    <row r="71" spans="1:26" x14ac:dyDescent="0.25">
      <c r="A71" s="75" t="str">
        <f>+Passwörter_Agenturen!H92</f>
        <v>Ergo Direkt</v>
      </c>
      <c r="B71" s="76" t="str">
        <f>+Passwörter_Agenturen!J92</f>
        <v>60001-3404</v>
      </c>
      <c r="C71" s="76" t="str">
        <f>+Passwörter_Agenturen!I92</f>
        <v>60001-3404</v>
      </c>
      <c r="D71" s="76">
        <f>+Passwörter_Agenturen!K92</f>
        <v>0</v>
      </c>
      <c r="E71" s="76">
        <f>+Passwörter_Agenturen!L92</f>
        <v>0</v>
      </c>
      <c r="F71" s="76">
        <f>+Passwörter_Agenturen!M92</f>
        <v>0</v>
      </c>
      <c r="G71" s="76">
        <f>+Passwörter_Agenturen!N92</f>
        <v>0</v>
      </c>
      <c r="H71" s="76">
        <f>+Passwörter_Agenturen!P92</f>
        <v>0</v>
      </c>
      <c r="I71" s="76">
        <f>+Passwörter_Agenturen!Q92</f>
        <v>0</v>
      </c>
      <c r="J71" s="76">
        <f>+Passwörter_Agenturen!R92</f>
        <v>0</v>
      </c>
      <c r="K71" s="76">
        <f>+Passwörter_Agenturen!S92</f>
        <v>0</v>
      </c>
      <c r="L71" s="76">
        <f>+Passwörter_Agenturen!T92</f>
        <v>0</v>
      </c>
      <c r="M71" s="76">
        <f>+Passwörter_Agenturen!U92</f>
        <v>0</v>
      </c>
      <c r="N71" s="76">
        <f>+Passwörter_Agenturen!V92</f>
        <v>0</v>
      </c>
      <c r="O71" s="76">
        <f>+Passwörter_Agenturen!W92</f>
        <v>0</v>
      </c>
      <c r="P71" s="76">
        <f>+Passwörter_Agenturen!X92</f>
        <v>0</v>
      </c>
      <c r="Q71" s="76">
        <f>+Passwörter_Agenturen!Y92</f>
        <v>0</v>
      </c>
      <c r="R71" s="76">
        <f>+Passwörter_Agenturen!Z92</f>
        <v>0</v>
      </c>
      <c r="S71" s="76">
        <f>+Passwörter_Agenturen!AA92</f>
        <v>0</v>
      </c>
      <c r="T71" s="76">
        <f>+Passwörter_Agenturen!AB92</f>
        <v>0</v>
      </c>
      <c r="U71" s="76">
        <f>+Passwörter_Agenturen!AC92</f>
        <v>0</v>
      </c>
      <c r="V71" s="76">
        <f>+Passwörter_Agenturen!AD92</f>
        <v>0</v>
      </c>
      <c r="W71" s="76">
        <f>+Passwörter_Agenturen!AE92</f>
        <v>0</v>
      </c>
      <c r="X71" s="76">
        <f>+Passwörter_Agenturen!AF92</f>
        <v>0</v>
      </c>
      <c r="Y71" s="76">
        <f>+Passwörter_Agenturen!AG92</f>
        <v>0</v>
      </c>
      <c r="Z71" s="76">
        <f>+Passwörter_Agenturen!AH92</f>
        <v>0</v>
      </c>
    </row>
    <row r="72" spans="1:26" x14ac:dyDescent="0.25">
      <c r="A72" s="75" t="str">
        <f>+Passwörter_Agenturen!H94</f>
        <v>Europ Assistance Versicherungs-AG</v>
      </c>
      <c r="B72" s="76" t="str">
        <f>+Passwörter_Agenturen!J94</f>
        <v>122700</v>
      </c>
      <c r="C72" s="76">
        <f>+Passwörter_Agenturen!I94</f>
        <v>0</v>
      </c>
      <c r="D72" s="76">
        <f>+Passwörter_Agenturen!K94</f>
        <v>0</v>
      </c>
      <c r="E72" s="76">
        <f>+Passwörter_Agenturen!L94</f>
        <v>0</v>
      </c>
      <c r="F72" s="76">
        <f>+Passwörter_Agenturen!M94</f>
        <v>0</v>
      </c>
      <c r="G72" s="76">
        <f>+Passwörter_Agenturen!N94</f>
        <v>0</v>
      </c>
      <c r="H72" s="76">
        <f>+Passwörter_Agenturen!P94</f>
        <v>0</v>
      </c>
      <c r="I72" s="76">
        <f>+Passwörter_Agenturen!Q94</f>
        <v>0</v>
      </c>
      <c r="J72" s="76">
        <f>+Passwörter_Agenturen!R94</f>
        <v>0</v>
      </c>
      <c r="K72" s="76">
        <f>+Passwörter_Agenturen!S94</f>
        <v>0</v>
      </c>
      <c r="L72" s="76">
        <f>+Passwörter_Agenturen!T94</f>
        <v>0</v>
      </c>
      <c r="M72" s="76">
        <f>+Passwörter_Agenturen!U94</f>
        <v>0</v>
      </c>
      <c r="N72" s="76">
        <f>+Passwörter_Agenturen!V94</f>
        <v>0</v>
      </c>
      <c r="O72" s="76">
        <f>+Passwörter_Agenturen!W94</f>
        <v>0</v>
      </c>
      <c r="P72" s="76">
        <f>+Passwörter_Agenturen!X94</f>
        <v>0</v>
      </c>
      <c r="Q72" s="76">
        <f>+Passwörter_Agenturen!Y94</f>
        <v>0</v>
      </c>
      <c r="R72" s="76">
        <f>+Passwörter_Agenturen!Z94</f>
        <v>0</v>
      </c>
      <c r="S72" s="76">
        <f>+Passwörter_Agenturen!AA94</f>
        <v>0</v>
      </c>
      <c r="T72" s="76">
        <f>+Passwörter_Agenturen!AB94</f>
        <v>0</v>
      </c>
      <c r="U72" s="76">
        <f>+Passwörter_Agenturen!AC94</f>
        <v>0</v>
      </c>
      <c r="V72" s="76">
        <f>+Passwörter_Agenturen!AD94</f>
        <v>0</v>
      </c>
      <c r="W72" s="76">
        <f>+Passwörter_Agenturen!AE94</f>
        <v>0</v>
      </c>
      <c r="X72" s="76">
        <f>+Passwörter_Agenturen!AF94</f>
        <v>0</v>
      </c>
      <c r="Y72" s="76">
        <f>+Passwörter_Agenturen!AG94</f>
        <v>0</v>
      </c>
      <c r="Z72" s="76">
        <f>+Passwörter_Agenturen!AH94</f>
        <v>0</v>
      </c>
    </row>
    <row r="73" spans="1:26" x14ac:dyDescent="0.25">
      <c r="A73" s="75" t="str">
        <f>+Passwörter_Agenturen!H95</f>
        <v>Europa (über Continentale)</v>
      </c>
      <c r="B73" s="76" t="str">
        <f>+Passwörter_Agenturen!J95</f>
        <v>9200754</v>
      </c>
      <c r="C73" s="76">
        <f>+Passwörter_Agenturen!I95</f>
        <v>0</v>
      </c>
      <c r="D73" s="76">
        <f>+Passwörter_Agenturen!K95</f>
        <v>0</v>
      </c>
      <c r="E73" s="76">
        <f>+Passwörter_Agenturen!L95</f>
        <v>0</v>
      </c>
      <c r="F73" s="76">
        <f>+Passwörter_Agenturen!M95</f>
        <v>0</v>
      </c>
      <c r="G73" s="76">
        <f>+Passwörter_Agenturen!N95</f>
        <v>0</v>
      </c>
      <c r="H73" s="76">
        <f>+Passwörter_Agenturen!P95</f>
        <v>0</v>
      </c>
      <c r="I73" s="76">
        <f>+Passwörter_Agenturen!Q95</f>
        <v>0</v>
      </c>
      <c r="J73" s="76">
        <f>+Passwörter_Agenturen!R95</f>
        <v>0</v>
      </c>
      <c r="K73" s="76">
        <f>+Passwörter_Agenturen!S95</f>
        <v>0</v>
      </c>
      <c r="L73" s="76">
        <f>+Passwörter_Agenturen!T95</f>
        <v>0</v>
      </c>
      <c r="M73" s="76">
        <f>+Passwörter_Agenturen!U95</f>
        <v>0</v>
      </c>
      <c r="N73" s="76">
        <f>+Passwörter_Agenturen!V95</f>
        <v>0</v>
      </c>
      <c r="O73" s="76">
        <f>+Passwörter_Agenturen!W95</f>
        <v>0</v>
      </c>
      <c r="P73" s="76">
        <f>+Passwörter_Agenturen!X95</f>
        <v>0</v>
      </c>
      <c r="Q73" s="76">
        <f>+Passwörter_Agenturen!Y95</f>
        <v>0</v>
      </c>
      <c r="R73" s="76">
        <f>+Passwörter_Agenturen!Z95</f>
        <v>0</v>
      </c>
      <c r="S73" s="76">
        <f>+Passwörter_Agenturen!AA95</f>
        <v>0</v>
      </c>
      <c r="T73" s="76">
        <f>+Passwörter_Agenturen!AB95</f>
        <v>0</v>
      </c>
      <c r="U73" s="76">
        <f>+Passwörter_Agenturen!AC95</f>
        <v>0</v>
      </c>
      <c r="V73" s="76">
        <f>+Passwörter_Agenturen!AD95</f>
        <v>0</v>
      </c>
      <c r="W73" s="76">
        <f>+Passwörter_Agenturen!AE95</f>
        <v>0</v>
      </c>
      <c r="X73" s="76">
        <f>+Passwörter_Agenturen!AF95</f>
        <v>0</v>
      </c>
      <c r="Y73" s="76">
        <f>+Passwörter_Agenturen!AG95</f>
        <v>0</v>
      </c>
      <c r="Z73" s="76">
        <f>+Passwörter_Agenturen!AH95</f>
        <v>0</v>
      </c>
    </row>
    <row r="74" spans="1:26" x14ac:dyDescent="0.25">
      <c r="A74" s="75" t="str">
        <f>+Passwörter_Agenturen!H96</f>
        <v>FdB Fondsdepot Bank (Jung DMS)</v>
      </c>
      <c r="B74" s="76" t="str">
        <f>+Passwörter_Agenturen!J96</f>
        <v>V201193478</v>
      </c>
      <c r="C74" s="76">
        <f>+Passwörter_Agenturen!I96</f>
        <v>0</v>
      </c>
      <c r="D74" s="76">
        <f>+Passwörter_Agenturen!K96</f>
        <v>0</v>
      </c>
      <c r="E74" s="76">
        <f>+Passwörter_Agenturen!L96</f>
        <v>0</v>
      </c>
      <c r="F74" s="76">
        <f>+Passwörter_Agenturen!M96</f>
        <v>0</v>
      </c>
      <c r="G74" s="76">
        <f>+Passwörter_Agenturen!N96</f>
        <v>0</v>
      </c>
      <c r="H74" s="76">
        <f>+Passwörter_Agenturen!P96</f>
        <v>0</v>
      </c>
      <c r="I74" s="76">
        <f>+Passwörter_Agenturen!Q96</f>
        <v>0</v>
      </c>
      <c r="J74" s="76">
        <f>+Passwörter_Agenturen!R96</f>
        <v>0</v>
      </c>
      <c r="K74" s="76">
        <f>+Passwörter_Agenturen!S96</f>
        <v>0</v>
      </c>
      <c r="L74" s="76">
        <f>+Passwörter_Agenturen!T96</f>
        <v>0</v>
      </c>
      <c r="M74" s="76">
        <f>+Passwörter_Agenturen!U96</f>
        <v>0</v>
      </c>
      <c r="N74" s="76">
        <f>+Passwörter_Agenturen!V96</f>
        <v>0</v>
      </c>
      <c r="O74" s="76">
        <f>+Passwörter_Agenturen!W96</f>
        <v>0</v>
      </c>
      <c r="P74" s="76">
        <f>+Passwörter_Agenturen!X96</f>
        <v>0</v>
      </c>
      <c r="Q74" s="76">
        <f>+Passwörter_Agenturen!Y96</f>
        <v>0</v>
      </c>
      <c r="R74" s="76">
        <f>+Passwörter_Agenturen!Z96</f>
        <v>0</v>
      </c>
      <c r="S74" s="76">
        <f>+Passwörter_Agenturen!AA96</f>
        <v>0</v>
      </c>
      <c r="T74" s="76">
        <f>+Passwörter_Agenturen!AB96</f>
        <v>0</v>
      </c>
      <c r="U74" s="76">
        <f>+Passwörter_Agenturen!AC96</f>
        <v>0</v>
      </c>
      <c r="V74" s="76">
        <f>+Passwörter_Agenturen!AD96</f>
        <v>0</v>
      </c>
      <c r="W74" s="76">
        <f>+Passwörter_Agenturen!AE96</f>
        <v>0</v>
      </c>
      <c r="X74" s="76">
        <f>+Passwörter_Agenturen!AF96</f>
        <v>0</v>
      </c>
      <c r="Y74" s="76">
        <f>+Passwörter_Agenturen!AG96</f>
        <v>0</v>
      </c>
      <c r="Z74" s="76">
        <f>+Passwörter_Agenturen!AH96</f>
        <v>0</v>
      </c>
    </row>
    <row r="75" spans="1:26" x14ac:dyDescent="0.25">
      <c r="A75" s="75" t="str">
        <f>+Passwörter_Agenturen!H97</f>
        <v>FFB Frankfurter Fondsbank (Jung DMS)</v>
      </c>
      <c r="B75" s="76" t="str">
        <f>+Passwörter_Agenturen!J97</f>
        <v>V8446566</v>
      </c>
      <c r="C75" s="76">
        <f>+Passwörter_Agenturen!I97</f>
        <v>0</v>
      </c>
      <c r="D75" s="76">
        <f>+Passwörter_Agenturen!K97</f>
        <v>0</v>
      </c>
      <c r="E75" s="76">
        <f>+Passwörter_Agenturen!L97</f>
        <v>0</v>
      </c>
      <c r="F75" s="76">
        <f>+Passwörter_Agenturen!M97</f>
        <v>0</v>
      </c>
      <c r="G75" s="76">
        <f>+Passwörter_Agenturen!N97</f>
        <v>0</v>
      </c>
      <c r="H75" s="76">
        <f>+Passwörter_Agenturen!P97</f>
        <v>0</v>
      </c>
      <c r="I75" s="76">
        <f>+Passwörter_Agenturen!Q97</f>
        <v>0</v>
      </c>
      <c r="J75" s="76">
        <f>+Passwörter_Agenturen!R97</f>
        <v>0</v>
      </c>
      <c r="K75" s="76">
        <f>+Passwörter_Agenturen!S97</f>
        <v>0</v>
      </c>
      <c r="L75" s="76">
        <f>+Passwörter_Agenturen!T97</f>
        <v>0</v>
      </c>
      <c r="M75" s="76">
        <f>+Passwörter_Agenturen!U97</f>
        <v>0</v>
      </c>
      <c r="N75" s="76">
        <f>+Passwörter_Agenturen!V97</f>
        <v>0</v>
      </c>
      <c r="O75" s="76">
        <f>+Passwörter_Agenturen!W97</f>
        <v>0</v>
      </c>
      <c r="P75" s="76">
        <f>+Passwörter_Agenturen!X97</f>
        <v>0</v>
      </c>
      <c r="Q75" s="76">
        <f>+Passwörter_Agenturen!Y97</f>
        <v>0</v>
      </c>
      <c r="R75" s="76">
        <f>+Passwörter_Agenturen!Z97</f>
        <v>0</v>
      </c>
      <c r="S75" s="76">
        <f>+Passwörter_Agenturen!AA97</f>
        <v>0</v>
      </c>
      <c r="T75" s="76">
        <f>+Passwörter_Agenturen!AB97</f>
        <v>0</v>
      </c>
      <c r="U75" s="76">
        <f>+Passwörter_Agenturen!AC97</f>
        <v>0</v>
      </c>
      <c r="V75" s="76">
        <f>+Passwörter_Agenturen!AD97</f>
        <v>0</v>
      </c>
      <c r="W75" s="76">
        <f>+Passwörter_Agenturen!AE97</f>
        <v>0</v>
      </c>
      <c r="X75" s="76">
        <f>+Passwörter_Agenturen!AF97</f>
        <v>0</v>
      </c>
      <c r="Y75" s="76">
        <f>+Passwörter_Agenturen!AG97</f>
        <v>0</v>
      </c>
      <c r="Z75" s="76">
        <f>+Passwörter_Agenturen!AH97</f>
        <v>0</v>
      </c>
    </row>
    <row r="76" spans="1:26" x14ac:dyDescent="0.25">
      <c r="A76" s="75" t="str">
        <f>+Passwörter_Agenturen!H98</f>
        <v>Fondskonzept AG (Invers)</v>
      </c>
      <c r="B76" s="76" t="str">
        <f>+Passwörter_Agenturen!J98</f>
        <v>98144</v>
      </c>
      <c r="C76" s="76">
        <f>+Passwörter_Agenturen!I98</f>
        <v>0</v>
      </c>
      <c r="D76" s="76">
        <f>+Passwörter_Agenturen!K98</f>
        <v>0</v>
      </c>
      <c r="E76" s="76" t="str">
        <f>+Passwörter_Agenturen!L98</f>
        <v>MSC</v>
      </c>
      <c r="F76" s="76">
        <f>+Passwörter_Agenturen!M98</f>
        <v>0</v>
      </c>
      <c r="G76" s="76">
        <f>+Passwörter_Agenturen!N98</f>
        <v>0</v>
      </c>
      <c r="H76" s="76">
        <f>+Passwörter_Agenturen!P98</f>
        <v>0</v>
      </c>
      <c r="I76" s="76">
        <f>+Passwörter_Agenturen!Q98</f>
        <v>0</v>
      </c>
      <c r="J76" s="76">
        <f>+Passwörter_Agenturen!R98</f>
        <v>0</v>
      </c>
      <c r="K76" s="76">
        <f>+Passwörter_Agenturen!S98</f>
        <v>0</v>
      </c>
      <c r="L76" s="76">
        <f>+Passwörter_Agenturen!T98</f>
        <v>0</v>
      </c>
      <c r="M76" s="76">
        <f>+Passwörter_Agenturen!U98</f>
        <v>0</v>
      </c>
      <c r="N76" s="76">
        <f>+Passwörter_Agenturen!V98</f>
        <v>0</v>
      </c>
      <c r="O76" s="76">
        <f>+Passwörter_Agenturen!W98</f>
        <v>0</v>
      </c>
      <c r="P76" s="76">
        <f>+Passwörter_Agenturen!X98</f>
        <v>0</v>
      </c>
      <c r="Q76" s="76">
        <f>+Passwörter_Agenturen!Y98</f>
        <v>0</v>
      </c>
      <c r="R76" s="76">
        <f>+Passwörter_Agenturen!Z98</f>
        <v>0</v>
      </c>
      <c r="S76" s="76">
        <f>+Passwörter_Agenturen!AA98</f>
        <v>0</v>
      </c>
      <c r="T76" s="76">
        <f>+Passwörter_Agenturen!AB98</f>
        <v>0</v>
      </c>
      <c r="U76" s="76">
        <f>+Passwörter_Agenturen!AC98</f>
        <v>0</v>
      </c>
      <c r="V76" s="76">
        <f>+Passwörter_Agenturen!AD98</f>
        <v>0</v>
      </c>
      <c r="W76" s="76">
        <f>+Passwörter_Agenturen!AE98</f>
        <v>0</v>
      </c>
      <c r="X76" s="76">
        <f>+Passwörter_Agenturen!AF98</f>
        <v>0</v>
      </c>
      <c r="Y76" s="76">
        <f>+Passwörter_Agenturen!AG98</f>
        <v>0</v>
      </c>
      <c r="Z76" s="76">
        <f>+Passwörter_Agenturen!AH98</f>
        <v>0</v>
      </c>
    </row>
    <row r="77" spans="1:26" x14ac:dyDescent="0.25">
      <c r="A77" s="75" t="str">
        <f>+Passwörter_Agenturen!H99</f>
        <v>Fondskonzept AG (VEMA)</v>
      </c>
      <c r="B77" s="76">
        <f>+Passwörter_Agenturen!J99</f>
        <v>0</v>
      </c>
      <c r="C77" s="76" t="str">
        <f>+Passwörter_Agenturen!I99</f>
        <v>98162</v>
      </c>
      <c r="D77" s="76">
        <f>+Passwörter_Agenturen!K99</f>
        <v>0</v>
      </c>
      <c r="E77" s="76">
        <f>+Passwörter_Agenturen!L99</f>
        <v>0</v>
      </c>
      <c r="F77" s="76">
        <f>+Passwörter_Agenturen!M99</f>
        <v>0</v>
      </c>
      <c r="G77" s="76">
        <f>+Passwörter_Agenturen!N99</f>
        <v>0</v>
      </c>
      <c r="H77" s="76">
        <f>+Passwörter_Agenturen!P99</f>
        <v>0</v>
      </c>
      <c r="I77" s="76">
        <f>+Passwörter_Agenturen!Q99</f>
        <v>0</v>
      </c>
      <c r="J77" s="76">
        <f>+Passwörter_Agenturen!R99</f>
        <v>0</v>
      </c>
      <c r="K77" s="76">
        <f>+Passwörter_Agenturen!S99</f>
        <v>0</v>
      </c>
      <c r="L77" s="76">
        <f>+Passwörter_Agenturen!T99</f>
        <v>0</v>
      </c>
      <c r="M77" s="76">
        <f>+Passwörter_Agenturen!U99</f>
        <v>0</v>
      </c>
      <c r="N77" s="76">
        <f>+Passwörter_Agenturen!V99</f>
        <v>0</v>
      </c>
      <c r="O77" s="76">
        <f>+Passwörter_Agenturen!W99</f>
        <v>0</v>
      </c>
      <c r="P77" s="76">
        <f>+Passwörter_Agenturen!X99</f>
        <v>0</v>
      </c>
      <c r="Q77" s="76">
        <f>+Passwörter_Agenturen!Y99</f>
        <v>0</v>
      </c>
      <c r="R77" s="76">
        <f>+Passwörter_Agenturen!Z99</f>
        <v>0</v>
      </c>
      <c r="S77" s="76">
        <f>+Passwörter_Agenturen!AA99</f>
        <v>0</v>
      </c>
      <c r="T77" s="76">
        <f>+Passwörter_Agenturen!AB99</f>
        <v>0</v>
      </c>
      <c r="U77" s="76">
        <f>+Passwörter_Agenturen!AC99</f>
        <v>0</v>
      </c>
      <c r="V77" s="76">
        <f>+Passwörter_Agenturen!AD99</f>
        <v>0</v>
      </c>
      <c r="W77" s="76">
        <f>+Passwörter_Agenturen!AE99</f>
        <v>0</v>
      </c>
      <c r="X77" s="76">
        <f>+Passwörter_Agenturen!AF99</f>
        <v>0</v>
      </c>
      <c r="Y77" s="76">
        <f>+Passwörter_Agenturen!AG99</f>
        <v>0</v>
      </c>
      <c r="Z77" s="76">
        <f>+Passwörter_Agenturen!AH99</f>
        <v>0</v>
      </c>
    </row>
    <row r="78" spans="1:26" x14ac:dyDescent="0.25">
      <c r="A78" s="75" t="str">
        <f>+Passwörter_Agenturen!H100</f>
        <v>Fondskonzept AG (Atvantis)</v>
      </c>
      <c r="B78" s="76">
        <f>+Passwörter_Agenturen!J100</f>
        <v>0</v>
      </c>
      <c r="C78" s="76">
        <f>+Passwörter_Agenturen!I100</f>
        <v>0</v>
      </c>
      <c r="D78" s="76">
        <f>+Passwörter_Agenturen!K100</f>
        <v>0</v>
      </c>
      <c r="E78" s="76">
        <f>+Passwörter_Agenturen!L100</f>
        <v>0</v>
      </c>
      <c r="F78" s="76">
        <f>+Passwörter_Agenturen!M100</f>
        <v>0</v>
      </c>
      <c r="G78" s="76">
        <f>+Passwörter_Agenturen!N100</f>
        <v>0</v>
      </c>
      <c r="H78" s="76">
        <f>+Passwörter_Agenturen!P100</f>
        <v>0</v>
      </c>
      <c r="I78" s="76" t="str">
        <f>+Passwörter_Agenturen!Q100</f>
        <v>98010</v>
      </c>
      <c r="J78" s="76">
        <f>+Passwörter_Agenturen!R100</f>
        <v>0</v>
      </c>
      <c r="K78" s="76">
        <f>+Passwörter_Agenturen!S100</f>
        <v>0</v>
      </c>
      <c r="L78" s="76">
        <f>+Passwörter_Agenturen!T100</f>
        <v>0</v>
      </c>
      <c r="M78" s="76">
        <f>+Passwörter_Agenturen!U100</f>
        <v>0</v>
      </c>
      <c r="N78" s="76">
        <f>+Passwörter_Agenturen!V100</f>
        <v>0</v>
      </c>
      <c r="O78" s="76">
        <f>+Passwörter_Agenturen!W100</f>
        <v>0</v>
      </c>
      <c r="P78" s="76">
        <f>+Passwörter_Agenturen!X100</f>
        <v>0</v>
      </c>
      <c r="Q78" s="76">
        <f>+Passwörter_Agenturen!Y100</f>
        <v>0</v>
      </c>
      <c r="R78" s="76">
        <f>+Passwörter_Agenturen!Z100</f>
        <v>0</v>
      </c>
      <c r="S78" s="76">
        <f>+Passwörter_Agenturen!AA100</f>
        <v>0</v>
      </c>
      <c r="T78" s="76">
        <f>+Passwörter_Agenturen!AB100</f>
        <v>0</v>
      </c>
      <c r="U78" s="76">
        <f>+Passwörter_Agenturen!AC100</f>
        <v>0</v>
      </c>
      <c r="V78" s="76">
        <f>+Passwörter_Agenturen!AD100</f>
        <v>0</v>
      </c>
      <c r="W78" s="76">
        <f>+Passwörter_Agenturen!AE100</f>
        <v>0</v>
      </c>
      <c r="X78" s="76">
        <f>+Passwörter_Agenturen!AF100</f>
        <v>0</v>
      </c>
      <c r="Y78" s="76">
        <f>+Passwörter_Agenturen!AG100</f>
        <v>0</v>
      </c>
      <c r="Z78" s="76">
        <f>+Passwörter_Agenturen!AH100</f>
        <v>0</v>
      </c>
    </row>
    <row r="79" spans="1:26" x14ac:dyDescent="0.25">
      <c r="A79" s="75" t="str">
        <f>+Passwörter_Agenturen!H101</f>
        <v>Fortuna</v>
      </c>
      <c r="B79" s="76" t="str">
        <f>+Passwörter_Agenturen!J101</f>
        <v>3362</v>
      </c>
      <c r="C79" s="76">
        <f>+Passwörter_Agenturen!I101</f>
        <v>0</v>
      </c>
      <c r="D79" s="76">
        <f>+Passwörter_Agenturen!K101</f>
        <v>0</v>
      </c>
      <c r="E79" s="76">
        <f>+Passwörter_Agenturen!L101</f>
        <v>0</v>
      </c>
      <c r="F79" s="76">
        <f>+Passwörter_Agenturen!M101</f>
        <v>0</v>
      </c>
      <c r="G79" s="76">
        <f>+Passwörter_Agenturen!N101</f>
        <v>0</v>
      </c>
      <c r="H79" s="76">
        <f>+Passwörter_Agenturen!P101</f>
        <v>0</v>
      </c>
      <c r="I79" s="76">
        <f>+Passwörter_Agenturen!Q101</f>
        <v>0</v>
      </c>
      <c r="J79" s="76">
        <f>+Passwörter_Agenturen!R101</f>
        <v>0</v>
      </c>
      <c r="K79" s="76">
        <f>+Passwörter_Agenturen!S101</f>
        <v>0</v>
      </c>
      <c r="L79" s="76">
        <f>+Passwörter_Agenturen!T101</f>
        <v>0</v>
      </c>
      <c r="M79" s="76">
        <f>+Passwörter_Agenturen!U101</f>
        <v>0</v>
      </c>
      <c r="N79" s="76">
        <f>+Passwörter_Agenturen!V101</f>
        <v>0</v>
      </c>
      <c r="O79" s="76">
        <f>+Passwörter_Agenturen!W101</f>
        <v>0</v>
      </c>
      <c r="P79" s="76">
        <f>+Passwörter_Agenturen!X101</f>
        <v>0</v>
      </c>
      <c r="Q79" s="76">
        <f>+Passwörter_Agenturen!Y101</f>
        <v>0</v>
      </c>
      <c r="R79" s="76">
        <f>+Passwörter_Agenturen!Z101</f>
        <v>0</v>
      </c>
      <c r="S79" s="76">
        <f>+Passwörter_Agenturen!AA101</f>
        <v>0</v>
      </c>
      <c r="T79" s="76">
        <f>+Passwörter_Agenturen!AB101</f>
        <v>0</v>
      </c>
      <c r="U79" s="76">
        <f>+Passwörter_Agenturen!AC101</f>
        <v>0</v>
      </c>
      <c r="V79" s="76">
        <f>+Passwörter_Agenturen!AD101</f>
        <v>0</v>
      </c>
      <c r="W79" s="76">
        <f>+Passwörter_Agenturen!AE101</f>
        <v>0</v>
      </c>
      <c r="X79" s="76">
        <f>+Passwörter_Agenturen!AF101</f>
        <v>0</v>
      </c>
      <c r="Y79" s="76">
        <f>+Passwörter_Agenturen!AG101</f>
        <v>0</v>
      </c>
      <c r="Z79" s="76">
        <f>+Passwörter_Agenturen!AH101</f>
        <v>0</v>
      </c>
    </row>
    <row r="80" spans="1:26" x14ac:dyDescent="0.25">
      <c r="A80" s="75" t="str">
        <f>+Passwörter_Agenturen!H102</f>
        <v>Franke &amp; Bornberg</v>
      </c>
      <c r="B80" s="76">
        <f>+Passwörter_Agenturen!J102</f>
        <v>0</v>
      </c>
      <c r="C80" s="76">
        <f>+Passwörter_Agenturen!I102</f>
        <v>0</v>
      </c>
      <c r="D80" s="76">
        <f>+Passwörter_Agenturen!K102</f>
        <v>0</v>
      </c>
      <c r="E80" s="76">
        <f>+Passwörter_Agenturen!L102</f>
        <v>0</v>
      </c>
      <c r="F80" s="76">
        <f>+Passwörter_Agenturen!M102</f>
        <v>0</v>
      </c>
      <c r="G80" s="76">
        <f>+Passwörter_Agenturen!N102</f>
        <v>0</v>
      </c>
      <c r="H80" s="76">
        <f>+Passwörter_Agenturen!P102</f>
        <v>0</v>
      </c>
      <c r="I80" s="76">
        <f>+Passwörter_Agenturen!Q102</f>
        <v>0</v>
      </c>
      <c r="J80" s="76">
        <f>+Passwörter_Agenturen!R102</f>
        <v>0</v>
      </c>
      <c r="K80" s="76">
        <f>+Passwörter_Agenturen!S102</f>
        <v>0</v>
      </c>
      <c r="L80" s="76">
        <f>+Passwörter_Agenturen!T102</f>
        <v>0</v>
      </c>
      <c r="M80" s="76">
        <f>+Passwörter_Agenturen!U102</f>
        <v>0</v>
      </c>
      <c r="N80" s="76">
        <f>+Passwörter_Agenturen!V102</f>
        <v>0</v>
      </c>
      <c r="O80" s="76">
        <f>+Passwörter_Agenturen!W102</f>
        <v>0</v>
      </c>
      <c r="P80" s="76">
        <f>+Passwörter_Agenturen!X102</f>
        <v>0</v>
      </c>
      <c r="Q80" s="76">
        <f>+Passwörter_Agenturen!Y102</f>
        <v>0</v>
      </c>
      <c r="R80" s="76">
        <f>+Passwörter_Agenturen!Z102</f>
        <v>0</v>
      </c>
      <c r="S80" s="76">
        <f>+Passwörter_Agenturen!AA102</f>
        <v>0</v>
      </c>
      <c r="T80" s="76">
        <f>+Passwörter_Agenturen!AB102</f>
        <v>0</v>
      </c>
      <c r="U80" s="76">
        <f>+Passwörter_Agenturen!AC102</f>
        <v>0</v>
      </c>
      <c r="V80" s="76">
        <f>+Passwörter_Agenturen!AD102</f>
        <v>0</v>
      </c>
      <c r="W80" s="76">
        <f>+Passwörter_Agenturen!AE102</f>
        <v>0</v>
      </c>
      <c r="X80" s="76">
        <f>+Passwörter_Agenturen!AF102</f>
        <v>0</v>
      </c>
      <c r="Y80" s="76">
        <f>+Passwörter_Agenturen!AG102</f>
        <v>0</v>
      </c>
      <c r="Z80" s="76">
        <f>+Passwörter_Agenturen!AH102</f>
        <v>0</v>
      </c>
    </row>
    <row r="81" spans="1:26" x14ac:dyDescent="0.25">
      <c r="A81" s="75" t="str">
        <f>+Passwörter_Agenturen!H103</f>
        <v>Franke &amp; Bornberg (versdiagnose)</v>
      </c>
      <c r="B81" s="76">
        <f>+Passwörter_Agenturen!J103</f>
        <v>0</v>
      </c>
      <c r="C81" s="76">
        <f>+Passwörter_Agenturen!I103</f>
        <v>0</v>
      </c>
      <c r="D81" s="76">
        <f>+Passwörter_Agenturen!K103</f>
        <v>0</v>
      </c>
      <c r="E81" s="76">
        <f>+Passwörter_Agenturen!L103</f>
        <v>0</v>
      </c>
      <c r="F81" s="76">
        <f>+Passwörter_Agenturen!M103</f>
        <v>0</v>
      </c>
      <c r="G81" s="76">
        <f>+Passwörter_Agenturen!N103</f>
        <v>0</v>
      </c>
      <c r="H81" s="76">
        <f>+Passwörter_Agenturen!P103</f>
        <v>0</v>
      </c>
      <c r="I81" s="76">
        <f>+Passwörter_Agenturen!Q103</f>
        <v>0</v>
      </c>
      <c r="J81" s="76">
        <f>+Passwörter_Agenturen!R103</f>
        <v>0</v>
      </c>
      <c r="K81" s="76">
        <f>+Passwörter_Agenturen!S103</f>
        <v>0</v>
      </c>
      <c r="L81" s="76">
        <f>+Passwörter_Agenturen!T103</f>
        <v>0</v>
      </c>
      <c r="M81" s="76">
        <f>+Passwörter_Agenturen!U103</f>
        <v>0</v>
      </c>
      <c r="N81" s="76">
        <f>+Passwörter_Agenturen!V103</f>
        <v>0</v>
      </c>
      <c r="O81" s="76">
        <f>+Passwörter_Agenturen!W103</f>
        <v>0</v>
      </c>
      <c r="P81" s="76">
        <f>+Passwörter_Agenturen!X103</f>
        <v>0</v>
      </c>
      <c r="Q81" s="76">
        <f>+Passwörter_Agenturen!Y103</f>
        <v>0</v>
      </c>
      <c r="R81" s="76">
        <f>+Passwörter_Agenturen!Z103</f>
        <v>0</v>
      </c>
      <c r="S81" s="76">
        <f>+Passwörter_Agenturen!AA103</f>
        <v>0</v>
      </c>
      <c r="T81" s="76">
        <f>+Passwörter_Agenturen!AB103</f>
        <v>0</v>
      </c>
      <c r="U81" s="76">
        <f>+Passwörter_Agenturen!AC103</f>
        <v>0</v>
      </c>
      <c r="V81" s="76">
        <f>+Passwörter_Agenturen!AD103</f>
        <v>0</v>
      </c>
      <c r="W81" s="76">
        <f>+Passwörter_Agenturen!AE103</f>
        <v>0</v>
      </c>
      <c r="X81" s="76">
        <f>+Passwörter_Agenturen!AF103</f>
        <v>0</v>
      </c>
      <c r="Y81" s="76">
        <f>+Passwörter_Agenturen!AG103</f>
        <v>0</v>
      </c>
      <c r="Z81" s="76">
        <f>+Passwörter_Agenturen!AH103</f>
        <v>0</v>
      </c>
    </row>
    <row r="82" spans="1:26" x14ac:dyDescent="0.25">
      <c r="A82" s="75" t="str">
        <f>+Passwörter_Agenturen!H104</f>
        <v>Fritzbox</v>
      </c>
      <c r="B82" s="76">
        <f>+Passwörter_Agenturen!J104</f>
        <v>0</v>
      </c>
      <c r="C82" s="76">
        <f>+Passwörter_Agenturen!I104</f>
        <v>0</v>
      </c>
      <c r="D82" s="76">
        <f>+Passwörter_Agenturen!K104</f>
        <v>0</v>
      </c>
      <c r="E82" s="76">
        <f>+Passwörter_Agenturen!L104</f>
        <v>0</v>
      </c>
      <c r="F82" s="76">
        <f>+Passwörter_Agenturen!M104</f>
        <v>0</v>
      </c>
      <c r="G82" s="76">
        <f>+Passwörter_Agenturen!N104</f>
        <v>0</v>
      </c>
      <c r="H82" s="76">
        <f>+Passwörter_Agenturen!P104</f>
        <v>0</v>
      </c>
      <c r="I82" s="76">
        <f>+Passwörter_Agenturen!Q104</f>
        <v>0</v>
      </c>
      <c r="J82" s="76">
        <f>+Passwörter_Agenturen!R104</f>
        <v>0</v>
      </c>
      <c r="K82" s="76">
        <f>+Passwörter_Agenturen!S104</f>
        <v>0</v>
      </c>
      <c r="L82" s="76">
        <f>+Passwörter_Agenturen!T104</f>
        <v>0</v>
      </c>
      <c r="M82" s="76">
        <f>+Passwörter_Agenturen!U104</f>
        <v>0</v>
      </c>
      <c r="N82" s="76">
        <f>+Passwörter_Agenturen!V104</f>
        <v>0</v>
      </c>
      <c r="O82" s="76">
        <f>+Passwörter_Agenturen!W104</f>
        <v>0</v>
      </c>
      <c r="P82" s="76">
        <f>+Passwörter_Agenturen!X104</f>
        <v>0</v>
      </c>
      <c r="Q82" s="76">
        <f>+Passwörter_Agenturen!Y104</f>
        <v>0</v>
      </c>
      <c r="R82" s="76">
        <f>+Passwörter_Agenturen!Z104</f>
        <v>0</v>
      </c>
      <c r="S82" s="76">
        <f>+Passwörter_Agenturen!AA104</f>
        <v>0</v>
      </c>
      <c r="T82" s="76">
        <f>+Passwörter_Agenturen!AB104</f>
        <v>0</v>
      </c>
      <c r="U82" s="76">
        <f>+Passwörter_Agenturen!AC104</f>
        <v>0</v>
      </c>
      <c r="V82" s="76">
        <f>+Passwörter_Agenturen!AD104</f>
        <v>0</v>
      </c>
      <c r="W82" s="76">
        <f>+Passwörter_Agenturen!AE104</f>
        <v>0</v>
      </c>
      <c r="X82" s="76">
        <f>+Passwörter_Agenturen!AF104</f>
        <v>0</v>
      </c>
      <c r="Y82" s="76">
        <f>+Passwörter_Agenturen!AG104</f>
        <v>0</v>
      </c>
      <c r="Z82" s="76">
        <f>+Passwörter_Agenturen!AH104</f>
        <v>0</v>
      </c>
    </row>
    <row r="83" spans="1:26" x14ac:dyDescent="0.25">
      <c r="A83" s="75" t="str">
        <f>+Passwörter_Agenturen!H105</f>
        <v>GAMAX (JDC)</v>
      </c>
      <c r="B83" s="76" t="str">
        <f>+Passwörter_Agenturen!J105</f>
        <v>309936</v>
      </c>
      <c r="C83" s="76">
        <f>+Passwörter_Agenturen!I105</f>
        <v>0</v>
      </c>
      <c r="D83" s="76">
        <f>+Passwörter_Agenturen!K105</f>
        <v>0</v>
      </c>
      <c r="E83" s="76">
        <f>+Passwörter_Agenturen!L105</f>
        <v>0</v>
      </c>
      <c r="F83" s="76">
        <f>+Passwörter_Agenturen!M105</f>
        <v>0</v>
      </c>
      <c r="G83" s="76">
        <f>+Passwörter_Agenturen!N105</f>
        <v>0</v>
      </c>
      <c r="H83" s="76">
        <f>+Passwörter_Agenturen!P105</f>
        <v>0</v>
      </c>
      <c r="I83" s="76">
        <f>+Passwörter_Agenturen!Q105</f>
        <v>0</v>
      </c>
      <c r="J83" s="76">
        <f>+Passwörter_Agenturen!R105</f>
        <v>0</v>
      </c>
      <c r="K83" s="76">
        <f>+Passwörter_Agenturen!S105</f>
        <v>0</v>
      </c>
      <c r="L83" s="76">
        <f>+Passwörter_Agenturen!T105</f>
        <v>0</v>
      </c>
      <c r="M83" s="76">
        <f>+Passwörter_Agenturen!U105</f>
        <v>0</v>
      </c>
      <c r="N83" s="76">
        <f>+Passwörter_Agenturen!V105</f>
        <v>0</v>
      </c>
      <c r="O83" s="76">
        <f>+Passwörter_Agenturen!W105</f>
        <v>0</v>
      </c>
      <c r="P83" s="76">
        <f>+Passwörter_Agenturen!X105</f>
        <v>0</v>
      </c>
      <c r="Q83" s="76">
        <f>+Passwörter_Agenturen!Y105</f>
        <v>0</v>
      </c>
      <c r="R83" s="76">
        <f>+Passwörter_Agenturen!Z105</f>
        <v>0</v>
      </c>
      <c r="S83" s="76">
        <f>+Passwörter_Agenturen!AA105</f>
        <v>0</v>
      </c>
      <c r="T83" s="76">
        <f>+Passwörter_Agenturen!AB105</f>
        <v>0</v>
      </c>
      <c r="U83" s="76">
        <f>+Passwörter_Agenturen!AC105</f>
        <v>0</v>
      </c>
      <c r="V83" s="76">
        <f>+Passwörter_Agenturen!AD105</f>
        <v>0</v>
      </c>
      <c r="W83" s="76">
        <f>+Passwörter_Agenturen!AE105</f>
        <v>0</v>
      </c>
      <c r="X83" s="76">
        <f>+Passwörter_Agenturen!AF105</f>
        <v>0</v>
      </c>
      <c r="Y83" s="76">
        <f>+Passwörter_Agenturen!AG105</f>
        <v>0</v>
      </c>
      <c r="Z83" s="76">
        <f>+Passwörter_Agenturen!AH105</f>
        <v>0</v>
      </c>
    </row>
    <row r="84" spans="1:26" x14ac:dyDescent="0.25">
      <c r="A84" s="75" t="e">
        <f>+Passwörter_Agenturen!#REF!</f>
        <v>#REF!</v>
      </c>
      <c r="B84" s="76" t="e">
        <f>+Passwörter_Agenturen!#REF!</f>
        <v>#REF!</v>
      </c>
      <c r="C84" s="76" t="e">
        <f>+Passwörter_Agenturen!#REF!</f>
        <v>#REF!</v>
      </c>
      <c r="D84" s="76" t="e">
        <f>+Passwörter_Agenturen!#REF!</f>
        <v>#REF!</v>
      </c>
      <c r="E84" s="76" t="e">
        <f>+Passwörter_Agenturen!#REF!</f>
        <v>#REF!</v>
      </c>
      <c r="F84" s="76" t="e">
        <f>+Passwörter_Agenturen!#REF!</f>
        <v>#REF!</v>
      </c>
      <c r="G84" s="76" t="e">
        <f>+Passwörter_Agenturen!#REF!</f>
        <v>#REF!</v>
      </c>
      <c r="H84" s="76" t="e">
        <f>+Passwörter_Agenturen!#REF!</f>
        <v>#REF!</v>
      </c>
      <c r="I84" s="76" t="e">
        <f>+Passwörter_Agenturen!#REF!</f>
        <v>#REF!</v>
      </c>
      <c r="J84" s="76" t="e">
        <f>+Passwörter_Agenturen!#REF!</f>
        <v>#REF!</v>
      </c>
      <c r="K84" s="76" t="e">
        <f>+Passwörter_Agenturen!#REF!</f>
        <v>#REF!</v>
      </c>
      <c r="L84" s="76" t="e">
        <f>+Passwörter_Agenturen!#REF!</f>
        <v>#REF!</v>
      </c>
      <c r="M84" s="76" t="e">
        <f>+Passwörter_Agenturen!#REF!</f>
        <v>#REF!</v>
      </c>
      <c r="N84" s="76" t="e">
        <f>+Passwörter_Agenturen!#REF!</f>
        <v>#REF!</v>
      </c>
      <c r="O84" s="76" t="e">
        <f>+Passwörter_Agenturen!#REF!</f>
        <v>#REF!</v>
      </c>
      <c r="P84" s="76" t="e">
        <f>+Passwörter_Agenturen!#REF!</f>
        <v>#REF!</v>
      </c>
      <c r="Q84" s="76" t="e">
        <f>+Passwörter_Agenturen!#REF!</f>
        <v>#REF!</v>
      </c>
      <c r="R84" s="76" t="e">
        <f>+Passwörter_Agenturen!#REF!</f>
        <v>#REF!</v>
      </c>
      <c r="S84" s="76" t="e">
        <f>+Passwörter_Agenturen!#REF!</f>
        <v>#REF!</v>
      </c>
      <c r="T84" s="76" t="e">
        <f>+Passwörter_Agenturen!#REF!</f>
        <v>#REF!</v>
      </c>
      <c r="U84" s="76" t="e">
        <f>+Passwörter_Agenturen!#REF!</f>
        <v>#REF!</v>
      </c>
      <c r="V84" s="76" t="e">
        <f>+Passwörter_Agenturen!#REF!</f>
        <v>#REF!</v>
      </c>
      <c r="W84" s="76" t="e">
        <f>+Passwörter_Agenturen!#REF!</f>
        <v>#REF!</v>
      </c>
      <c r="X84" s="76" t="e">
        <f>+Passwörter_Agenturen!#REF!</f>
        <v>#REF!</v>
      </c>
      <c r="Y84" s="76" t="e">
        <f>+Passwörter_Agenturen!#REF!</f>
        <v>#REF!</v>
      </c>
      <c r="Z84" s="76" t="e">
        <f>+Passwörter_Agenturen!#REF!</f>
        <v>#REF!</v>
      </c>
    </row>
    <row r="85" spans="1:26" x14ac:dyDescent="0.25">
      <c r="A85" s="75" t="str">
        <f>+Passwörter_Agenturen!H72</f>
        <v>Dialog (Altbestand GENERAI)</v>
      </c>
      <c r="B85" s="76" t="str">
        <f>+Passwörter_Agenturen!J72</f>
        <v>122700</v>
      </c>
      <c r="C85" s="76" t="str">
        <f>+Passwörter_Agenturen!I72</f>
        <v>106151</v>
      </c>
      <c r="D85" s="76">
        <f>+Passwörter_Agenturen!K72</f>
        <v>0</v>
      </c>
      <c r="E85" s="76">
        <f>+Passwörter_Agenturen!L72</f>
        <v>0</v>
      </c>
      <c r="F85" s="76">
        <f>+Passwörter_Agenturen!M72</f>
        <v>0</v>
      </c>
      <c r="G85" s="76">
        <f>+Passwörter_Agenturen!N72</f>
        <v>0</v>
      </c>
      <c r="H85" s="76" t="str">
        <f>+Passwörter_Agenturen!P72</f>
        <v>103677,  293181</v>
      </c>
      <c r="I85" s="76" t="str">
        <f>+Passwörter_Agenturen!Q72</f>
        <v>103680</v>
      </c>
      <c r="J85" s="76" t="str">
        <f>+Passwörter_Agenturen!R72</f>
        <v>103681</v>
      </c>
      <c r="K85" s="76">
        <f>+Passwörter_Agenturen!S72</f>
        <v>0</v>
      </c>
      <c r="L85" s="76">
        <f>+Passwörter_Agenturen!T72</f>
        <v>0</v>
      </c>
      <c r="M85" s="76">
        <f>+Passwörter_Agenturen!U72</f>
        <v>0</v>
      </c>
      <c r="N85" s="76" t="str">
        <f>+Passwörter_Agenturen!V72</f>
        <v>103682</v>
      </c>
      <c r="O85" s="76" t="str">
        <f>+Passwörter_Agenturen!W72</f>
        <v>alt 186604</v>
      </c>
      <c r="P85" s="76">
        <f>+Passwörter_Agenturen!X72</f>
        <v>0</v>
      </c>
      <c r="Q85" s="76" t="str">
        <f>+Passwörter_Agenturen!Y72</f>
        <v>198529</v>
      </c>
      <c r="R85" s="76" t="str">
        <f>+Passwörter_Agenturen!Z72</f>
        <v>alt 198653</v>
      </c>
      <c r="S85" s="76" t="str">
        <f>+Passwörter_Agenturen!AA72</f>
        <v>alt 205583</v>
      </c>
      <c r="T85" s="76">
        <f>+Passwörter_Agenturen!AB72</f>
        <v>0</v>
      </c>
      <c r="U85" s="76">
        <f>+Passwörter_Agenturen!AC72</f>
        <v>0</v>
      </c>
      <c r="V85" s="76">
        <f>+Passwörter_Agenturen!AD72</f>
        <v>0</v>
      </c>
      <c r="W85" s="76">
        <f>+Passwörter_Agenturen!AE72</f>
        <v>0</v>
      </c>
      <c r="X85" s="76" t="str">
        <f>+Passwörter_Agenturen!AF72</f>
        <v>alt 115534</v>
      </c>
      <c r="Y85" s="76">
        <f>+Passwörter_Agenturen!AG72</f>
        <v>0</v>
      </c>
      <c r="Z85" s="76">
        <f>+Passwörter_Agenturen!AH72</f>
        <v>0</v>
      </c>
    </row>
    <row r="86" spans="1:26" x14ac:dyDescent="0.25">
      <c r="A86" s="75" t="str">
        <f>+Passwörter_Agenturen!H73</f>
        <v>Dialog Heilwesen</v>
      </c>
      <c r="B86" s="76">
        <f>+Passwörter_Agenturen!J73</f>
        <v>785946</v>
      </c>
      <c r="C86" s="76">
        <f>+Passwörter_Agenturen!I73</f>
        <v>0</v>
      </c>
      <c r="D86" s="76">
        <f>+Passwörter_Agenturen!K73</f>
        <v>0</v>
      </c>
      <c r="E86" s="76">
        <f>+Passwörter_Agenturen!L73</f>
        <v>0</v>
      </c>
      <c r="F86" s="76">
        <f>+Passwörter_Agenturen!M73</f>
        <v>0</v>
      </c>
      <c r="G86" s="76">
        <f>+Passwörter_Agenturen!N73</f>
        <v>0</v>
      </c>
      <c r="H86" s="76">
        <f>+Passwörter_Agenturen!P73</f>
        <v>0</v>
      </c>
      <c r="I86" s="76">
        <f>+Passwörter_Agenturen!Q73</f>
        <v>0</v>
      </c>
      <c r="J86" s="76">
        <f>+Passwörter_Agenturen!R73</f>
        <v>0</v>
      </c>
      <c r="K86" s="76">
        <f>+Passwörter_Agenturen!S73</f>
        <v>0</v>
      </c>
      <c r="L86" s="76">
        <f>+Passwörter_Agenturen!T73</f>
        <v>0</v>
      </c>
      <c r="M86" s="76">
        <f>+Passwörter_Agenturen!U73</f>
        <v>0</v>
      </c>
      <c r="N86" s="76">
        <f>+Passwörter_Agenturen!V73</f>
        <v>0</v>
      </c>
      <c r="O86" s="76">
        <f>+Passwörter_Agenturen!W73</f>
        <v>0</v>
      </c>
      <c r="P86" s="76">
        <f>+Passwörter_Agenturen!X73</f>
        <v>0</v>
      </c>
      <c r="Q86" s="76">
        <f>+Passwörter_Agenturen!Y73</f>
        <v>0</v>
      </c>
      <c r="R86" s="76" t="str">
        <f>+Passwörter_Agenturen!Z73</f>
        <v xml:space="preserve"> alt 806063</v>
      </c>
      <c r="S86" s="76">
        <f>+Passwörter_Agenturen!AA73</f>
        <v>0</v>
      </c>
      <c r="T86" s="76">
        <f>+Passwörter_Agenturen!AB73</f>
        <v>0</v>
      </c>
      <c r="U86" s="76">
        <f>+Passwörter_Agenturen!AC73</f>
        <v>0</v>
      </c>
      <c r="V86" s="76">
        <f>+Passwörter_Agenturen!AD73</f>
        <v>0</v>
      </c>
      <c r="W86" s="76">
        <f>+Passwörter_Agenturen!AE73</f>
        <v>0</v>
      </c>
      <c r="X86" s="76">
        <f>+Passwörter_Agenturen!AF73</f>
        <v>0</v>
      </c>
      <c r="Y86" s="76">
        <f>+Passwörter_Agenturen!AG73</f>
        <v>0</v>
      </c>
      <c r="Z86" s="76">
        <f>+Passwörter_Agenturen!AH73</f>
        <v>0</v>
      </c>
    </row>
    <row r="87" spans="1:26" x14ac:dyDescent="0.25">
      <c r="A87" s="75" t="str">
        <f>+Passwörter_Agenturen!H74</f>
        <v xml:space="preserve">Dialog Mitarbeiter Kfz </v>
      </c>
      <c r="B87" s="76" t="str">
        <f>+Passwörter_Agenturen!J74</f>
        <v>156902</v>
      </c>
      <c r="C87" s="76">
        <f>+Passwörter_Agenturen!I74</f>
        <v>0</v>
      </c>
      <c r="D87" s="76">
        <f>+Passwörter_Agenturen!K74</f>
        <v>0</v>
      </c>
      <c r="E87" s="76">
        <f>+Passwörter_Agenturen!L74</f>
        <v>0</v>
      </c>
      <c r="F87" s="76">
        <f>+Passwörter_Agenturen!M74</f>
        <v>0</v>
      </c>
      <c r="G87" s="76">
        <f>+Passwörter_Agenturen!N74</f>
        <v>0</v>
      </c>
      <c r="H87" s="76" t="str">
        <f>+Passwörter_Agenturen!P74</f>
        <v>103679</v>
      </c>
      <c r="I87" s="76" t="str">
        <f>+Passwörter_Agenturen!Q74</f>
        <v>103959</v>
      </c>
      <c r="J87" s="76">
        <f>+Passwörter_Agenturen!R74</f>
        <v>0</v>
      </c>
      <c r="K87" s="76">
        <f>+Passwörter_Agenturen!S74</f>
        <v>0</v>
      </c>
      <c r="L87" s="76">
        <f>+Passwörter_Agenturen!T74</f>
        <v>0</v>
      </c>
      <c r="M87" s="76">
        <f>+Passwörter_Agenturen!U74</f>
        <v>0</v>
      </c>
      <c r="N87" s="76">
        <f>+Passwörter_Agenturen!V74</f>
        <v>0</v>
      </c>
      <c r="O87" s="76">
        <f>+Passwörter_Agenturen!W74</f>
        <v>0</v>
      </c>
      <c r="P87" s="76">
        <f>+Passwörter_Agenturen!X74</f>
        <v>0</v>
      </c>
      <c r="Q87" s="76">
        <f>+Passwörter_Agenturen!Y74</f>
        <v>0</v>
      </c>
      <c r="R87" s="76">
        <f>+Passwörter_Agenturen!Z74</f>
        <v>0</v>
      </c>
      <c r="S87" s="76">
        <f>+Passwörter_Agenturen!AA74</f>
        <v>0</v>
      </c>
      <c r="T87" s="76">
        <f>+Passwörter_Agenturen!AB74</f>
        <v>0</v>
      </c>
      <c r="U87" s="76">
        <f>+Passwörter_Agenturen!AC74</f>
        <v>0</v>
      </c>
      <c r="V87" s="76">
        <f>+Passwörter_Agenturen!AD74</f>
        <v>0</v>
      </c>
      <c r="W87" s="76">
        <f>+Passwörter_Agenturen!AE74</f>
        <v>0</v>
      </c>
      <c r="X87" s="76">
        <f>+Passwörter_Agenturen!AF74</f>
        <v>0</v>
      </c>
      <c r="Y87" s="76">
        <f>+Passwörter_Agenturen!AG74</f>
        <v>0</v>
      </c>
      <c r="Z87" s="76">
        <f>+Passwörter_Agenturen!AH74</f>
        <v>0</v>
      </c>
    </row>
    <row r="88" spans="1:26" x14ac:dyDescent="0.25">
      <c r="A88" s="75" t="str">
        <f>+Passwörter_Agenturen!H107</f>
        <v>Gothaer Krankenversicherung</v>
      </c>
      <c r="B88" s="76">
        <f>+Passwörter_Agenturen!J107</f>
        <v>0</v>
      </c>
      <c r="C88" s="76" t="str">
        <f>+Passwörter_Agenturen!I107</f>
        <v>38580</v>
      </c>
      <c r="D88" s="76">
        <f>+Passwörter_Agenturen!K107</f>
        <v>0</v>
      </c>
      <c r="E88" s="76" t="str">
        <f>+Passwörter_Agenturen!L107</f>
        <v>57319</v>
      </c>
      <c r="F88" s="76">
        <f>+Passwörter_Agenturen!M107</f>
        <v>0</v>
      </c>
      <c r="G88" s="76">
        <f>+Passwörter_Agenturen!N107</f>
        <v>0</v>
      </c>
      <c r="H88" s="76">
        <f>+Passwörter_Agenturen!P107</f>
        <v>0</v>
      </c>
      <c r="I88" s="76">
        <f>+Passwörter_Agenturen!Q107</f>
        <v>0</v>
      </c>
      <c r="J88" s="76">
        <f>+Passwörter_Agenturen!R107</f>
        <v>0</v>
      </c>
      <c r="K88" s="76">
        <f>+Passwörter_Agenturen!S107</f>
        <v>0</v>
      </c>
      <c r="L88" s="76">
        <f>+Passwörter_Agenturen!T107</f>
        <v>0</v>
      </c>
      <c r="M88" s="76">
        <f>+Passwörter_Agenturen!U107</f>
        <v>0</v>
      </c>
      <c r="N88" s="76">
        <f>+Passwörter_Agenturen!V107</f>
        <v>0</v>
      </c>
      <c r="O88" s="76">
        <f>+Passwörter_Agenturen!W107</f>
        <v>0</v>
      </c>
      <c r="P88" s="76">
        <f>+Passwörter_Agenturen!X107</f>
        <v>0</v>
      </c>
      <c r="Q88" s="76">
        <f>+Passwörter_Agenturen!Y107</f>
        <v>0</v>
      </c>
      <c r="R88" s="76">
        <f>+Passwörter_Agenturen!Z107</f>
        <v>0</v>
      </c>
      <c r="S88" s="76">
        <f>+Passwörter_Agenturen!AA107</f>
        <v>0</v>
      </c>
      <c r="T88" s="76">
        <f>+Passwörter_Agenturen!AB107</f>
        <v>0</v>
      </c>
      <c r="U88" s="76">
        <f>+Passwörter_Agenturen!AC107</f>
        <v>0</v>
      </c>
      <c r="V88" s="76">
        <f>+Passwörter_Agenturen!AD107</f>
        <v>0</v>
      </c>
      <c r="W88" s="76">
        <f>+Passwörter_Agenturen!AE107</f>
        <v>0</v>
      </c>
      <c r="X88" s="76">
        <f>+Passwörter_Agenturen!AF107</f>
        <v>0</v>
      </c>
      <c r="Y88" s="76">
        <f>+Passwörter_Agenturen!AG107</f>
        <v>0</v>
      </c>
      <c r="Z88" s="76">
        <f>+Passwörter_Agenturen!AH107</f>
        <v>0</v>
      </c>
    </row>
    <row r="89" spans="1:26" x14ac:dyDescent="0.25">
      <c r="A89" s="75" t="str">
        <f>+Passwörter_Agenturen!H110</f>
        <v>GVO Gegenseitigkeit Versicherung Oldenburg</v>
      </c>
      <c r="B89" s="76" t="str">
        <f>+Passwörter_Agenturen!J110</f>
        <v xml:space="preserve"> </v>
      </c>
      <c r="C89" s="76" t="str">
        <f>+Passwörter_Agenturen!I110</f>
        <v>3638</v>
      </c>
      <c r="D89" s="76">
        <f>+Passwörter_Agenturen!K110</f>
        <v>0</v>
      </c>
      <c r="E89" s="76">
        <f>+Passwörter_Agenturen!L110</f>
        <v>0</v>
      </c>
      <c r="F89" s="76">
        <f>+Passwörter_Agenturen!M110</f>
        <v>0</v>
      </c>
      <c r="G89" s="76">
        <f>+Passwörter_Agenturen!N110</f>
        <v>0</v>
      </c>
      <c r="H89" s="76">
        <f>+Passwörter_Agenturen!P110</f>
        <v>0</v>
      </c>
      <c r="I89" s="76">
        <f>+Passwörter_Agenturen!Q110</f>
        <v>0</v>
      </c>
      <c r="J89" s="76">
        <f>+Passwörter_Agenturen!R110</f>
        <v>0</v>
      </c>
      <c r="K89" s="76">
        <f>+Passwörter_Agenturen!S110</f>
        <v>0</v>
      </c>
      <c r="L89" s="76">
        <f>+Passwörter_Agenturen!T110</f>
        <v>0</v>
      </c>
      <c r="M89" s="76">
        <f>+Passwörter_Agenturen!U110</f>
        <v>0</v>
      </c>
      <c r="N89" s="76">
        <f>+Passwörter_Agenturen!V110</f>
        <v>0</v>
      </c>
      <c r="O89" s="76">
        <f>+Passwörter_Agenturen!W110</f>
        <v>0</v>
      </c>
      <c r="P89" s="76">
        <f>+Passwörter_Agenturen!X110</f>
        <v>0</v>
      </c>
      <c r="Q89" s="76">
        <f>+Passwörter_Agenturen!Y110</f>
        <v>0</v>
      </c>
      <c r="R89" s="76">
        <f>+Passwörter_Agenturen!Z110</f>
        <v>0</v>
      </c>
      <c r="S89" s="76">
        <f>+Passwörter_Agenturen!AA110</f>
        <v>0</v>
      </c>
      <c r="T89" s="76">
        <f>+Passwörter_Agenturen!AB110</f>
        <v>0</v>
      </c>
      <c r="U89" s="76">
        <f>+Passwörter_Agenturen!AC110</f>
        <v>0</v>
      </c>
      <c r="V89" s="76">
        <f>+Passwörter_Agenturen!AD110</f>
        <v>0</v>
      </c>
      <c r="W89" s="76">
        <f>+Passwörter_Agenturen!AE110</f>
        <v>0</v>
      </c>
      <c r="X89" s="76">
        <f>+Passwörter_Agenturen!AF110</f>
        <v>0</v>
      </c>
      <c r="Y89" s="76">
        <f>+Passwörter_Agenturen!AG110</f>
        <v>0</v>
      </c>
      <c r="Z89" s="76">
        <f>+Passwörter_Agenturen!AH110</f>
        <v>0</v>
      </c>
    </row>
    <row r="90" spans="1:26" x14ac:dyDescent="0.25">
      <c r="A90" s="75" t="str">
        <f>+Passwörter_Agenturen!H111</f>
        <v xml:space="preserve">Die Haftpflichtkasse Darmstadt </v>
      </c>
      <c r="B90" s="76" t="str">
        <f>+Passwörter_Agenturen!J111</f>
        <v>009534-457</v>
      </c>
      <c r="C90" s="76" t="str">
        <f>+Passwörter_Agenturen!I111</f>
        <v>009534-457</v>
      </c>
      <c r="D90" s="76">
        <f>+Passwörter_Agenturen!K111</f>
        <v>0</v>
      </c>
      <c r="E90" s="76" t="str">
        <f>+Passwörter_Agenturen!L111</f>
        <v>007993-201</v>
      </c>
      <c r="F90" s="76">
        <f>+Passwörter_Agenturen!M111</f>
        <v>0</v>
      </c>
      <c r="G90" s="76" t="str">
        <f>+Passwörter_Agenturen!N111</f>
        <v>9104-057</v>
      </c>
      <c r="H90" s="76">
        <f>+Passwörter_Agenturen!P111</f>
        <v>0</v>
      </c>
      <c r="I90" s="76">
        <f>+Passwörter_Agenturen!Q111</f>
        <v>0</v>
      </c>
      <c r="J90" s="76">
        <f>+Passwörter_Agenturen!R111</f>
        <v>0</v>
      </c>
      <c r="K90" s="76">
        <f>+Passwörter_Agenturen!S111</f>
        <v>0</v>
      </c>
      <c r="L90" s="76" t="str">
        <f>+Passwörter_Agenturen!T111</f>
        <v>007993-209; ex 007782-031</v>
      </c>
      <c r="M90" s="76">
        <f>+Passwörter_Agenturen!U111</f>
        <v>0</v>
      </c>
      <c r="N90" s="76">
        <f>+Passwörter_Agenturen!V111</f>
        <v>0</v>
      </c>
      <c r="O90" s="76">
        <f>+Passwörter_Agenturen!W111</f>
        <v>0</v>
      </c>
      <c r="P90" s="76">
        <f>+Passwörter_Agenturen!X111</f>
        <v>0</v>
      </c>
      <c r="Q90" s="76">
        <f>+Passwörter_Agenturen!Y111</f>
        <v>0</v>
      </c>
      <c r="R90" s="76">
        <f>+Passwörter_Agenturen!Z111</f>
        <v>0</v>
      </c>
      <c r="S90" s="76">
        <f>+Passwörter_Agenturen!AA111</f>
        <v>0</v>
      </c>
      <c r="T90" s="76">
        <f>+Passwörter_Agenturen!AB111</f>
        <v>0</v>
      </c>
      <c r="U90" s="76">
        <f>+Passwörter_Agenturen!AC111</f>
        <v>0</v>
      </c>
      <c r="V90" s="76">
        <f>+Passwörter_Agenturen!AD111</f>
        <v>0</v>
      </c>
      <c r="W90" s="76">
        <f>+Passwörter_Agenturen!AE111</f>
        <v>0</v>
      </c>
      <c r="X90" s="76">
        <f>+Passwörter_Agenturen!AF111</f>
        <v>0</v>
      </c>
      <c r="Y90" s="76">
        <f>+Passwörter_Agenturen!AG111</f>
        <v>0</v>
      </c>
      <c r="Z90" s="76">
        <f>+Passwörter_Agenturen!AH111</f>
        <v>0</v>
      </c>
    </row>
    <row r="91" spans="1:26" x14ac:dyDescent="0.25">
      <c r="A91" s="75" t="str">
        <f>+Passwörter_Agenturen!H112</f>
        <v>Hallesche KV</v>
      </c>
      <c r="B91" s="76" t="str">
        <f>+Passwörter_Agenturen!J112</f>
        <v>482367</v>
      </c>
      <c r="C91" s="76" t="str">
        <f>+Passwörter_Agenturen!I112</f>
        <v>160999</v>
      </c>
      <c r="D91" s="76">
        <f>+Passwörter_Agenturen!K112</f>
        <v>0</v>
      </c>
      <c r="E91" s="76">
        <f>+Passwörter_Agenturen!L112</f>
        <v>0</v>
      </c>
      <c r="F91" s="76">
        <f>+Passwörter_Agenturen!M112</f>
        <v>0</v>
      </c>
      <c r="G91" s="76">
        <f>+Passwörter_Agenturen!N112</f>
        <v>0</v>
      </c>
      <c r="H91" s="76">
        <f>+Passwörter_Agenturen!P112</f>
        <v>0</v>
      </c>
      <c r="I91" s="76">
        <f>+Passwörter_Agenturen!Q112</f>
        <v>0</v>
      </c>
      <c r="J91" s="76">
        <f>+Passwörter_Agenturen!R112</f>
        <v>0</v>
      </c>
      <c r="K91" s="76">
        <f>+Passwörter_Agenturen!S112</f>
        <v>0</v>
      </c>
      <c r="L91" s="76">
        <f>+Passwörter_Agenturen!T112</f>
        <v>0</v>
      </c>
      <c r="M91" s="76">
        <f>+Passwörter_Agenturen!U112</f>
        <v>0</v>
      </c>
      <c r="N91" s="76">
        <f>+Passwörter_Agenturen!V112</f>
        <v>0</v>
      </c>
      <c r="O91" s="76">
        <f>+Passwörter_Agenturen!W112</f>
        <v>0</v>
      </c>
      <c r="P91" s="76">
        <f>+Passwörter_Agenturen!X112</f>
        <v>0</v>
      </c>
      <c r="Q91" s="76">
        <f>+Passwörter_Agenturen!Y112</f>
        <v>0</v>
      </c>
      <c r="R91" s="76">
        <f>+Passwörter_Agenturen!Z112</f>
        <v>0</v>
      </c>
      <c r="S91" s="76">
        <f>+Passwörter_Agenturen!AA112</f>
        <v>0</v>
      </c>
      <c r="T91" s="76">
        <f>+Passwörter_Agenturen!AB112</f>
        <v>0</v>
      </c>
      <c r="U91" s="76">
        <f>+Passwörter_Agenturen!AC112</f>
        <v>0</v>
      </c>
      <c r="V91" s="76">
        <f>+Passwörter_Agenturen!AD112</f>
        <v>0</v>
      </c>
      <c r="W91" s="76">
        <f>+Passwörter_Agenturen!AE112</f>
        <v>0</v>
      </c>
      <c r="X91" s="76">
        <f>+Passwörter_Agenturen!AF112</f>
        <v>0</v>
      </c>
      <c r="Y91" s="76">
        <f>+Passwörter_Agenturen!AG112</f>
        <v>0</v>
      </c>
      <c r="Z91" s="76">
        <f>+Passwörter_Agenturen!AH112</f>
        <v>0</v>
      </c>
    </row>
    <row r="92" spans="1:26" x14ac:dyDescent="0.25">
      <c r="A92" s="75" t="str">
        <f>+Passwörter_Agenturen!H114</f>
        <v>Hannoverische Leben / SLP</v>
      </c>
      <c r="B92" s="76" t="str">
        <f>+Passwörter_Agenturen!J114</f>
        <v>VL100142-108</v>
      </c>
      <c r="C92" s="76">
        <f>+Passwörter_Agenturen!I114</f>
        <v>0</v>
      </c>
      <c r="D92" s="76">
        <f>+Passwörter_Agenturen!K114</f>
        <v>0</v>
      </c>
      <c r="E92" s="76">
        <f>+Passwörter_Agenturen!L114</f>
        <v>0</v>
      </c>
      <c r="F92" s="76">
        <f>+Passwörter_Agenturen!M114</f>
        <v>0</v>
      </c>
      <c r="G92" s="76">
        <f>+Passwörter_Agenturen!N114</f>
        <v>0</v>
      </c>
      <c r="H92" s="76">
        <f>+Passwörter_Agenturen!P114</f>
        <v>0</v>
      </c>
      <c r="I92" s="76">
        <f>+Passwörter_Agenturen!Q114</f>
        <v>0</v>
      </c>
      <c r="J92" s="76">
        <f>+Passwörter_Agenturen!R114</f>
        <v>0</v>
      </c>
      <c r="K92" s="76">
        <f>+Passwörter_Agenturen!S114</f>
        <v>0</v>
      </c>
      <c r="L92" s="76">
        <f>+Passwörter_Agenturen!T114</f>
        <v>0</v>
      </c>
      <c r="M92" s="76">
        <f>+Passwörter_Agenturen!U114</f>
        <v>0</v>
      </c>
      <c r="N92" s="76">
        <f>+Passwörter_Agenturen!V114</f>
        <v>0</v>
      </c>
      <c r="O92" s="76">
        <f>+Passwörter_Agenturen!W114</f>
        <v>0</v>
      </c>
      <c r="P92" s="76">
        <f>+Passwörter_Agenturen!X114</f>
        <v>0</v>
      </c>
      <c r="Q92" s="76">
        <f>+Passwörter_Agenturen!Y114</f>
        <v>0</v>
      </c>
      <c r="R92" s="76">
        <f>+Passwörter_Agenturen!Z114</f>
        <v>0</v>
      </c>
      <c r="S92" s="76">
        <f>+Passwörter_Agenturen!AA114</f>
        <v>0</v>
      </c>
      <c r="T92" s="76">
        <f>+Passwörter_Agenturen!AB114</f>
        <v>0</v>
      </c>
      <c r="U92" s="76">
        <f>+Passwörter_Agenturen!AC114</f>
        <v>0</v>
      </c>
      <c r="V92" s="76">
        <f>+Passwörter_Agenturen!AD114</f>
        <v>0</v>
      </c>
      <c r="W92" s="76">
        <f>+Passwörter_Agenturen!AE114</f>
        <v>0</v>
      </c>
      <c r="X92" s="76">
        <f>+Passwörter_Agenturen!AF114</f>
        <v>0</v>
      </c>
      <c r="Y92" s="76">
        <f>+Passwörter_Agenturen!AG114</f>
        <v>0</v>
      </c>
      <c r="Z92" s="76">
        <f>+Passwörter_Agenturen!AH114</f>
        <v>0</v>
      </c>
    </row>
    <row r="93" spans="1:26" x14ac:dyDescent="0.25">
      <c r="A93" s="75" t="str">
        <f>+Passwörter_Agenturen!H115</f>
        <v>Hanse Merkur</v>
      </c>
      <c r="B93" s="76" t="str">
        <f>+Passwörter_Agenturen!J115</f>
        <v>3365483</v>
      </c>
      <c r="C93" s="76">
        <f>+Passwörter_Agenturen!I115</f>
        <v>0</v>
      </c>
      <c r="D93" s="76">
        <f>+Passwörter_Agenturen!K115</f>
        <v>0</v>
      </c>
      <c r="E93" s="76">
        <f>+Passwörter_Agenturen!L115</f>
        <v>0</v>
      </c>
      <c r="F93" s="76">
        <f>+Passwörter_Agenturen!M115</f>
        <v>0</v>
      </c>
      <c r="G93" s="76">
        <f>+Passwörter_Agenturen!N115</f>
        <v>0</v>
      </c>
      <c r="H93" s="76">
        <f>+Passwörter_Agenturen!P115</f>
        <v>0</v>
      </c>
      <c r="I93" s="76">
        <f>+Passwörter_Agenturen!Q115</f>
        <v>0</v>
      </c>
      <c r="J93" s="76">
        <f>+Passwörter_Agenturen!R115</f>
        <v>0</v>
      </c>
      <c r="K93" s="76">
        <f>+Passwörter_Agenturen!S115</f>
        <v>0</v>
      </c>
      <c r="L93" s="76">
        <f>+Passwörter_Agenturen!T115</f>
        <v>0</v>
      </c>
      <c r="M93" s="76">
        <f>+Passwörter_Agenturen!U115</f>
        <v>0</v>
      </c>
      <c r="N93" s="76">
        <f>+Passwörter_Agenturen!V115</f>
        <v>0</v>
      </c>
      <c r="O93" s="76">
        <f>+Passwörter_Agenturen!W115</f>
        <v>0</v>
      </c>
      <c r="P93" s="76">
        <f>+Passwörter_Agenturen!X115</f>
        <v>0</v>
      </c>
      <c r="Q93" s="76">
        <f>+Passwörter_Agenturen!Y115</f>
        <v>0</v>
      </c>
      <c r="R93" s="76">
        <f>+Passwörter_Agenturen!Z115</f>
        <v>0</v>
      </c>
      <c r="S93" s="76">
        <f>+Passwörter_Agenturen!AA115</f>
        <v>0</v>
      </c>
      <c r="T93" s="76">
        <f>+Passwörter_Agenturen!AB115</f>
        <v>0</v>
      </c>
      <c r="U93" s="76">
        <f>+Passwörter_Agenturen!AC115</f>
        <v>0</v>
      </c>
      <c r="V93" s="76">
        <f>+Passwörter_Agenturen!AD115</f>
        <v>0</v>
      </c>
      <c r="W93" s="76">
        <f>+Passwörter_Agenturen!AE115</f>
        <v>0</v>
      </c>
      <c r="X93" s="76">
        <f>+Passwörter_Agenturen!AF115</f>
        <v>0</v>
      </c>
      <c r="Y93" s="76">
        <f>+Passwörter_Agenturen!AG115</f>
        <v>0</v>
      </c>
      <c r="Z93" s="76">
        <f>+Passwörter_Agenturen!AH115</f>
        <v>0</v>
      </c>
    </row>
    <row r="94" spans="1:26" x14ac:dyDescent="0.25">
      <c r="A94" s="75" t="str">
        <f>+Passwörter_Agenturen!H116</f>
        <v>HanseMerkur Kranken</v>
      </c>
      <c r="B94" s="76" t="str">
        <f>+Passwörter_Agenturen!J116</f>
        <v>3365483</v>
      </c>
      <c r="C94" s="76">
        <f>+Passwörter_Agenturen!I116</f>
        <v>0</v>
      </c>
      <c r="D94" s="76">
        <f>+Passwörter_Agenturen!K116</f>
        <v>0</v>
      </c>
      <c r="E94" s="76">
        <f>+Passwörter_Agenturen!L116</f>
        <v>0</v>
      </c>
      <c r="F94" s="76">
        <f>+Passwörter_Agenturen!M116</f>
        <v>0</v>
      </c>
      <c r="G94" s="76">
        <f>+Passwörter_Agenturen!N116</f>
        <v>0</v>
      </c>
      <c r="H94" s="76">
        <f>+Passwörter_Agenturen!P116</f>
        <v>0</v>
      </c>
      <c r="I94" s="76">
        <f>+Passwörter_Agenturen!Q116</f>
        <v>0</v>
      </c>
      <c r="J94" s="76">
        <f>+Passwörter_Agenturen!R116</f>
        <v>0</v>
      </c>
      <c r="K94" s="76">
        <f>+Passwörter_Agenturen!S116</f>
        <v>0</v>
      </c>
      <c r="L94" s="76">
        <f>+Passwörter_Agenturen!T116</f>
        <v>0</v>
      </c>
      <c r="M94" s="76">
        <f>+Passwörter_Agenturen!U116</f>
        <v>0</v>
      </c>
      <c r="N94" s="76">
        <f>+Passwörter_Agenturen!V116</f>
        <v>0</v>
      </c>
      <c r="O94" s="76">
        <f>+Passwörter_Agenturen!W116</f>
        <v>0</v>
      </c>
      <c r="P94" s="76">
        <f>+Passwörter_Agenturen!X116</f>
        <v>0</v>
      </c>
      <c r="Q94" s="76">
        <f>+Passwörter_Agenturen!Y116</f>
        <v>0</v>
      </c>
      <c r="R94" s="76">
        <f>+Passwörter_Agenturen!Z116</f>
        <v>0</v>
      </c>
      <c r="S94" s="76">
        <f>+Passwörter_Agenturen!AA116</f>
        <v>0</v>
      </c>
      <c r="T94" s="76">
        <f>+Passwörter_Agenturen!AB116</f>
        <v>0</v>
      </c>
      <c r="U94" s="76">
        <f>+Passwörter_Agenturen!AC116</f>
        <v>0</v>
      </c>
      <c r="V94" s="76">
        <f>+Passwörter_Agenturen!AD116</f>
        <v>0</v>
      </c>
      <c r="W94" s="76">
        <f>+Passwörter_Agenturen!AE116</f>
        <v>0</v>
      </c>
      <c r="X94" s="76">
        <f>+Passwörter_Agenturen!AF116</f>
        <v>0</v>
      </c>
      <c r="Y94" s="76">
        <f>+Passwörter_Agenturen!AG116</f>
        <v>0</v>
      </c>
      <c r="Z94" s="76">
        <f>+Passwörter_Agenturen!AH116</f>
        <v>0</v>
      </c>
    </row>
    <row r="95" spans="1:26" x14ac:dyDescent="0.25">
      <c r="A95" s="75" t="str">
        <f>+Passwörter_Agenturen!H117</f>
        <v>HanseMerkur Reise</v>
      </c>
      <c r="B95" s="76" t="str">
        <f>+Passwörter_Agenturen!J117</f>
        <v>3365483</v>
      </c>
      <c r="C95" s="76">
        <f>+Passwörter_Agenturen!I117</f>
        <v>0</v>
      </c>
      <c r="D95" s="76">
        <f>+Passwörter_Agenturen!K117</f>
        <v>0</v>
      </c>
      <c r="E95" s="76">
        <f>+Passwörter_Agenturen!L117</f>
        <v>0</v>
      </c>
      <c r="F95" s="76">
        <f>+Passwörter_Agenturen!M117</f>
        <v>0</v>
      </c>
      <c r="G95" s="76">
        <f>+Passwörter_Agenturen!N117</f>
        <v>0</v>
      </c>
      <c r="H95" s="76">
        <f>+Passwörter_Agenturen!P117</f>
        <v>0</v>
      </c>
      <c r="I95" s="76">
        <f>+Passwörter_Agenturen!Q117</f>
        <v>0</v>
      </c>
      <c r="J95" s="76">
        <f>+Passwörter_Agenturen!R117</f>
        <v>0</v>
      </c>
      <c r="K95" s="76">
        <f>+Passwörter_Agenturen!S117</f>
        <v>0</v>
      </c>
      <c r="L95" s="76">
        <f>+Passwörter_Agenturen!T117</f>
        <v>0</v>
      </c>
      <c r="M95" s="76">
        <f>+Passwörter_Agenturen!U117</f>
        <v>0</v>
      </c>
      <c r="N95" s="76">
        <f>+Passwörter_Agenturen!V117</f>
        <v>0</v>
      </c>
      <c r="O95" s="76">
        <f>+Passwörter_Agenturen!W117</f>
        <v>0</v>
      </c>
      <c r="P95" s="76">
        <f>+Passwörter_Agenturen!X117</f>
        <v>0</v>
      </c>
      <c r="Q95" s="76">
        <f>+Passwörter_Agenturen!Y117</f>
        <v>0</v>
      </c>
      <c r="R95" s="76">
        <f>+Passwörter_Agenturen!Z117</f>
        <v>0</v>
      </c>
      <c r="S95" s="76">
        <f>+Passwörter_Agenturen!AA117</f>
        <v>0</v>
      </c>
      <c r="T95" s="76">
        <f>+Passwörter_Agenturen!AB117</f>
        <v>0</v>
      </c>
      <c r="U95" s="76">
        <f>+Passwörter_Agenturen!AC117</f>
        <v>0</v>
      </c>
      <c r="V95" s="76">
        <f>+Passwörter_Agenturen!AD117</f>
        <v>0</v>
      </c>
      <c r="W95" s="76">
        <f>+Passwörter_Agenturen!AE117</f>
        <v>0</v>
      </c>
      <c r="X95" s="76">
        <f>+Passwörter_Agenturen!AF117</f>
        <v>0</v>
      </c>
      <c r="Y95" s="76">
        <f>+Passwörter_Agenturen!AG117</f>
        <v>0</v>
      </c>
      <c r="Z95" s="76">
        <f>+Passwörter_Agenturen!AH117</f>
        <v>0</v>
      </c>
    </row>
    <row r="96" spans="1:26" x14ac:dyDescent="0.25">
      <c r="A96" s="75" t="e">
        <f>+Passwörter_Agenturen!#REF!</f>
        <v>#REF!</v>
      </c>
      <c r="B96" s="76" t="e">
        <f>+Passwörter_Agenturen!#REF!</f>
        <v>#REF!</v>
      </c>
      <c r="C96" s="76" t="e">
        <f>+Passwörter_Agenturen!#REF!</f>
        <v>#REF!</v>
      </c>
      <c r="D96" s="76" t="e">
        <f>+Passwörter_Agenturen!#REF!</f>
        <v>#REF!</v>
      </c>
      <c r="E96" s="76" t="e">
        <f>+Passwörter_Agenturen!#REF!</f>
        <v>#REF!</v>
      </c>
      <c r="F96" s="76" t="e">
        <f>+Passwörter_Agenturen!#REF!</f>
        <v>#REF!</v>
      </c>
      <c r="G96" s="76" t="e">
        <f>+Passwörter_Agenturen!#REF!</f>
        <v>#REF!</v>
      </c>
      <c r="H96" s="76" t="e">
        <f>+Passwörter_Agenturen!#REF!</f>
        <v>#REF!</v>
      </c>
      <c r="I96" s="76" t="e">
        <f>+Passwörter_Agenturen!#REF!</f>
        <v>#REF!</v>
      </c>
      <c r="J96" s="76" t="e">
        <f>+Passwörter_Agenturen!#REF!</f>
        <v>#REF!</v>
      </c>
      <c r="K96" s="76" t="e">
        <f>+Passwörter_Agenturen!#REF!</f>
        <v>#REF!</v>
      </c>
      <c r="L96" s="76" t="e">
        <f>+Passwörter_Agenturen!#REF!</f>
        <v>#REF!</v>
      </c>
      <c r="M96" s="76" t="e">
        <f>+Passwörter_Agenturen!#REF!</f>
        <v>#REF!</v>
      </c>
      <c r="N96" s="76" t="e">
        <f>+Passwörter_Agenturen!#REF!</f>
        <v>#REF!</v>
      </c>
      <c r="O96" s="76" t="e">
        <f>+Passwörter_Agenturen!#REF!</f>
        <v>#REF!</v>
      </c>
      <c r="P96" s="76" t="e">
        <f>+Passwörter_Agenturen!#REF!</f>
        <v>#REF!</v>
      </c>
      <c r="Q96" s="76" t="e">
        <f>+Passwörter_Agenturen!#REF!</f>
        <v>#REF!</v>
      </c>
      <c r="R96" s="76" t="e">
        <f>+Passwörter_Agenturen!#REF!</f>
        <v>#REF!</v>
      </c>
      <c r="S96" s="76" t="e">
        <f>+Passwörter_Agenturen!#REF!</f>
        <v>#REF!</v>
      </c>
      <c r="T96" s="76" t="e">
        <f>+Passwörter_Agenturen!#REF!</f>
        <v>#REF!</v>
      </c>
      <c r="U96" s="76" t="e">
        <f>+Passwörter_Agenturen!#REF!</f>
        <v>#REF!</v>
      </c>
      <c r="V96" s="76" t="e">
        <f>+Passwörter_Agenturen!#REF!</f>
        <v>#REF!</v>
      </c>
      <c r="W96" s="76" t="e">
        <f>+Passwörter_Agenturen!#REF!</f>
        <v>#REF!</v>
      </c>
      <c r="X96" s="76" t="e">
        <f>+Passwörter_Agenturen!#REF!</f>
        <v>#REF!</v>
      </c>
      <c r="Y96" s="76" t="e">
        <f>+Passwörter_Agenturen!#REF!</f>
        <v>#REF!</v>
      </c>
      <c r="Z96" s="76" t="e">
        <f>+Passwörter_Agenturen!#REF!</f>
        <v>#REF!</v>
      </c>
    </row>
    <row r="97" spans="1:26" x14ac:dyDescent="0.25">
      <c r="A97" s="75" t="e">
        <f>+Passwörter_Agenturen!#REF!</f>
        <v>#REF!</v>
      </c>
      <c r="B97" s="76" t="e">
        <f>+Passwörter_Agenturen!#REF!</f>
        <v>#REF!</v>
      </c>
      <c r="C97" s="76" t="e">
        <f>+Passwörter_Agenturen!#REF!</f>
        <v>#REF!</v>
      </c>
      <c r="D97" s="76" t="e">
        <f>+Passwörter_Agenturen!#REF!</f>
        <v>#REF!</v>
      </c>
      <c r="E97" s="76" t="e">
        <f>+Passwörter_Agenturen!#REF!</f>
        <v>#REF!</v>
      </c>
      <c r="F97" s="76" t="e">
        <f>+Passwörter_Agenturen!#REF!</f>
        <v>#REF!</v>
      </c>
      <c r="G97" s="76" t="e">
        <f>+Passwörter_Agenturen!#REF!</f>
        <v>#REF!</v>
      </c>
      <c r="H97" s="76" t="e">
        <f>+Passwörter_Agenturen!#REF!</f>
        <v>#REF!</v>
      </c>
      <c r="I97" s="76" t="e">
        <f>+Passwörter_Agenturen!#REF!</f>
        <v>#REF!</v>
      </c>
      <c r="J97" s="76" t="e">
        <f>+Passwörter_Agenturen!#REF!</f>
        <v>#REF!</v>
      </c>
      <c r="K97" s="76" t="e">
        <f>+Passwörter_Agenturen!#REF!</f>
        <v>#REF!</v>
      </c>
      <c r="L97" s="76" t="e">
        <f>+Passwörter_Agenturen!#REF!</f>
        <v>#REF!</v>
      </c>
      <c r="M97" s="76" t="e">
        <f>+Passwörter_Agenturen!#REF!</f>
        <v>#REF!</v>
      </c>
      <c r="N97" s="76" t="e">
        <f>+Passwörter_Agenturen!#REF!</f>
        <v>#REF!</v>
      </c>
      <c r="O97" s="76" t="e">
        <f>+Passwörter_Agenturen!#REF!</f>
        <v>#REF!</v>
      </c>
      <c r="P97" s="76" t="e">
        <f>+Passwörter_Agenturen!#REF!</f>
        <v>#REF!</v>
      </c>
      <c r="Q97" s="76" t="e">
        <f>+Passwörter_Agenturen!#REF!</f>
        <v>#REF!</v>
      </c>
      <c r="R97" s="76" t="e">
        <f>+Passwörter_Agenturen!#REF!</f>
        <v>#REF!</v>
      </c>
      <c r="S97" s="76" t="e">
        <f>+Passwörter_Agenturen!#REF!</f>
        <v>#REF!</v>
      </c>
      <c r="T97" s="76" t="e">
        <f>+Passwörter_Agenturen!#REF!</f>
        <v>#REF!</v>
      </c>
      <c r="U97" s="76" t="e">
        <f>+Passwörter_Agenturen!#REF!</f>
        <v>#REF!</v>
      </c>
      <c r="V97" s="76" t="e">
        <f>+Passwörter_Agenturen!#REF!</f>
        <v>#REF!</v>
      </c>
      <c r="W97" s="76" t="e">
        <f>+Passwörter_Agenturen!#REF!</f>
        <v>#REF!</v>
      </c>
      <c r="X97" s="76" t="e">
        <f>+Passwörter_Agenturen!#REF!</f>
        <v>#REF!</v>
      </c>
      <c r="Y97" s="76" t="e">
        <f>+Passwörter_Agenturen!#REF!</f>
        <v>#REF!</v>
      </c>
      <c r="Z97" s="76" t="e">
        <f>+Passwörter_Agenturen!#REF!</f>
        <v>#REF!</v>
      </c>
    </row>
    <row r="98" spans="1:26" x14ac:dyDescent="0.25">
      <c r="A98" s="75" t="e">
        <f>+Passwörter_Agenturen!#REF!</f>
        <v>#REF!</v>
      </c>
      <c r="B98" s="76" t="e">
        <f>+Passwörter_Agenturen!#REF!</f>
        <v>#REF!</v>
      </c>
      <c r="C98" s="76" t="e">
        <f>+Passwörter_Agenturen!#REF!</f>
        <v>#REF!</v>
      </c>
      <c r="D98" s="76" t="e">
        <f>+Passwörter_Agenturen!#REF!</f>
        <v>#REF!</v>
      </c>
      <c r="E98" s="76" t="e">
        <f>+Passwörter_Agenturen!#REF!</f>
        <v>#REF!</v>
      </c>
      <c r="F98" s="76" t="e">
        <f>+Passwörter_Agenturen!#REF!</f>
        <v>#REF!</v>
      </c>
      <c r="G98" s="76" t="e">
        <f>+Passwörter_Agenturen!#REF!</f>
        <v>#REF!</v>
      </c>
      <c r="H98" s="76" t="e">
        <f>+Passwörter_Agenturen!#REF!</f>
        <v>#REF!</v>
      </c>
      <c r="I98" s="76" t="e">
        <f>+Passwörter_Agenturen!#REF!</f>
        <v>#REF!</v>
      </c>
      <c r="J98" s="76" t="e">
        <f>+Passwörter_Agenturen!#REF!</f>
        <v>#REF!</v>
      </c>
      <c r="K98" s="76" t="e">
        <f>+Passwörter_Agenturen!#REF!</f>
        <v>#REF!</v>
      </c>
      <c r="L98" s="76" t="e">
        <f>+Passwörter_Agenturen!#REF!</f>
        <v>#REF!</v>
      </c>
      <c r="M98" s="76" t="e">
        <f>+Passwörter_Agenturen!#REF!</f>
        <v>#REF!</v>
      </c>
      <c r="N98" s="76" t="e">
        <f>+Passwörter_Agenturen!#REF!</f>
        <v>#REF!</v>
      </c>
      <c r="O98" s="76" t="e">
        <f>+Passwörter_Agenturen!#REF!</f>
        <v>#REF!</v>
      </c>
      <c r="P98" s="76" t="e">
        <f>+Passwörter_Agenturen!#REF!</f>
        <v>#REF!</v>
      </c>
      <c r="Q98" s="76" t="e">
        <f>+Passwörter_Agenturen!#REF!</f>
        <v>#REF!</v>
      </c>
      <c r="R98" s="76" t="e">
        <f>+Passwörter_Agenturen!#REF!</f>
        <v>#REF!</v>
      </c>
      <c r="S98" s="76" t="e">
        <f>+Passwörter_Agenturen!#REF!</f>
        <v>#REF!</v>
      </c>
      <c r="T98" s="76" t="e">
        <f>+Passwörter_Agenturen!#REF!</f>
        <v>#REF!</v>
      </c>
      <c r="U98" s="76" t="e">
        <f>+Passwörter_Agenturen!#REF!</f>
        <v>#REF!</v>
      </c>
      <c r="V98" s="76" t="e">
        <f>+Passwörter_Agenturen!#REF!</f>
        <v>#REF!</v>
      </c>
      <c r="W98" s="76" t="e">
        <f>+Passwörter_Agenturen!#REF!</f>
        <v>#REF!</v>
      </c>
      <c r="X98" s="76" t="e">
        <f>+Passwörter_Agenturen!#REF!</f>
        <v>#REF!</v>
      </c>
      <c r="Y98" s="76" t="e">
        <f>+Passwörter_Agenturen!#REF!</f>
        <v>#REF!</v>
      </c>
      <c r="Z98" s="76" t="e">
        <f>+Passwörter_Agenturen!#REF!</f>
        <v>#REF!</v>
      </c>
    </row>
    <row r="99" spans="1:26" x14ac:dyDescent="0.25">
      <c r="A99" s="75" t="str">
        <f>+Passwörter_Agenturen!H120</f>
        <v>HDI Leben</v>
      </c>
      <c r="B99" s="76" t="str">
        <f>+Passwörter_Agenturen!J120</f>
        <v>021449</v>
      </c>
      <c r="C99" s="76" t="str">
        <f>+Passwörter_Agenturen!I120</f>
        <v>519080</v>
      </c>
      <c r="D99" s="76">
        <f>+Passwörter_Agenturen!K120</f>
        <v>0</v>
      </c>
      <c r="E99" s="76" t="str">
        <f>+Passwörter_Agenturen!L120</f>
        <v>612601</v>
      </c>
      <c r="F99" s="76">
        <f>+Passwörter_Agenturen!M120</f>
        <v>0</v>
      </c>
      <c r="G99" s="76">
        <f>+Passwörter_Agenturen!N120</f>
        <v>0</v>
      </c>
      <c r="H99" s="76">
        <f>+Passwörter_Agenturen!P120</f>
        <v>0</v>
      </c>
      <c r="I99" s="76">
        <f>+Passwörter_Agenturen!Q120</f>
        <v>0</v>
      </c>
      <c r="J99" s="76">
        <f>+Passwörter_Agenturen!R120</f>
        <v>0</v>
      </c>
      <c r="K99" s="76">
        <f>+Passwörter_Agenturen!S120</f>
        <v>0</v>
      </c>
      <c r="L99" s="76">
        <f>+Passwörter_Agenturen!T120</f>
        <v>0</v>
      </c>
      <c r="M99" s="76">
        <f>+Passwörter_Agenturen!U120</f>
        <v>0</v>
      </c>
      <c r="N99" s="76">
        <f>+Passwörter_Agenturen!V120</f>
        <v>0</v>
      </c>
      <c r="O99" s="76">
        <f>+Passwörter_Agenturen!W120</f>
        <v>0</v>
      </c>
      <c r="P99" s="76">
        <f>+Passwörter_Agenturen!X120</f>
        <v>0</v>
      </c>
      <c r="Q99" s="76">
        <f>+Passwörter_Agenturen!Y120</f>
        <v>0</v>
      </c>
      <c r="R99" s="76">
        <f>+Passwörter_Agenturen!Z120</f>
        <v>0</v>
      </c>
      <c r="S99" s="76">
        <f>+Passwörter_Agenturen!AA120</f>
        <v>0</v>
      </c>
      <c r="T99" s="76">
        <f>+Passwörter_Agenturen!AB120</f>
        <v>0</v>
      </c>
      <c r="U99" s="76">
        <f>+Passwörter_Agenturen!AC120</f>
        <v>0</v>
      </c>
      <c r="V99" s="76">
        <f>+Passwörter_Agenturen!AD120</f>
        <v>0</v>
      </c>
      <c r="W99" s="76">
        <f>+Passwörter_Agenturen!AE120</f>
        <v>0</v>
      </c>
      <c r="X99" s="76" t="str">
        <f>+Passwörter_Agenturen!AF120</f>
        <v>540245</v>
      </c>
      <c r="Y99" s="76">
        <f>+Passwörter_Agenturen!AG120</f>
        <v>0</v>
      </c>
      <c r="Z99" s="76">
        <f>+Passwörter_Agenturen!AH120</f>
        <v>0</v>
      </c>
    </row>
    <row r="100" spans="1:26" x14ac:dyDescent="0.25">
      <c r="A100" s="75" t="str">
        <f>+Passwörter_Agenturen!H121</f>
        <v>HDI Sach</v>
      </c>
      <c r="B100" s="76" t="str">
        <f>+Passwörter_Agenturen!J121</f>
        <v>203-44780</v>
      </c>
      <c r="C100" s="76" t="str">
        <f>+Passwörter_Agenturen!I121</f>
        <v>2020002410</v>
      </c>
      <c r="D100" s="76">
        <f>+Passwörter_Agenturen!K121</f>
        <v>0</v>
      </c>
      <c r="E100" s="76">
        <f>+Passwörter_Agenturen!L121</f>
        <v>0</v>
      </c>
      <c r="F100" s="76">
        <f>+Passwörter_Agenturen!M121</f>
        <v>0</v>
      </c>
      <c r="G100" s="76">
        <f>+Passwörter_Agenturen!N121</f>
        <v>0</v>
      </c>
      <c r="H100" s="76">
        <f>+Passwörter_Agenturen!P121</f>
        <v>0</v>
      </c>
      <c r="I100" s="76">
        <f>+Passwörter_Agenturen!Q121</f>
        <v>0</v>
      </c>
      <c r="J100" s="76">
        <f>+Passwörter_Agenturen!R121</f>
        <v>0</v>
      </c>
      <c r="K100" s="76">
        <f>+Passwörter_Agenturen!S121</f>
        <v>0</v>
      </c>
      <c r="L100" s="76">
        <f>+Passwörter_Agenturen!T121</f>
        <v>0</v>
      </c>
      <c r="M100" s="76">
        <f>+Passwörter_Agenturen!U121</f>
        <v>0</v>
      </c>
      <c r="N100" s="76">
        <f>+Passwörter_Agenturen!V121</f>
        <v>0</v>
      </c>
      <c r="O100" s="76">
        <f>+Passwörter_Agenturen!W121</f>
        <v>0</v>
      </c>
      <c r="P100" s="76">
        <f>+Passwörter_Agenturen!X121</f>
        <v>0</v>
      </c>
      <c r="Q100" s="76">
        <f>+Passwörter_Agenturen!Y121</f>
        <v>0</v>
      </c>
      <c r="R100" s="76">
        <f>+Passwörter_Agenturen!Z121</f>
        <v>0</v>
      </c>
      <c r="S100" s="76">
        <f>+Passwörter_Agenturen!AA121</f>
        <v>0</v>
      </c>
      <c r="T100" s="76">
        <f>+Passwörter_Agenturen!AB121</f>
        <v>0</v>
      </c>
      <c r="U100" s="76">
        <f>+Passwörter_Agenturen!AC121</f>
        <v>0</v>
      </c>
      <c r="V100" s="76">
        <f>+Passwörter_Agenturen!AD121</f>
        <v>0</v>
      </c>
      <c r="W100" s="76">
        <f>+Passwörter_Agenturen!AE121</f>
        <v>0</v>
      </c>
      <c r="X100" s="76">
        <f>+Passwörter_Agenturen!AF121</f>
        <v>0</v>
      </c>
      <c r="Y100" s="76">
        <f>+Passwörter_Agenturen!AG121</f>
        <v>0</v>
      </c>
      <c r="Z100" s="76">
        <f>+Passwörter_Agenturen!AH121</f>
        <v>0</v>
      </c>
    </row>
    <row r="101" spans="1:26" x14ac:dyDescent="0.25">
      <c r="A101" s="75" t="str">
        <f>+Passwörter_Agenturen!H122</f>
        <v>HEK Hanseatische Krankenkasse</v>
      </c>
      <c r="B101" s="76" t="str">
        <f>+Passwörter_Agenturen!J122</f>
        <v>700 1606 741</v>
      </c>
      <c r="C101" s="76">
        <f>+Passwörter_Agenturen!I122</f>
        <v>0</v>
      </c>
      <c r="D101" s="76">
        <f>+Passwörter_Agenturen!K122</f>
        <v>0</v>
      </c>
      <c r="E101" s="76">
        <f>+Passwörter_Agenturen!L122</f>
        <v>0</v>
      </c>
      <c r="F101" s="76">
        <f>+Passwörter_Agenturen!M122</f>
        <v>0</v>
      </c>
      <c r="G101" s="76">
        <f>+Passwörter_Agenturen!N122</f>
        <v>0</v>
      </c>
      <c r="H101" s="76">
        <f>+Passwörter_Agenturen!P122</f>
        <v>0</v>
      </c>
      <c r="I101" s="76">
        <f>+Passwörter_Agenturen!Q122</f>
        <v>0</v>
      </c>
      <c r="J101" s="76">
        <f>+Passwörter_Agenturen!R122</f>
        <v>0</v>
      </c>
      <c r="K101" s="76">
        <f>+Passwörter_Agenturen!S122</f>
        <v>0</v>
      </c>
      <c r="L101" s="76">
        <f>+Passwörter_Agenturen!T122</f>
        <v>0</v>
      </c>
      <c r="M101" s="76">
        <f>+Passwörter_Agenturen!U122</f>
        <v>0</v>
      </c>
      <c r="N101" s="76">
        <f>+Passwörter_Agenturen!V122</f>
        <v>0</v>
      </c>
      <c r="O101" s="76">
        <f>+Passwörter_Agenturen!W122</f>
        <v>0</v>
      </c>
      <c r="P101" s="76">
        <f>+Passwörter_Agenturen!X122</f>
        <v>0</v>
      </c>
      <c r="Q101" s="76">
        <f>+Passwörter_Agenturen!Y122</f>
        <v>0</v>
      </c>
      <c r="R101" s="76">
        <f>+Passwörter_Agenturen!Z122</f>
        <v>0</v>
      </c>
      <c r="S101" s="76">
        <f>+Passwörter_Agenturen!AA122</f>
        <v>0</v>
      </c>
      <c r="T101" s="76">
        <f>+Passwörter_Agenturen!AB122</f>
        <v>0</v>
      </c>
      <c r="U101" s="76">
        <f>+Passwörter_Agenturen!AC122</f>
        <v>0</v>
      </c>
      <c r="V101" s="76">
        <f>+Passwörter_Agenturen!AD122</f>
        <v>0</v>
      </c>
      <c r="W101" s="76">
        <f>+Passwörter_Agenturen!AE122</f>
        <v>0</v>
      </c>
      <c r="X101" s="76">
        <f>+Passwörter_Agenturen!AF122</f>
        <v>0</v>
      </c>
      <c r="Y101" s="76">
        <f>+Passwörter_Agenturen!AG122</f>
        <v>0</v>
      </c>
      <c r="Z101" s="76">
        <f>+Passwörter_Agenturen!AH122</f>
        <v>0</v>
      </c>
    </row>
    <row r="102" spans="1:26" x14ac:dyDescent="0.25">
      <c r="A102" s="75" t="str">
        <f>+Passwörter_Agenturen!H124</f>
        <v>Hiscox (Anglo)</v>
      </c>
      <c r="B102" s="76">
        <f>+Passwörter_Agenturen!J124</f>
        <v>0</v>
      </c>
      <c r="C102" s="76" t="str">
        <f>+Passwörter_Agenturen!I124</f>
        <v>98530</v>
      </c>
      <c r="D102" s="76">
        <f>+Passwörter_Agenturen!K124</f>
        <v>0</v>
      </c>
      <c r="E102" s="76">
        <f>+Passwörter_Agenturen!L124</f>
        <v>0</v>
      </c>
      <c r="F102" s="76">
        <f>+Passwörter_Agenturen!M124</f>
        <v>0</v>
      </c>
      <c r="G102" s="76">
        <f>+Passwörter_Agenturen!N124</f>
        <v>0</v>
      </c>
      <c r="H102" s="76">
        <f>+Passwörter_Agenturen!P124</f>
        <v>0</v>
      </c>
      <c r="I102" s="76">
        <f>+Passwörter_Agenturen!Q124</f>
        <v>0</v>
      </c>
      <c r="J102" s="76">
        <f>+Passwörter_Agenturen!R124</f>
        <v>0</v>
      </c>
      <c r="K102" s="76">
        <f>+Passwörter_Agenturen!S124</f>
        <v>0</v>
      </c>
      <c r="L102" s="76">
        <f>+Passwörter_Agenturen!T124</f>
        <v>0</v>
      </c>
      <c r="M102" s="76">
        <f>+Passwörter_Agenturen!U124</f>
        <v>0</v>
      </c>
      <c r="N102" s="76">
        <f>+Passwörter_Agenturen!V124</f>
        <v>0</v>
      </c>
      <c r="O102" s="76">
        <f>+Passwörter_Agenturen!W124</f>
        <v>0</v>
      </c>
      <c r="P102" s="76">
        <f>+Passwörter_Agenturen!X124</f>
        <v>0</v>
      </c>
      <c r="Q102" s="76">
        <f>+Passwörter_Agenturen!Y124</f>
        <v>0</v>
      </c>
      <c r="R102" s="76">
        <f>+Passwörter_Agenturen!Z124</f>
        <v>0</v>
      </c>
      <c r="S102" s="76">
        <f>+Passwörter_Agenturen!AA124</f>
        <v>0</v>
      </c>
      <c r="T102" s="76">
        <f>+Passwörter_Agenturen!AB124</f>
        <v>0</v>
      </c>
      <c r="U102" s="76">
        <f>+Passwörter_Agenturen!AC124</f>
        <v>0</v>
      </c>
      <c r="V102" s="76">
        <f>+Passwörter_Agenturen!AD124</f>
        <v>0</v>
      </c>
      <c r="W102" s="76">
        <f>+Passwörter_Agenturen!AE124</f>
        <v>0</v>
      </c>
      <c r="X102" s="76">
        <f>+Passwörter_Agenturen!AF124</f>
        <v>0</v>
      </c>
      <c r="Y102" s="76">
        <f>+Passwörter_Agenturen!AG124</f>
        <v>0</v>
      </c>
      <c r="Z102" s="76">
        <f>+Passwörter_Agenturen!AH124</f>
        <v>0</v>
      </c>
    </row>
    <row r="103" spans="1:26" x14ac:dyDescent="0.25">
      <c r="A103" s="75" t="str">
        <f>+Passwörter_Agenturen!H125</f>
        <v>Hübener</v>
      </c>
      <c r="B103" s="76" t="str">
        <f>+Passwörter_Agenturen!J125</f>
        <v>V09852</v>
      </c>
      <c r="C103" s="76">
        <f>+Passwörter_Agenturen!I125</f>
        <v>0</v>
      </c>
      <c r="D103" s="76">
        <f>+Passwörter_Agenturen!K125</f>
        <v>0</v>
      </c>
      <c r="E103" s="76">
        <f>+Passwörter_Agenturen!L125</f>
        <v>0</v>
      </c>
      <c r="F103" s="76">
        <f>+Passwörter_Agenturen!M125</f>
        <v>0</v>
      </c>
      <c r="G103" s="76">
        <f>+Passwörter_Agenturen!N125</f>
        <v>0</v>
      </c>
      <c r="H103" s="76">
        <f>+Passwörter_Agenturen!P125</f>
        <v>0</v>
      </c>
      <c r="I103" s="76">
        <f>+Passwörter_Agenturen!Q125</f>
        <v>0</v>
      </c>
      <c r="J103" s="76">
        <f>+Passwörter_Agenturen!R125</f>
        <v>0</v>
      </c>
      <c r="K103" s="76">
        <f>+Passwörter_Agenturen!S125</f>
        <v>0</v>
      </c>
      <c r="L103" s="76">
        <f>+Passwörter_Agenturen!T125</f>
        <v>0</v>
      </c>
      <c r="M103" s="76">
        <f>+Passwörter_Agenturen!U125</f>
        <v>0</v>
      </c>
      <c r="N103" s="76">
        <f>+Passwörter_Agenturen!V125</f>
        <v>0</v>
      </c>
      <c r="O103" s="76">
        <f>+Passwörter_Agenturen!W125</f>
        <v>0</v>
      </c>
      <c r="P103" s="76">
        <f>+Passwörter_Agenturen!X125</f>
        <v>0</v>
      </c>
      <c r="Q103" s="76">
        <f>+Passwörter_Agenturen!Y125</f>
        <v>0</v>
      </c>
      <c r="R103" s="76">
        <f>+Passwörter_Agenturen!Z125</f>
        <v>0</v>
      </c>
      <c r="S103" s="76">
        <f>+Passwörter_Agenturen!AA125</f>
        <v>0</v>
      </c>
      <c r="T103" s="76">
        <f>+Passwörter_Agenturen!AB125</f>
        <v>0</v>
      </c>
      <c r="U103" s="76">
        <f>+Passwörter_Agenturen!AC125</f>
        <v>0</v>
      </c>
      <c r="V103" s="76">
        <f>+Passwörter_Agenturen!AD125</f>
        <v>0</v>
      </c>
      <c r="W103" s="76">
        <f>+Passwörter_Agenturen!AE125</f>
        <v>0</v>
      </c>
      <c r="X103" s="76">
        <f>+Passwörter_Agenturen!AF125</f>
        <v>0</v>
      </c>
      <c r="Y103" s="76">
        <f>+Passwörter_Agenturen!AG125</f>
        <v>0</v>
      </c>
      <c r="Z103" s="76">
        <f>+Passwörter_Agenturen!AH125</f>
        <v>0</v>
      </c>
    </row>
    <row r="104" spans="1:26" x14ac:dyDescent="0.25">
      <c r="A104" s="75" t="str">
        <f>+Passwörter_Agenturen!H127</f>
        <v>Ideenwerk</v>
      </c>
      <c r="B104" s="76">
        <f>+Passwörter_Agenturen!J127</f>
        <v>0</v>
      </c>
      <c r="C104" s="76">
        <f>+Passwörter_Agenturen!I127</f>
        <v>0</v>
      </c>
      <c r="D104" s="76">
        <f>+Passwörter_Agenturen!K127</f>
        <v>0</v>
      </c>
      <c r="E104" s="76">
        <f>+Passwörter_Agenturen!L127</f>
        <v>0</v>
      </c>
      <c r="F104" s="76">
        <f>+Passwörter_Agenturen!M127</f>
        <v>0</v>
      </c>
      <c r="G104" s="76">
        <f>+Passwörter_Agenturen!N127</f>
        <v>0</v>
      </c>
      <c r="H104" s="76">
        <f>+Passwörter_Agenturen!P127</f>
        <v>0</v>
      </c>
      <c r="I104" s="76">
        <f>+Passwörter_Agenturen!Q127</f>
        <v>0</v>
      </c>
      <c r="J104" s="76">
        <f>+Passwörter_Agenturen!R127</f>
        <v>0</v>
      </c>
      <c r="K104" s="76">
        <f>+Passwörter_Agenturen!S127</f>
        <v>0</v>
      </c>
      <c r="L104" s="76">
        <f>+Passwörter_Agenturen!T127</f>
        <v>0</v>
      </c>
      <c r="M104" s="76">
        <f>+Passwörter_Agenturen!U127</f>
        <v>0</v>
      </c>
      <c r="N104" s="76">
        <f>+Passwörter_Agenturen!V127</f>
        <v>0</v>
      </c>
      <c r="O104" s="76">
        <f>+Passwörter_Agenturen!W127</f>
        <v>0</v>
      </c>
      <c r="P104" s="76">
        <f>+Passwörter_Agenturen!X127</f>
        <v>0</v>
      </c>
      <c r="Q104" s="76">
        <f>+Passwörter_Agenturen!Y127</f>
        <v>0</v>
      </c>
      <c r="R104" s="76">
        <f>+Passwörter_Agenturen!Z127</f>
        <v>0</v>
      </c>
      <c r="S104" s="76">
        <f>+Passwörter_Agenturen!AA127</f>
        <v>0</v>
      </c>
      <c r="T104" s="76">
        <f>+Passwörter_Agenturen!AB127</f>
        <v>0</v>
      </c>
      <c r="U104" s="76">
        <f>+Passwörter_Agenturen!AC127</f>
        <v>0</v>
      </c>
      <c r="V104" s="76">
        <f>+Passwörter_Agenturen!AD127</f>
        <v>0</v>
      </c>
      <c r="W104" s="76">
        <f>+Passwörter_Agenturen!AE127</f>
        <v>0</v>
      </c>
      <c r="X104" s="76">
        <f>+Passwörter_Agenturen!AF127</f>
        <v>0</v>
      </c>
      <c r="Y104" s="76">
        <f>+Passwörter_Agenturen!AG127</f>
        <v>0</v>
      </c>
      <c r="Z104" s="76">
        <f>+Passwörter_Agenturen!AH127</f>
        <v>0</v>
      </c>
    </row>
    <row r="105" spans="1:26" x14ac:dyDescent="0.25">
      <c r="A105" s="75" t="str">
        <f>+Passwörter_Agenturen!H128</f>
        <v>Inter</v>
      </c>
      <c r="B105" s="76" t="str">
        <f>+Passwörter_Agenturen!J128</f>
        <v>568063</v>
      </c>
      <c r="C105" s="76" t="str">
        <f>+Passwörter_Agenturen!I128</f>
        <v>568063</v>
      </c>
      <c r="D105" s="76">
        <f>+Passwörter_Agenturen!K128</f>
        <v>0</v>
      </c>
      <c r="E105" s="76">
        <f>+Passwörter_Agenturen!L128</f>
        <v>0</v>
      </c>
      <c r="F105" s="76">
        <f>+Passwörter_Agenturen!M128</f>
        <v>0</v>
      </c>
      <c r="G105" s="76">
        <f>+Passwörter_Agenturen!N128</f>
        <v>0</v>
      </c>
      <c r="H105" s="76">
        <f>+Passwörter_Agenturen!P128</f>
        <v>0</v>
      </c>
      <c r="I105" s="76">
        <f>+Passwörter_Agenturen!Q128</f>
        <v>0</v>
      </c>
      <c r="J105" s="76">
        <f>+Passwörter_Agenturen!R128</f>
        <v>0</v>
      </c>
      <c r="K105" s="76">
        <f>+Passwörter_Agenturen!S128</f>
        <v>0</v>
      </c>
      <c r="L105" s="76">
        <f>+Passwörter_Agenturen!T128</f>
        <v>0</v>
      </c>
      <c r="M105" s="76">
        <f>+Passwörter_Agenturen!U128</f>
        <v>0</v>
      </c>
      <c r="N105" s="76">
        <f>+Passwörter_Agenturen!V128</f>
        <v>0</v>
      </c>
      <c r="O105" s="76">
        <f>+Passwörter_Agenturen!W128</f>
        <v>0</v>
      </c>
      <c r="P105" s="76">
        <f>+Passwörter_Agenturen!X128</f>
        <v>0</v>
      </c>
      <c r="Q105" s="76">
        <f>+Passwörter_Agenturen!Y128</f>
        <v>0</v>
      </c>
      <c r="R105" s="76">
        <f>+Passwörter_Agenturen!Z128</f>
        <v>0</v>
      </c>
      <c r="S105" s="76">
        <f>+Passwörter_Agenturen!AA128</f>
        <v>0</v>
      </c>
      <c r="T105" s="76">
        <f>+Passwörter_Agenturen!AB128</f>
        <v>0</v>
      </c>
      <c r="U105" s="76">
        <f>+Passwörter_Agenturen!AC128</f>
        <v>0</v>
      </c>
      <c r="V105" s="76">
        <f>+Passwörter_Agenturen!AD128</f>
        <v>0</v>
      </c>
      <c r="W105" s="76">
        <f>+Passwörter_Agenturen!AE128</f>
        <v>0</v>
      </c>
      <c r="X105" s="76">
        <f>+Passwörter_Agenturen!AF128</f>
        <v>0</v>
      </c>
      <c r="Y105" s="76">
        <f>+Passwörter_Agenturen!AG128</f>
        <v>0</v>
      </c>
      <c r="Z105" s="76">
        <f>+Passwörter_Agenturen!AH128</f>
        <v>0</v>
      </c>
    </row>
    <row r="106" spans="1:26" x14ac:dyDescent="0.25">
      <c r="A106" s="75" t="str">
        <f>+Passwörter_Agenturen!H129</f>
        <v>Interlloyd</v>
      </c>
      <c r="B106" s="76" t="str">
        <f>+Passwörter_Agenturen!J129</f>
        <v>79852707</v>
      </c>
      <c r="C106" s="76" t="str">
        <f>+Passwörter_Agenturen!I129</f>
        <v>7V9852707</v>
      </c>
      <c r="D106" s="76">
        <f>+Passwörter_Agenturen!K129</f>
        <v>0</v>
      </c>
      <c r="E106" s="76">
        <f>+Passwörter_Agenturen!L129</f>
        <v>0</v>
      </c>
      <c r="F106" s="76">
        <f>+Passwörter_Agenturen!M129</f>
        <v>0</v>
      </c>
      <c r="G106" s="76">
        <f>+Passwörter_Agenturen!N129</f>
        <v>0</v>
      </c>
      <c r="H106" s="76">
        <f>+Passwörter_Agenturen!P129</f>
        <v>0</v>
      </c>
      <c r="I106" s="76">
        <f>+Passwörter_Agenturen!Q129</f>
        <v>0</v>
      </c>
      <c r="J106" s="76">
        <f>+Passwörter_Agenturen!R129</f>
        <v>0</v>
      </c>
      <c r="K106" s="76">
        <f>+Passwörter_Agenturen!S129</f>
        <v>0</v>
      </c>
      <c r="L106" s="76">
        <f>+Passwörter_Agenturen!T129</f>
        <v>0</v>
      </c>
      <c r="M106" s="76">
        <f>+Passwörter_Agenturen!U129</f>
        <v>0</v>
      </c>
      <c r="N106" s="76">
        <f>+Passwörter_Agenturen!V129</f>
        <v>0</v>
      </c>
      <c r="O106" s="76">
        <f>+Passwörter_Agenturen!W129</f>
        <v>0</v>
      </c>
      <c r="P106" s="76">
        <f>+Passwörter_Agenturen!X129</f>
        <v>0</v>
      </c>
      <c r="Q106" s="76">
        <f>+Passwörter_Agenturen!Y129</f>
        <v>0</v>
      </c>
      <c r="R106" s="76">
        <f>+Passwörter_Agenturen!Z129</f>
        <v>0</v>
      </c>
      <c r="S106" s="76">
        <f>+Passwörter_Agenturen!AA129</f>
        <v>0</v>
      </c>
      <c r="T106" s="76">
        <f>+Passwörter_Agenturen!AB129</f>
        <v>0</v>
      </c>
      <c r="U106" s="76">
        <f>+Passwörter_Agenturen!AC129</f>
        <v>0</v>
      </c>
      <c r="V106" s="76">
        <f>+Passwörter_Agenturen!AD129</f>
        <v>0</v>
      </c>
      <c r="W106" s="76">
        <f>+Passwörter_Agenturen!AE129</f>
        <v>0</v>
      </c>
      <c r="X106" s="76">
        <f>+Passwörter_Agenturen!AF129</f>
        <v>0</v>
      </c>
      <c r="Y106" s="76">
        <f>+Passwörter_Agenturen!AG129</f>
        <v>0</v>
      </c>
      <c r="Z106" s="76">
        <f>+Passwörter_Agenturen!AH129</f>
        <v>0</v>
      </c>
    </row>
    <row r="107" spans="1:26" x14ac:dyDescent="0.25">
      <c r="A107" s="75" t="str">
        <f>+Passwörter_Agenturen!H130</f>
        <v>InterRisk LV</v>
      </c>
      <c r="B107" s="76">
        <f>+Passwörter_Agenturen!J130</f>
        <v>28632</v>
      </c>
      <c r="C107" s="76" t="str">
        <f>+Passwörter_Agenturen!I130</f>
        <v>28632</v>
      </c>
      <c r="D107" s="76">
        <f>+Passwörter_Agenturen!K130</f>
        <v>0</v>
      </c>
      <c r="E107" s="76">
        <f>+Passwörter_Agenturen!L130</f>
        <v>0</v>
      </c>
      <c r="F107" s="76">
        <f>+Passwörter_Agenturen!M130</f>
        <v>0</v>
      </c>
      <c r="G107" s="76">
        <f>+Passwörter_Agenturen!N130</f>
        <v>0</v>
      </c>
      <c r="H107" s="76">
        <f>+Passwörter_Agenturen!P130</f>
        <v>0</v>
      </c>
      <c r="I107" s="76">
        <f>+Passwörter_Agenturen!Q130</f>
        <v>0</v>
      </c>
      <c r="J107" s="76">
        <f>+Passwörter_Agenturen!R130</f>
        <v>0</v>
      </c>
      <c r="K107" s="76">
        <f>+Passwörter_Agenturen!S130</f>
        <v>0</v>
      </c>
      <c r="L107" s="76">
        <f>+Passwörter_Agenturen!T130</f>
        <v>0</v>
      </c>
      <c r="M107" s="76">
        <f>+Passwörter_Agenturen!U130</f>
        <v>0</v>
      </c>
      <c r="N107" s="76">
        <f>+Passwörter_Agenturen!V130</f>
        <v>0</v>
      </c>
      <c r="O107" s="76">
        <f>+Passwörter_Agenturen!W130</f>
        <v>0</v>
      </c>
      <c r="P107" s="76">
        <f>+Passwörter_Agenturen!X130</f>
        <v>0</v>
      </c>
      <c r="Q107" s="76">
        <f>+Passwörter_Agenturen!Y130</f>
        <v>0</v>
      </c>
      <c r="R107" s="76">
        <f>+Passwörter_Agenturen!Z130</f>
        <v>0</v>
      </c>
      <c r="S107" s="76">
        <f>+Passwörter_Agenturen!AA130</f>
        <v>0</v>
      </c>
      <c r="T107" s="76">
        <f>+Passwörter_Agenturen!AB130</f>
        <v>0</v>
      </c>
      <c r="U107" s="76">
        <f>+Passwörter_Agenturen!AC130</f>
        <v>0</v>
      </c>
      <c r="V107" s="76">
        <f>+Passwörter_Agenturen!AD130</f>
        <v>0</v>
      </c>
      <c r="W107" s="76">
        <f>+Passwörter_Agenturen!AE130</f>
        <v>0</v>
      </c>
      <c r="X107" s="76">
        <f>+Passwörter_Agenturen!AF130</f>
        <v>0</v>
      </c>
      <c r="Y107" s="76">
        <f>+Passwörter_Agenturen!AG130</f>
        <v>0</v>
      </c>
      <c r="Z107" s="76">
        <f>+Passwörter_Agenturen!AH130</f>
        <v>0</v>
      </c>
    </row>
    <row r="108" spans="1:26" x14ac:dyDescent="0.25">
      <c r="A108" s="75" t="str">
        <f>+Passwörter_Agenturen!H131</f>
        <v>InterRisk Sach</v>
      </c>
      <c r="B108" s="76" t="str">
        <f>+Passwörter_Agenturen!J131</f>
        <v>7171692 (5699320)</v>
      </c>
      <c r="C108" s="76" t="str">
        <f>+Passwörter_Agenturen!I131</f>
        <v>7171692</v>
      </c>
      <c r="D108" s="76">
        <f>+Passwörter_Agenturen!K131</f>
        <v>0</v>
      </c>
      <c r="E108" s="76" t="str">
        <f>+Passwörter_Agenturen!L131</f>
        <v>5699320</v>
      </c>
      <c r="F108" s="76">
        <f>+Passwörter_Agenturen!M131</f>
        <v>0</v>
      </c>
      <c r="G108" s="76">
        <f>+Passwörter_Agenturen!N131</f>
        <v>0</v>
      </c>
      <c r="H108" s="76">
        <f>+Passwörter_Agenturen!P131</f>
        <v>0</v>
      </c>
      <c r="I108" s="76">
        <f>+Passwörter_Agenturen!Q131</f>
        <v>0</v>
      </c>
      <c r="J108" s="76">
        <f>+Passwörter_Agenturen!R131</f>
        <v>0</v>
      </c>
      <c r="K108" s="76">
        <f>+Passwörter_Agenturen!S131</f>
        <v>0</v>
      </c>
      <c r="L108" s="76">
        <f>+Passwörter_Agenturen!T131</f>
        <v>0</v>
      </c>
      <c r="M108" s="76">
        <f>+Passwörter_Agenturen!U131</f>
        <v>0</v>
      </c>
      <c r="N108" s="76">
        <f>+Passwörter_Agenturen!V131</f>
        <v>0</v>
      </c>
      <c r="O108" s="76">
        <f>+Passwörter_Agenturen!W131</f>
        <v>0</v>
      </c>
      <c r="P108" s="76">
        <f>+Passwörter_Agenturen!X131</f>
        <v>0</v>
      </c>
      <c r="Q108" s="76">
        <f>+Passwörter_Agenturen!Y131</f>
        <v>0</v>
      </c>
      <c r="R108" s="76">
        <f>+Passwörter_Agenturen!Z131</f>
        <v>0</v>
      </c>
      <c r="S108" s="76">
        <f>+Passwörter_Agenturen!AA131</f>
        <v>0</v>
      </c>
      <c r="T108" s="76">
        <f>+Passwörter_Agenturen!AB131</f>
        <v>0</v>
      </c>
      <c r="U108" s="76">
        <f>+Passwörter_Agenturen!AC131</f>
        <v>0</v>
      </c>
      <c r="V108" s="76">
        <f>+Passwörter_Agenturen!AD131</f>
        <v>0</v>
      </c>
      <c r="W108" s="76">
        <f>+Passwörter_Agenturen!AE131</f>
        <v>0</v>
      </c>
      <c r="X108" s="76" t="str">
        <f>+Passwörter_Agenturen!AF131</f>
        <v>7378491</v>
      </c>
      <c r="Y108" s="76">
        <f>+Passwörter_Agenturen!AG131</f>
        <v>0</v>
      </c>
      <c r="Z108" s="76" t="s">
        <v>1229</v>
      </c>
    </row>
    <row r="109" spans="1:26" x14ac:dyDescent="0.25">
      <c r="A109" s="75" t="str">
        <f>+Passwörter_Agenturen!H132</f>
        <v>Invers</v>
      </c>
      <c r="B109" s="76">
        <f>+Passwörter_Agenturen!J132</f>
        <v>0</v>
      </c>
      <c r="C109" s="76">
        <f>+Passwörter_Agenturen!I132</f>
        <v>0</v>
      </c>
      <c r="D109" s="76">
        <f>+Passwörter_Agenturen!K132</f>
        <v>0</v>
      </c>
      <c r="E109" s="76">
        <f>+Passwörter_Agenturen!L132</f>
        <v>0</v>
      </c>
      <c r="F109" s="76">
        <f>+Passwörter_Agenturen!M132</f>
        <v>0</v>
      </c>
      <c r="G109" s="76">
        <f>+Passwörter_Agenturen!N132</f>
        <v>0</v>
      </c>
      <c r="H109" s="76">
        <f>+Passwörter_Agenturen!P132</f>
        <v>0</v>
      </c>
      <c r="I109" s="76">
        <f>+Passwörter_Agenturen!Q132</f>
        <v>0</v>
      </c>
      <c r="J109" s="76">
        <f>+Passwörter_Agenturen!R132</f>
        <v>0</v>
      </c>
      <c r="K109" s="76">
        <f>+Passwörter_Agenturen!S132</f>
        <v>0</v>
      </c>
      <c r="L109" s="76">
        <f>+Passwörter_Agenturen!T132</f>
        <v>0</v>
      </c>
      <c r="M109" s="76">
        <f>+Passwörter_Agenturen!U132</f>
        <v>0</v>
      </c>
      <c r="N109" s="76">
        <f>+Passwörter_Agenturen!V132</f>
        <v>0</v>
      </c>
      <c r="O109" s="76">
        <f>+Passwörter_Agenturen!W132</f>
        <v>0</v>
      </c>
      <c r="P109" s="76">
        <f>+Passwörter_Agenturen!X132</f>
        <v>0</v>
      </c>
      <c r="Q109" s="76">
        <f>+Passwörter_Agenturen!Y132</f>
        <v>0</v>
      </c>
      <c r="R109" s="76">
        <f>+Passwörter_Agenturen!Z132</f>
        <v>0</v>
      </c>
      <c r="S109" s="76">
        <f>+Passwörter_Agenturen!AA132</f>
        <v>0</v>
      </c>
      <c r="T109" s="76">
        <f>+Passwörter_Agenturen!AB132</f>
        <v>0</v>
      </c>
      <c r="U109" s="76">
        <f>+Passwörter_Agenturen!AC132</f>
        <v>0</v>
      </c>
      <c r="V109" s="76">
        <f>+Passwörter_Agenturen!AD132</f>
        <v>0</v>
      </c>
      <c r="W109" s="76">
        <f>+Passwörter_Agenturen!AE132</f>
        <v>0</v>
      </c>
      <c r="X109" s="76">
        <f>+Passwörter_Agenturen!AF132</f>
        <v>0</v>
      </c>
      <c r="Y109" s="76">
        <f>+Passwörter_Agenturen!AG132</f>
        <v>0</v>
      </c>
      <c r="Z109" s="76">
        <f>+Passwörter_Agenturen!AH132</f>
        <v>0</v>
      </c>
    </row>
    <row r="110" spans="1:26" x14ac:dyDescent="0.25">
      <c r="A110" s="75" t="str">
        <f>+Passwörter_Agenturen!H133</f>
        <v>Invers</v>
      </c>
      <c r="B110" s="76">
        <f>+Passwörter_Agenturen!J133</f>
        <v>0</v>
      </c>
      <c r="C110" s="76">
        <f>+Passwörter_Agenturen!I133</f>
        <v>0</v>
      </c>
      <c r="D110" s="76">
        <f>+Passwörter_Agenturen!K133</f>
        <v>0</v>
      </c>
      <c r="E110" s="76">
        <f>+Passwörter_Agenturen!L133</f>
        <v>0</v>
      </c>
      <c r="F110" s="76">
        <f>+Passwörter_Agenturen!M133</f>
        <v>0</v>
      </c>
      <c r="G110" s="76">
        <f>+Passwörter_Agenturen!N133</f>
        <v>0</v>
      </c>
      <c r="H110" s="76">
        <f>+Passwörter_Agenturen!P133</f>
        <v>0</v>
      </c>
      <c r="I110" s="76">
        <f>+Passwörter_Agenturen!Q133</f>
        <v>0</v>
      </c>
      <c r="J110" s="76">
        <f>+Passwörter_Agenturen!R133</f>
        <v>0</v>
      </c>
      <c r="K110" s="76">
        <f>+Passwörter_Agenturen!S133</f>
        <v>0</v>
      </c>
      <c r="L110" s="76">
        <f>+Passwörter_Agenturen!T133</f>
        <v>0</v>
      </c>
      <c r="M110" s="76">
        <f>+Passwörter_Agenturen!U133</f>
        <v>0</v>
      </c>
      <c r="N110" s="76">
        <f>+Passwörter_Agenturen!V133</f>
        <v>0</v>
      </c>
      <c r="O110" s="76">
        <f>+Passwörter_Agenturen!W133</f>
        <v>0</v>
      </c>
      <c r="P110" s="76">
        <f>+Passwörter_Agenturen!X133</f>
        <v>0</v>
      </c>
      <c r="Q110" s="76">
        <f>+Passwörter_Agenturen!Y133</f>
        <v>0</v>
      </c>
      <c r="R110" s="76">
        <f>+Passwörter_Agenturen!Z133</f>
        <v>0</v>
      </c>
      <c r="S110" s="76">
        <f>+Passwörter_Agenturen!AA133</f>
        <v>0</v>
      </c>
      <c r="T110" s="76">
        <f>+Passwörter_Agenturen!AB133</f>
        <v>0</v>
      </c>
      <c r="U110" s="76">
        <f>+Passwörter_Agenturen!AC133</f>
        <v>0</v>
      </c>
      <c r="V110" s="76">
        <f>+Passwörter_Agenturen!AD133</f>
        <v>0</v>
      </c>
      <c r="W110" s="76">
        <f>+Passwörter_Agenturen!AE133</f>
        <v>0</v>
      </c>
      <c r="X110" s="76">
        <f>+Passwörter_Agenturen!AF133</f>
        <v>0</v>
      </c>
      <c r="Y110" s="76">
        <f>+Passwörter_Agenturen!AG133</f>
        <v>0</v>
      </c>
      <c r="Z110" s="76">
        <f>+Passwörter_Agenturen!AH133</f>
        <v>0</v>
      </c>
    </row>
    <row r="111" spans="1:26" x14ac:dyDescent="0.25">
      <c r="A111" s="75" t="str">
        <f>+Passwörter_Agenturen!H134</f>
        <v>INVERS GmbH</v>
      </c>
      <c r="B111" s="76">
        <f>+Passwörter_Agenturen!J134</f>
        <v>7993201</v>
      </c>
      <c r="C111" s="76">
        <f>+Passwörter_Agenturen!I134</f>
        <v>0</v>
      </c>
      <c r="D111" s="76">
        <f>+Passwörter_Agenturen!K134</f>
        <v>0</v>
      </c>
      <c r="E111" s="76">
        <f>+Passwörter_Agenturen!L134</f>
        <v>0</v>
      </c>
      <c r="F111" s="76">
        <f>+Passwörter_Agenturen!M134</f>
        <v>0</v>
      </c>
      <c r="G111" s="76">
        <f>+Passwörter_Agenturen!N134</f>
        <v>0</v>
      </c>
      <c r="H111" s="76" t="str">
        <f>+Passwörter_Agenturen!P134</f>
        <v>7993201-013</v>
      </c>
      <c r="I111" s="76" t="str">
        <f>+Passwörter_Agenturen!Q134</f>
        <v>7993201-012</v>
      </c>
      <c r="J111" s="76" t="str">
        <f>+Passwörter_Agenturen!R134</f>
        <v>7993201-002</v>
      </c>
      <c r="K111" s="76">
        <f>+Passwörter_Agenturen!S134</f>
        <v>0</v>
      </c>
      <c r="L111" s="76" t="str">
        <f>+Passwörter_Agenturen!T134</f>
        <v>7993201-009</v>
      </c>
      <c r="M111" s="76" t="str">
        <f>+Passwörter_Agenturen!U134</f>
        <v>7993201-008</v>
      </c>
      <c r="N111" s="76" t="str">
        <f>+Passwörter_Agenturen!V134</f>
        <v>7993201-003</v>
      </c>
      <c r="O111" s="76">
        <f>+Passwörter_Agenturen!W134</f>
        <v>0</v>
      </c>
      <c r="P111" s="76">
        <f>+Passwörter_Agenturen!X134</f>
        <v>0</v>
      </c>
      <c r="Q111" s="76" t="str">
        <f>+Passwörter_Agenturen!Y134</f>
        <v>7993201-005</v>
      </c>
      <c r="R111" s="76" t="str">
        <f>+Passwörter_Agenturen!Z134</f>
        <v>7993201-006</v>
      </c>
      <c r="S111" s="76">
        <f>+Passwörter_Agenturen!AA134</f>
        <v>0</v>
      </c>
      <c r="T111" s="76">
        <f>+Passwörter_Agenturen!AB134</f>
        <v>0</v>
      </c>
      <c r="U111" s="76">
        <f>+Passwörter_Agenturen!AC134</f>
        <v>0</v>
      </c>
      <c r="V111" s="76">
        <f>+Passwörter_Agenturen!AD134</f>
        <v>0</v>
      </c>
      <c r="W111" s="76">
        <f>+Passwörter_Agenturen!AE134</f>
        <v>0</v>
      </c>
      <c r="X111" s="76">
        <f>+Passwörter_Agenturen!AF134</f>
        <v>0</v>
      </c>
      <c r="Y111" s="76">
        <f>+Passwörter_Agenturen!AG134</f>
        <v>0</v>
      </c>
      <c r="Z111" s="76">
        <f>+Passwörter_Agenturen!AH134</f>
        <v>0</v>
      </c>
    </row>
    <row r="112" spans="1:26" x14ac:dyDescent="0.25">
      <c r="A112" s="75" t="str">
        <f>+Passwörter_Agenturen!H135</f>
        <v>INVERS GmbH AAB</v>
      </c>
      <c r="B112" s="76">
        <f>+Passwörter_Agenturen!J135</f>
        <v>9900133692</v>
      </c>
      <c r="C112" s="76">
        <f>+Passwörter_Agenturen!I135</f>
        <v>0</v>
      </c>
      <c r="D112" s="76">
        <f>+Passwörter_Agenturen!K135</f>
        <v>0</v>
      </c>
      <c r="E112" s="76">
        <f>+Passwörter_Agenturen!L135</f>
        <v>0</v>
      </c>
      <c r="F112" s="76">
        <f>+Passwörter_Agenturen!M135</f>
        <v>0</v>
      </c>
      <c r="G112" s="76">
        <f>+Passwörter_Agenturen!N135</f>
        <v>0</v>
      </c>
      <c r="H112" s="76">
        <f>+Passwörter_Agenturen!P135</f>
        <v>0</v>
      </c>
      <c r="I112" s="76">
        <f>+Passwörter_Agenturen!Q135</f>
        <v>0</v>
      </c>
      <c r="J112" s="76">
        <f>+Passwörter_Agenturen!R135</f>
        <v>0</v>
      </c>
      <c r="K112" s="76">
        <f>+Passwörter_Agenturen!S135</f>
        <v>0</v>
      </c>
      <c r="L112" s="76">
        <f>+Passwörter_Agenturen!T135</f>
        <v>0</v>
      </c>
      <c r="M112" s="76">
        <f>+Passwörter_Agenturen!U135</f>
        <v>0</v>
      </c>
      <c r="N112" s="76">
        <f>+Passwörter_Agenturen!V135</f>
        <v>0</v>
      </c>
      <c r="O112" s="76">
        <f>+Passwörter_Agenturen!W135</f>
        <v>0</v>
      </c>
      <c r="P112" s="76">
        <f>+Passwörter_Agenturen!X135</f>
        <v>0</v>
      </c>
      <c r="Q112" s="76">
        <f>+Passwörter_Agenturen!Y135</f>
        <v>0</v>
      </c>
      <c r="R112" s="76">
        <f>+Passwörter_Agenturen!Z135</f>
        <v>0</v>
      </c>
      <c r="S112" s="76">
        <f>+Passwörter_Agenturen!AA135</f>
        <v>0</v>
      </c>
      <c r="T112" s="76">
        <f>+Passwörter_Agenturen!AB135</f>
        <v>0</v>
      </c>
      <c r="U112" s="76">
        <f>+Passwörter_Agenturen!AC135</f>
        <v>0</v>
      </c>
      <c r="V112" s="76">
        <f>+Passwörter_Agenturen!AD135</f>
        <v>0</v>
      </c>
      <c r="W112" s="76">
        <f>+Passwörter_Agenturen!AE135</f>
        <v>0</v>
      </c>
      <c r="X112" s="76">
        <f>+Passwörter_Agenturen!AF135</f>
        <v>0</v>
      </c>
      <c r="Y112" s="76">
        <f>+Passwörter_Agenturen!AG135</f>
        <v>0</v>
      </c>
      <c r="Z112" s="76">
        <f>+Passwörter_Agenturen!AH135</f>
        <v>0</v>
      </c>
    </row>
    <row r="113" spans="1:26" x14ac:dyDescent="0.25">
      <c r="A113" s="75" t="str">
        <f>+Passwörter_Agenturen!H136</f>
        <v>INVERS GmbH Ebase</v>
      </c>
      <c r="B113" s="76" t="str">
        <f>+Passwörter_Agenturen!J136</f>
        <v>3733-7993201</v>
      </c>
      <c r="C113" s="76">
        <f>+Passwörter_Agenturen!I136</f>
        <v>0</v>
      </c>
      <c r="D113" s="76">
        <f>+Passwörter_Agenturen!K136</f>
        <v>0</v>
      </c>
      <c r="E113" s="76">
        <f>+Passwörter_Agenturen!L136</f>
        <v>0</v>
      </c>
      <c r="F113" s="76">
        <f>+Passwörter_Agenturen!M136</f>
        <v>0</v>
      </c>
      <c r="G113" s="76">
        <f>+Passwörter_Agenturen!N136</f>
        <v>0</v>
      </c>
      <c r="H113" s="76">
        <f>+Passwörter_Agenturen!P136</f>
        <v>0</v>
      </c>
      <c r="I113" s="76">
        <f>+Passwörter_Agenturen!Q136</f>
        <v>0</v>
      </c>
      <c r="J113" s="76">
        <f>+Passwörter_Agenturen!R136</f>
        <v>0</v>
      </c>
      <c r="K113" s="76">
        <f>+Passwörter_Agenturen!S136</f>
        <v>0</v>
      </c>
      <c r="L113" s="76">
        <f>+Passwörter_Agenturen!T136</f>
        <v>0</v>
      </c>
      <c r="M113" s="76">
        <f>+Passwörter_Agenturen!U136</f>
        <v>0</v>
      </c>
      <c r="N113" s="76">
        <f>+Passwörter_Agenturen!V136</f>
        <v>0</v>
      </c>
      <c r="O113" s="76">
        <f>+Passwörter_Agenturen!W136</f>
        <v>0</v>
      </c>
      <c r="P113" s="76">
        <f>+Passwörter_Agenturen!X136</f>
        <v>0</v>
      </c>
      <c r="Q113" s="76">
        <f>+Passwörter_Agenturen!Y136</f>
        <v>0</v>
      </c>
      <c r="R113" s="76">
        <f>+Passwörter_Agenturen!Z136</f>
        <v>0</v>
      </c>
      <c r="S113" s="76">
        <f>+Passwörter_Agenturen!AA136</f>
        <v>0</v>
      </c>
      <c r="T113" s="76">
        <f>+Passwörter_Agenturen!AB136</f>
        <v>0</v>
      </c>
      <c r="U113" s="76">
        <f>+Passwörter_Agenturen!AC136</f>
        <v>0</v>
      </c>
      <c r="V113" s="76">
        <f>+Passwörter_Agenturen!AD136</f>
        <v>0</v>
      </c>
      <c r="W113" s="76">
        <f>+Passwörter_Agenturen!AE136</f>
        <v>0</v>
      </c>
      <c r="X113" s="76">
        <f>+Passwörter_Agenturen!AF136</f>
        <v>0</v>
      </c>
      <c r="Y113" s="76">
        <f>+Passwörter_Agenturen!AG136</f>
        <v>0</v>
      </c>
      <c r="Z113" s="76">
        <f>+Passwörter_Agenturen!AH136</f>
        <v>0</v>
      </c>
    </row>
    <row r="114" spans="1:26" x14ac:dyDescent="0.25">
      <c r="A114" s="75" t="str">
        <f>+Passwörter_Agenturen!H137</f>
        <v>Itzehoer</v>
      </c>
      <c r="B114" s="76">
        <f>+Passwörter_Agenturen!J137</f>
        <v>6776</v>
      </c>
      <c r="C114" s="76" t="str">
        <f>+Passwörter_Agenturen!I137</f>
        <v>6776</v>
      </c>
      <c r="D114" s="76">
        <f>+Passwörter_Agenturen!K137</f>
        <v>0</v>
      </c>
      <c r="E114" s="76">
        <f>+Passwörter_Agenturen!L137</f>
        <v>0</v>
      </c>
      <c r="F114" s="76">
        <f>+Passwörter_Agenturen!M137</f>
        <v>0</v>
      </c>
      <c r="G114" s="76">
        <f>+Passwörter_Agenturen!N137</f>
        <v>0</v>
      </c>
      <c r="H114" s="76">
        <f>+Passwörter_Agenturen!P137</f>
        <v>0</v>
      </c>
      <c r="I114" s="76">
        <f>+Passwörter_Agenturen!Q137</f>
        <v>0</v>
      </c>
      <c r="J114" s="76">
        <f>+Passwörter_Agenturen!R137</f>
        <v>0</v>
      </c>
      <c r="K114" s="76">
        <f>+Passwörter_Agenturen!S137</f>
        <v>0</v>
      </c>
      <c r="L114" s="76">
        <f>+Passwörter_Agenturen!T137</f>
        <v>0</v>
      </c>
      <c r="M114" s="76">
        <f>+Passwörter_Agenturen!U137</f>
        <v>0</v>
      </c>
      <c r="N114" s="76">
        <f>+Passwörter_Agenturen!V137</f>
        <v>0</v>
      </c>
      <c r="O114" s="76">
        <f>+Passwörter_Agenturen!W137</f>
        <v>0</v>
      </c>
      <c r="P114" s="76">
        <f>+Passwörter_Agenturen!X137</f>
        <v>0</v>
      </c>
      <c r="Q114" s="76">
        <f>+Passwörter_Agenturen!Y137</f>
        <v>0</v>
      </c>
      <c r="R114" s="76">
        <f>+Passwörter_Agenturen!Z137</f>
        <v>0</v>
      </c>
      <c r="S114" s="76">
        <f>+Passwörter_Agenturen!AA137</f>
        <v>0</v>
      </c>
      <c r="T114" s="76">
        <f>+Passwörter_Agenturen!AB137</f>
        <v>0</v>
      </c>
      <c r="U114" s="76">
        <f>+Passwörter_Agenturen!AC137</f>
        <v>0</v>
      </c>
      <c r="V114" s="76">
        <f>+Passwörter_Agenturen!AD137</f>
        <v>0</v>
      </c>
      <c r="W114" s="76">
        <f>+Passwörter_Agenturen!AE137</f>
        <v>0</v>
      </c>
      <c r="X114" s="76">
        <f>+Passwörter_Agenturen!AF137</f>
        <v>0</v>
      </c>
      <c r="Y114" s="76">
        <f>+Passwörter_Agenturen!AG137</f>
        <v>0</v>
      </c>
      <c r="Z114" s="76">
        <f>+Passwörter_Agenturen!AH137</f>
        <v>0</v>
      </c>
    </row>
    <row r="115" spans="1:26" x14ac:dyDescent="0.25">
      <c r="A115" s="75" t="str">
        <f>+Passwörter_Agenturen!H138</f>
        <v>Itzehoer/Degenia</v>
      </c>
      <c r="B115" s="76" t="str">
        <f>+Passwörter_Agenturen!J138</f>
        <v>9483</v>
      </c>
      <c r="C115" s="76">
        <f>+Passwörter_Agenturen!I138</f>
        <v>0</v>
      </c>
      <c r="D115" s="76">
        <f>+Passwörter_Agenturen!K138</f>
        <v>0</v>
      </c>
      <c r="E115" s="76">
        <f>+Passwörter_Agenturen!L138</f>
        <v>0</v>
      </c>
      <c r="F115" s="76">
        <f>+Passwörter_Agenturen!M138</f>
        <v>0</v>
      </c>
      <c r="G115" s="76">
        <f>+Passwörter_Agenturen!N138</f>
        <v>0</v>
      </c>
      <c r="H115" s="76">
        <f>+Passwörter_Agenturen!P138</f>
        <v>0</v>
      </c>
      <c r="I115" s="76">
        <f>+Passwörter_Agenturen!Q138</f>
        <v>0</v>
      </c>
      <c r="J115" s="76">
        <f>+Passwörter_Agenturen!R138</f>
        <v>0</v>
      </c>
      <c r="K115" s="76">
        <f>+Passwörter_Agenturen!S138</f>
        <v>0</v>
      </c>
      <c r="L115" s="76">
        <f>+Passwörter_Agenturen!T138</f>
        <v>0</v>
      </c>
      <c r="M115" s="76">
        <f>+Passwörter_Agenturen!U138</f>
        <v>0</v>
      </c>
      <c r="N115" s="76">
        <f>+Passwörter_Agenturen!V138</f>
        <v>0</v>
      </c>
      <c r="O115" s="76">
        <f>+Passwörter_Agenturen!W138</f>
        <v>0</v>
      </c>
      <c r="P115" s="76">
        <f>+Passwörter_Agenturen!X138</f>
        <v>0</v>
      </c>
      <c r="Q115" s="76">
        <f>+Passwörter_Agenturen!Y138</f>
        <v>0</v>
      </c>
      <c r="R115" s="76">
        <f>+Passwörter_Agenturen!Z138</f>
        <v>0</v>
      </c>
      <c r="S115" s="76">
        <f>+Passwörter_Agenturen!AA138</f>
        <v>0</v>
      </c>
      <c r="T115" s="76">
        <f>+Passwörter_Agenturen!AB138</f>
        <v>0</v>
      </c>
      <c r="U115" s="76">
        <f>+Passwörter_Agenturen!AC138</f>
        <v>0</v>
      </c>
      <c r="V115" s="76">
        <f>+Passwörter_Agenturen!AD138</f>
        <v>0</v>
      </c>
      <c r="W115" s="76">
        <f>+Passwörter_Agenturen!AE138</f>
        <v>0</v>
      </c>
      <c r="X115" s="76">
        <f>+Passwörter_Agenturen!AF138</f>
        <v>0</v>
      </c>
      <c r="Y115" s="76">
        <f>+Passwörter_Agenturen!AG138</f>
        <v>0</v>
      </c>
      <c r="Z115" s="76">
        <f>+Passwörter_Agenturen!AH138</f>
        <v>0</v>
      </c>
    </row>
    <row r="116" spans="1:26" x14ac:dyDescent="0.25">
      <c r="A116" s="75" t="str">
        <f>+Passwörter_Agenturen!H140</f>
        <v>Janitos (über VEMA)</v>
      </c>
      <c r="B116" s="76" t="str">
        <f>+Passwörter_Agenturen!J140</f>
        <v>9293 2202</v>
      </c>
      <c r="C116" s="76" t="str">
        <f>+Passwörter_Agenturen!I140</f>
        <v>9293 2202</v>
      </c>
      <c r="D116" s="76">
        <f>+Passwörter_Agenturen!K140</f>
        <v>0</v>
      </c>
      <c r="E116" s="76" t="str">
        <f>+Passwörter_Agenturen!L140</f>
        <v>62951242</v>
      </c>
      <c r="F116" s="76">
        <f>+Passwörter_Agenturen!M140</f>
        <v>0</v>
      </c>
      <c r="G116" s="76">
        <f>+Passwörter_Agenturen!N140</f>
        <v>0</v>
      </c>
      <c r="H116" s="76">
        <f>+Passwörter_Agenturen!P140</f>
        <v>0</v>
      </c>
      <c r="I116" s="76">
        <f>+Passwörter_Agenturen!Q140</f>
        <v>0</v>
      </c>
      <c r="J116" s="76">
        <f>+Passwörter_Agenturen!R140</f>
        <v>0</v>
      </c>
      <c r="K116" s="76">
        <f>+Passwörter_Agenturen!S140</f>
        <v>0</v>
      </c>
      <c r="L116" s="76">
        <f>+Passwörter_Agenturen!T140</f>
        <v>0</v>
      </c>
      <c r="M116" s="76">
        <f>+Passwörter_Agenturen!U140</f>
        <v>0</v>
      </c>
      <c r="N116" s="76">
        <f>+Passwörter_Agenturen!V140</f>
        <v>0</v>
      </c>
      <c r="O116" s="76">
        <f>+Passwörter_Agenturen!W140</f>
        <v>0</v>
      </c>
      <c r="P116" s="76">
        <f>+Passwörter_Agenturen!X140</f>
        <v>0</v>
      </c>
      <c r="Q116" s="76">
        <f>+Passwörter_Agenturen!Y140</f>
        <v>0</v>
      </c>
      <c r="R116" s="76">
        <f>+Passwörter_Agenturen!Z140</f>
        <v>0</v>
      </c>
      <c r="S116" s="76">
        <f>+Passwörter_Agenturen!AA140</f>
        <v>0</v>
      </c>
      <c r="T116" s="76">
        <f>+Passwörter_Agenturen!AB140</f>
        <v>0</v>
      </c>
      <c r="U116" s="76">
        <f>+Passwörter_Agenturen!AC140</f>
        <v>0</v>
      </c>
      <c r="V116" s="76">
        <f>+Passwörter_Agenturen!AD140</f>
        <v>0</v>
      </c>
      <c r="W116" s="76">
        <f>+Passwörter_Agenturen!AE140</f>
        <v>0</v>
      </c>
      <c r="X116" s="76">
        <f>+Passwörter_Agenturen!AF140</f>
        <v>0</v>
      </c>
      <c r="Y116" s="76">
        <f>+Passwörter_Agenturen!AG140</f>
        <v>0</v>
      </c>
      <c r="Z116" s="76">
        <f>+Passwörter_Agenturen!AH140</f>
        <v>0</v>
      </c>
    </row>
    <row r="117" spans="1:26" x14ac:dyDescent="0.25">
      <c r="A117" s="75" t="str">
        <f>+Passwörter_Agenturen!H141</f>
        <v>Jung DMS</v>
      </c>
      <c r="B117" s="76" t="str">
        <f>+Passwörter_Agenturen!J141</f>
        <v>16283</v>
      </c>
      <c r="C117" s="76">
        <f>+Passwörter_Agenturen!I141</f>
        <v>0</v>
      </c>
      <c r="D117" s="76">
        <f>+Passwörter_Agenturen!K141</f>
        <v>0</v>
      </c>
      <c r="E117" s="76">
        <f>+Passwörter_Agenturen!L141</f>
        <v>0</v>
      </c>
      <c r="F117" s="76">
        <f>+Passwörter_Agenturen!M141</f>
        <v>0</v>
      </c>
      <c r="G117" s="76">
        <f>+Passwörter_Agenturen!N141</f>
        <v>0</v>
      </c>
      <c r="H117" s="76" t="str">
        <f>+Passwörter_Agenturen!P141</f>
        <v>16286</v>
      </c>
      <c r="I117" s="76">
        <f>+Passwörter_Agenturen!Q141</f>
        <v>0</v>
      </c>
      <c r="J117" s="76">
        <f>+Passwörter_Agenturen!R141</f>
        <v>0</v>
      </c>
      <c r="K117" s="76" t="str">
        <f>+Passwörter_Agenturen!S141</f>
        <v>16284</v>
      </c>
      <c r="L117" s="76">
        <f>+Passwörter_Agenturen!T141</f>
        <v>0</v>
      </c>
      <c r="M117" s="76">
        <f>+Passwörter_Agenturen!U141</f>
        <v>0</v>
      </c>
      <c r="N117" s="76">
        <f>+Passwörter_Agenturen!V141</f>
        <v>0</v>
      </c>
      <c r="O117" s="76">
        <f>+Passwörter_Agenturen!W141</f>
        <v>0</v>
      </c>
      <c r="P117" s="76">
        <f>+Passwörter_Agenturen!X141</f>
        <v>0</v>
      </c>
      <c r="Q117" s="76">
        <f>+Passwörter_Agenturen!Y141</f>
        <v>0</v>
      </c>
      <c r="R117" s="76">
        <f>+Passwörter_Agenturen!Z141</f>
        <v>0</v>
      </c>
      <c r="S117" s="76">
        <f>+Passwörter_Agenturen!AA141</f>
        <v>0</v>
      </c>
      <c r="T117" s="76">
        <f>+Passwörter_Agenturen!AB141</f>
        <v>0</v>
      </c>
      <c r="U117" s="76">
        <f>+Passwörter_Agenturen!AC141</f>
        <v>0</v>
      </c>
      <c r="V117" s="76">
        <f>+Passwörter_Agenturen!AD141</f>
        <v>0</v>
      </c>
      <c r="W117" s="76">
        <f>+Passwörter_Agenturen!AE141</f>
        <v>0</v>
      </c>
      <c r="X117" s="76">
        <f>+Passwörter_Agenturen!AF141</f>
        <v>0</v>
      </c>
      <c r="Y117" s="76">
        <f>+Passwörter_Agenturen!AG141</f>
        <v>0</v>
      </c>
      <c r="Z117" s="76">
        <f>+Passwörter_Agenturen!AH141</f>
        <v>0</v>
      </c>
    </row>
    <row r="118" spans="1:26" x14ac:dyDescent="0.25">
      <c r="A118" s="75" t="str">
        <f>+Passwörter_Agenturen!H142</f>
        <v>Jung DMS</v>
      </c>
      <c r="B118" s="76">
        <f>+Passwörter_Agenturen!J142</f>
        <v>0</v>
      </c>
      <c r="C118" s="76">
        <f>+Passwörter_Agenturen!I142</f>
        <v>0</v>
      </c>
      <c r="D118" s="76">
        <f>+Passwörter_Agenturen!K142</f>
        <v>0</v>
      </c>
      <c r="E118" s="76">
        <f>+Passwörter_Agenturen!L142</f>
        <v>0</v>
      </c>
      <c r="F118" s="76">
        <f>+Passwörter_Agenturen!M142</f>
        <v>0</v>
      </c>
      <c r="G118" s="76">
        <f>+Passwörter_Agenturen!N142</f>
        <v>0</v>
      </c>
      <c r="H118" s="76">
        <f>+Passwörter_Agenturen!P142</f>
        <v>0</v>
      </c>
      <c r="I118" s="76">
        <f>+Passwörter_Agenturen!Q142</f>
        <v>0</v>
      </c>
      <c r="J118" s="76">
        <f>+Passwörter_Agenturen!R142</f>
        <v>0</v>
      </c>
      <c r="K118" s="76" t="str">
        <f>+Passwörter_Agenturen!S142</f>
        <v>4080</v>
      </c>
      <c r="L118" s="76">
        <f>+Passwörter_Agenturen!T142</f>
        <v>0</v>
      </c>
      <c r="M118" s="76">
        <f>+Passwörter_Agenturen!U142</f>
        <v>0</v>
      </c>
      <c r="N118" s="76">
        <f>+Passwörter_Agenturen!V142</f>
        <v>0</v>
      </c>
      <c r="O118" s="76">
        <f>+Passwörter_Agenturen!W142</f>
        <v>0</v>
      </c>
      <c r="P118" s="76">
        <f>+Passwörter_Agenturen!X142</f>
        <v>0</v>
      </c>
      <c r="Q118" s="76">
        <f>+Passwörter_Agenturen!Y142</f>
        <v>0</v>
      </c>
      <c r="R118" s="76">
        <f>+Passwörter_Agenturen!Z142</f>
        <v>0</v>
      </c>
      <c r="S118" s="76">
        <f>+Passwörter_Agenturen!AA142</f>
        <v>0</v>
      </c>
      <c r="T118" s="76">
        <f>+Passwörter_Agenturen!AB142</f>
        <v>0</v>
      </c>
      <c r="U118" s="76">
        <f>+Passwörter_Agenturen!AC142</f>
        <v>0</v>
      </c>
      <c r="V118" s="76">
        <f>+Passwörter_Agenturen!AD142</f>
        <v>0</v>
      </c>
      <c r="W118" s="76">
        <f>+Passwörter_Agenturen!AE142</f>
        <v>0</v>
      </c>
      <c r="X118" s="76">
        <f>+Passwörter_Agenturen!AF142</f>
        <v>0</v>
      </c>
      <c r="Y118" s="76">
        <f>+Passwörter_Agenturen!AG142</f>
        <v>0</v>
      </c>
      <c r="Z118" s="76">
        <f>+Passwörter_Agenturen!AH142</f>
        <v>0</v>
      </c>
    </row>
    <row r="119" spans="1:26" x14ac:dyDescent="0.25">
      <c r="A119" s="75" t="str">
        <f>+Passwörter_Agenturen!H143</f>
        <v>Jung DMS</v>
      </c>
      <c r="B119" s="76">
        <f>+Passwörter_Agenturen!J143</f>
        <v>0</v>
      </c>
      <c r="C119" s="76">
        <f>+Passwörter_Agenturen!I143</f>
        <v>0</v>
      </c>
      <c r="D119" s="76">
        <f>+Passwörter_Agenturen!K143</f>
        <v>0</v>
      </c>
      <c r="E119" s="76">
        <f>+Passwörter_Agenturen!L143</f>
        <v>0</v>
      </c>
      <c r="F119" s="76">
        <f>+Passwörter_Agenturen!M143</f>
        <v>0</v>
      </c>
      <c r="G119" s="76">
        <f>+Passwörter_Agenturen!N143</f>
        <v>0</v>
      </c>
      <c r="H119" s="76">
        <f>+Passwörter_Agenturen!P143</f>
        <v>11642</v>
      </c>
      <c r="I119" s="76">
        <f>+Passwörter_Agenturen!Q143</f>
        <v>0</v>
      </c>
      <c r="J119" s="76">
        <f>+Passwörter_Agenturen!R143</f>
        <v>0</v>
      </c>
      <c r="K119" s="76">
        <f>+Passwörter_Agenturen!S143</f>
        <v>0</v>
      </c>
      <c r="L119" s="76">
        <f>+Passwörter_Agenturen!T143</f>
        <v>0</v>
      </c>
      <c r="M119" s="76">
        <f>+Passwörter_Agenturen!U143</f>
        <v>0</v>
      </c>
      <c r="N119" s="76">
        <f>+Passwörter_Agenturen!V143</f>
        <v>0</v>
      </c>
      <c r="O119" s="76">
        <f>+Passwörter_Agenturen!W143</f>
        <v>0</v>
      </c>
      <c r="P119" s="76">
        <f>+Passwörter_Agenturen!X143</f>
        <v>0</v>
      </c>
      <c r="Q119" s="76">
        <f>+Passwörter_Agenturen!Y143</f>
        <v>0</v>
      </c>
      <c r="R119" s="76">
        <f>+Passwörter_Agenturen!Z143</f>
        <v>0</v>
      </c>
      <c r="S119" s="76">
        <f>+Passwörter_Agenturen!AA143</f>
        <v>0</v>
      </c>
      <c r="T119" s="76">
        <f>+Passwörter_Agenturen!AB143</f>
        <v>0</v>
      </c>
      <c r="U119" s="76">
        <f>+Passwörter_Agenturen!AC143</f>
        <v>0</v>
      </c>
      <c r="V119" s="76">
        <f>+Passwörter_Agenturen!AD143</f>
        <v>0</v>
      </c>
      <c r="W119" s="76">
        <f>+Passwörter_Agenturen!AE143</f>
        <v>0</v>
      </c>
      <c r="X119" s="76">
        <f>+Passwörter_Agenturen!AF143</f>
        <v>0</v>
      </c>
      <c r="Y119" s="76">
        <f>+Passwörter_Agenturen!AG143</f>
        <v>0</v>
      </c>
      <c r="Z119" s="76">
        <f>+Passwörter_Agenturen!AH143</f>
        <v>0</v>
      </c>
    </row>
    <row r="120" spans="1:26" x14ac:dyDescent="0.25">
      <c r="A120" s="75" t="str">
        <f>+Passwörter_Agenturen!H144</f>
        <v>Jung DMS</v>
      </c>
      <c r="B120" s="76">
        <f>+Passwörter_Agenturen!J144</f>
        <v>0</v>
      </c>
      <c r="C120" s="76">
        <f>+Passwörter_Agenturen!I144</f>
        <v>0</v>
      </c>
      <c r="D120" s="76">
        <f>+Passwörter_Agenturen!K144</f>
        <v>0</v>
      </c>
      <c r="E120" s="76">
        <f>+Passwörter_Agenturen!L144</f>
        <v>0</v>
      </c>
      <c r="F120" s="76">
        <f>+Passwörter_Agenturen!M144</f>
        <v>0</v>
      </c>
      <c r="G120" s="76">
        <f>+Passwörter_Agenturen!N144</f>
        <v>0</v>
      </c>
      <c r="H120" s="76">
        <f>+Passwörter_Agenturen!P144</f>
        <v>0</v>
      </c>
      <c r="I120" s="76">
        <f>+Passwörter_Agenturen!Q144</f>
        <v>0</v>
      </c>
      <c r="J120" s="76">
        <f>+Passwörter_Agenturen!R144</f>
        <v>0</v>
      </c>
      <c r="K120" s="76">
        <f>+Passwörter_Agenturen!S144</f>
        <v>16284</v>
      </c>
      <c r="L120" s="76">
        <f>+Passwörter_Agenturen!T144</f>
        <v>0</v>
      </c>
      <c r="M120" s="76">
        <f>+Passwörter_Agenturen!U144</f>
        <v>0</v>
      </c>
      <c r="N120" s="76">
        <f>+Passwörter_Agenturen!V144</f>
        <v>0</v>
      </c>
      <c r="O120" s="76">
        <f>+Passwörter_Agenturen!W144</f>
        <v>0</v>
      </c>
      <c r="P120" s="76">
        <f>+Passwörter_Agenturen!X144</f>
        <v>0</v>
      </c>
      <c r="Q120" s="76">
        <f>+Passwörter_Agenturen!Y144</f>
        <v>0</v>
      </c>
      <c r="R120" s="76">
        <f>+Passwörter_Agenturen!Z144</f>
        <v>0</v>
      </c>
      <c r="S120" s="76">
        <f>+Passwörter_Agenturen!AA144</f>
        <v>0</v>
      </c>
      <c r="T120" s="76">
        <f>+Passwörter_Agenturen!AB144</f>
        <v>0</v>
      </c>
      <c r="U120" s="76">
        <f>+Passwörter_Agenturen!AC144</f>
        <v>0</v>
      </c>
      <c r="V120" s="76">
        <f>+Passwörter_Agenturen!AD144</f>
        <v>0</v>
      </c>
      <c r="W120" s="76">
        <f>+Passwörter_Agenturen!AE144</f>
        <v>0</v>
      </c>
      <c r="X120" s="76">
        <f>+Passwörter_Agenturen!AF144</f>
        <v>0</v>
      </c>
      <c r="Y120" s="76">
        <f>+Passwörter_Agenturen!AG144</f>
        <v>0</v>
      </c>
      <c r="Z120" s="76">
        <f>+Passwörter_Agenturen!AH144</f>
        <v>0</v>
      </c>
    </row>
    <row r="121" spans="1:26" x14ac:dyDescent="0.25">
      <c r="A121" s="75" t="str">
        <f>+Passwörter_Agenturen!H145</f>
        <v>Jung DMS</v>
      </c>
      <c r="B121" s="76">
        <f>+Passwörter_Agenturen!J145</f>
        <v>0</v>
      </c>
      <c r="C121" s="76">
        <f>+Passwörter_Agenturen!I145</f>
        <v>0</v>
      </c>
      <c r="D121" s="76">
        <f>+Passwörter_Agenturen!K145</f>
        <v>0</v>
      </c>
      <c r="E121" s="76">
        <f>+Passwörter_Agenturen!L145</f>
        <v>0</v>
      </c>
      <c r="F121" s="76">
        <f>+Passwörter_Agenturen!M145</f>
        <v>0</v>
      </c>
      <c r="G121" s="76">
        <f>+Passwörter_Agenturen!N145</f>
        <v>0</v>
      </c>
      <c r="H121" s="76">
        <f>+Passwörter_Agenturen!P145</f>
        <v>16286</v>
      </c>
      <c r="I121" s="76">
        <f>+Passwörter_Agenturen!Q145</f>
        <v>0</v>
      </c>
      <c r="J121" s="76">
        <f>+Passwörter_Agenturen!R145</f>
        <v>0</v>
      </c>
      <c r="K121" s="76">
        <f>+Passwörter_Agenturen!S145</f>
        <v>0</v>
      </c>
      <c r="L121" s="76">
        <f>+Passwörter_Agenturen!T145</f>
        <v>0</v>
      </c>
      <c r="M121" s="76">
        <f>+Passwörter_Agenturen!U145</f>
        <v>0</v>
      </c>
      <c r="N121" s="76">
        <f>+Passwörter_Agenturen!V145</f>
        <v>0</v>
      </c>
      <c r="O121" s="76">
        <f>+Passwörter_Agenturen!W145</f>
        <v>0</v>
      </c>
      <c r="P121" s="76">
        <f>+Passwörter_Agenturen!X145</f>
        <v>0</v>
      </c>
      <c r="Q121" s="76">
        <f>+Passwörter_Agenturen!Y145</f>
        <v>0</v>
      </c>
      <c r="R121" s="76">
        <f>+Passwörter_Agenturen!Z145</f>
        <v>0</v>
      </c>
      <c r="S121" s="76">
        <f>+Passwörter_Agenturen!AA145</f>
        <v>0</v>
      </c>
      <c r="T121" s="76">
        <f>+Passwörter_Agenturen!AB145</f>
        <v>0</v>
      </c>
      <c r="U121" s="76">
        <f>+Passwörter_Agenturen!AC145</f>
        <v>0</v>
      </c>
      <c r="V121" s="76">
        <f>+Passwörter_Agenturen!AD145</f>
        <v>0</v>
      </c>
      <c r="W121" s="76">
        <f>+Passwörter_Agenturen!AE145</f>
        <v>0</v>
      </c>
      <c r="X121" s="76">
        <f>+Passwörter_Agenturen!AF145</f>
        <v>0</v>
      </c>
      <c r="Y121" s="76">
        <f>+Passwörter_Agenturen!AG145</f>
        <v>0</v>
      </c>
      <c r="Z121" s="76">
        <f>+Passwörter_Agenturen!AH145</f>
        <v>0</v>
      </c>
    </row>
    <row r="122" spans="1:26" x14ac:dyDescent="0.25">
      <c r="A122" s="75" t="str">
        <f>+Passwörter_Agenturen!H149</f>
        <v>Kassensuche GmbH</v>
      </c>
      <c r="B122" s="76" t="str">
        <f>+Passwörter_Agenturen!J149</f>
        <v>2356</v>
      </c>
      <c r="C122" s="76">
        <f>+Passwörter_Agenturen!I149</f>
        <v>0</v>
      </c>
      <c r="D122" s="76">
        <f>+Passwörter_Agenturen!K149</f>
        <v>0</v>
      </c>
      <c r="E122" s="76">
        <f>+Passwörter_Agenturen!L149</f>
        <v>0</v>
      </c>
      <c r="F122" s="76">
        <f>+Passwörter_Agenturen!M149</f>
        <v>0</v>
      </c>
      <c r="G122" s="76">
        <f>+Passwörter_Agenturen!N149</f>
        <v>0</v>
      </c>
      <c r="H122" s="76">
        <f>+Passwörter_Agenturen!P149</f>
        <v>0</v>
      </c>
      <c r="I122" s="76">
        <f>+Passwörter_Agenturen!Q149</f>
        <v>0</v>
      </c>
      <c r="J122" s="76">
        <f>+Passwörter_Agenturen!R149</f>
        <v>0</v>
      </c>
      <c r="K122" s="76">
        <f>+Passwörter_Agenturen!S149</f>
        <v>0</v>
      </c>
      <c r="L122" s="76">
        <f>+Passwörter_Agenturen!T149</f>
        <v>0</v>
      </c>
      <c r="M122" s="76">
        <f>+Passwörter_Agenturen!U149</f>
        <v>0</v>
      </c>
      <c r="N122" s="76">
        <f>+Passwörter_Agenturen!V149</f>
        <v>0</v>
      </c>
      <c r="O122" s="76">
        <f>+Passwörter_Agenturen!W149</f>
        <v>0</v>
      </c>
      <c r="P122" s="76">
        <f>+Passwörter_Agenturen!X149</f>
        <v>0</v>
      </c>
      <c r="Q122" s="76">
        <f>+Passwörter_Agenturen!Y149</f>
        <v>0</v>
      </c>
      <c r="R122" s="76">
        <f>+Passwörter_Agenturen!Z149</f>
        <v>0</v>
      </c>
      <c r="S122" s="76">
        <f>+Passwörter_Agenturen!AA149</f>
        <v>0</v>
      </c>
      <c r="T122" s="76">
        <f>+Passwörter_Agenturen!AB149</f>
        <v>0</v>
      </c>
      <c r="U122" s="76">
        <f>+Passwörter_Agenturen!AC149</f>
        <v>0</v>
      </c>
      <c r="V122" s="76">
        <f>+Passwörter_Agenturen!AD149</f>
        <v>0</v>
      </c>
      <c r="W122" s="76">
        <f>+Passwörter_Agenturen!AE149</f>
        <v>0</v>
      </c>
      <c r="X122" s="76">
        <f>+Passwörter_Agenturen!AF149</f>
        <v>0</v>
      </c>
      <c r="Y122" s="76">
        <f>+Passwörter_Agenturen!AG149</f>
        <v>0</v>
      </c>
      <c r="Z122" s="76">
        <f>+Passwörter_Agenturen!AH149</f>
        <v>0</v>
      </c>
    </row>
    <row r="123" spans="1:26" x14ac:dyDescent="0.25">
      <c r="A123" s="75" t="str">
        <f>+Passwörter_Agenturen!H150</f>
        <v>K&amp;M Konzept und Marketing</v>
      </c>
      <c r="B123" s="76">
        <f>+Passwörter_Agenturen!J150</f>
        <v>0</v>
      </c>
      <c r="C123" s="76" t="str">
        <f>+Passwörter_Agenturen!I150</f>
        <v>27776</v>
      </c>
      <c r="D123" s="76">
        <f>+Passwörter_Agenturen!K150</f>
        <v>0</v>
      </c>
      <c r="E123" s="76">
        <f>+Passwörter_Agenturen!L150</f>
        <v>0</v>
      </c>
      <c r="F123" s="76">
        <f>+Passwörter_Agenturen!M150</f>
        <v>0</v>
      </c>
      <c r="G123" s="76">
        <f>+Passwörter_Agenturen!N150</f>
        <v>0</v>
      </c>
      <c r="H123" s="76">
        <f>+Passwörter_Agenturen!P150</f>
        <v>0</v>
      </c>
      <c r="I123" s="76">
        <f>+Passwörter_Agenturen!Q150</f>
        <v>0</v>
      </c>
      <c r="J123" s="76">
        <f>+Passwörter_Agenturen!R150</f>
        <v>0</v>
      </c>
      <c r="K123" s="76">
        <f>+Passwörter_Agenturen!S150</f>
        <v>0</v>
      </c>
      <c r="L123" s="76">
        <f>+Passwörter_Agenturen!T150</f>
        <v>0</v>
      </c>
      <c r="M123" s="76">
        <f>+Passwörter_Agenturen!U150</f>
        <v>0</v>
      </c>
      <c r="N123" s="76">
        <f>+Passwörter_Agenturen!V150</f>
        <v>0</v>
      </c>
      <c r="O123" s="76">
        <f>+Passwörter_Agenturen!W150</f>
        <v>0</v>
      </c>
      <c r="P123" s="76">
        <f>+Passwörter_Agenturen!X150</f>
        <v>0</v>
      </c>
      <c r="Q123" s="76">
        <f>+Passwörter_Agenturen!Y150</f>
        <v>0</v>
      </c>
      <c r="R123" s="76">
        <f>+Passwörter_Agenturen!Z150</f>
        <v>0</v>
      </c>
      <c r="S123" s="76">
        <f>+Passwörter_Agenturen!AA150</f>
        <v>0</v>
      </c>
      <c r="T123" s="76">
        <f>+Passwörter_Agenturen!AB150</f>
        <v>0</v>
      </c>
      <c r="U123" s="76">
        <f>+Passwörter_Agenturen!AC150</f>
        <v>0</v>
      </c>
      <c r="V123" s="76">
        <f>+Passwörter_Agenturen!AD150</f>
        <v>0</v>
      </c>
      <c r="W123" s="76">
        <f>+Passwörter_Agenturen!AE150</f>
        <v>0</v>
      </c>
      <c r="X123" s="76">
        <f>+Passwörter_Agenturen!AF150</f>
        <v>0</v>
      </c>
      <c r="Y123" s="76">
        <f>+Passwörter_Agenturen!AG150</f>
        <v>0</v>
      </c>
      <c r="Z123" s="76">
        <f>+Passwörter_Agenturen!AH150</f>
        <v>0</v>
      </c>
    </row>
    <row r="124" spans="1:26" x14ac:dyDescent="0.25">
      <c r="A124" s="75" t="e">
        <f>+Passwörter_Agenturen!#REF!</f>
        <v>#REF!</v>
      </c>
      <c r="B124" s="76" t="e">
        <f>+Passwörter_Agenturen!#REF!</f>
        <v>#REF!</v>
      </c>
      <c r="C124" s="76" t="e">
        <f>+Passwörter_Agenturen!#REF!</f>
        <v>#REF!</v>
      </c>
      <c r="D124" s="76" t="e">
        <f>+Passwörter_Agenturen!#REF!</f>
        <v>#REF!</v>
      </c>
      <c r="E124" s="76" t="e">
        <f>+Passwörter_Agenturen!#REF!</f>
        <v>#REF!</v>
      </c>
      <c r="F124" s="76" t="e">
        <f>+Passwörter_Agenturen!#REF!</f>
        <v>#REF!</v>
      </c>
      <c r="G124" s="76" t="e">
        <f>+Passwörter_Agenturen!#REF!</f>
        <v>#REF!</v>
      </c>
      <c r="H124" s="76" t="e">
        <f>+Passwörter_Agenturen!#REF!</f>
        <v>#REF!</v>
      </c>
      <c r="I124" s="76" t="e">
        <f>+Passwörter_Agenturen!#REF!</f>
        <v>#REF!</v>
      </c>
      <c r="J124" s="76" t="e">
        <f>+Passwörter_Agenturen!#REF!</f>
        <v>#REF!</v>
      </c>
      <c r="K124" s="76" t="e">
        <f>+Passwörter_Agenturen!#REF!</f>
        <v>#REF!</v>
      </c>
      <c r="L124" s="76" t="e">
        <f>+Passwörter_Agenturen!#REF!</f>
        <v>#REF!</v>
      </c>
      <c r="M124" s="76" t="e">
        <f>+Passwörter_Agenturen!#REF!</f>
        <v>#REF!</v>
      </c>
      <c r="N124" s="76" t="e">
        <f>+Passwörter_Agenturen!#REF!</f>
        <v>#REF!</v>
      </c>
      <c r="O124" s="76" t="e">
        <f>+Passwörter_Agenturen!#REF!</f>
        <v>#REF!</v>
      </c>
      <c r="P124" s="76" t="e">
        <f>+Passwörter_Agenturen!#REF!</f>
        <v>#REF!</v>
      </c>
      <c r="Q124" s="76" t="e">
        <f>+Passwörter_Agenturen!#REF!</f>
        <v>#REF!</v>
      </c>
      <c r="R124" s="76" t="e">
        <f>+Passwörter_Agenturen!#REF!</f>
        <v>#REF!</v>
      </c>
      <c r="S124" s="76" t="e">
        <f>+Passwörter_Agenturen!#REF!</f>
        <v>#REF!</v>
      </c>
      <c r="T124" s="76" t="e">
        <f>+Passwörter_Agenturen!#REF!</f>
        <v>#REF!</v>
      </c>
      <c r="U124" s="76" t="e">
        <f>+Passwörter_Agenturen!#REF!</f>
        <v>#REF!</v>
      </c>
      <c r="V124" s="76" t="e">
        <f>+Passwörter_Agenturen!#REF!</f>
        <v>#REF!</v>
      </c>
      <c r="W124" s="76" t="e">
        <f>+Passwörter_Agenturen!#REF!</f>
        <v>#REF!</v>
      </c>
      <c r="X124" s="76" t="e">
        <f>+Passwörter_Agenturen!#REF!</f>
        <v>#REF!</v>
      </c>
      <c r="Y124" s="76" t="e">
        <f>+Passwörter_Agenturen!#REF!</f>
        <v>#REF!</v>
      </c>
      <c r="Z124" s="76" t="e">
        <f>+Passwörter_Agenturen!#REF!</f>
        <v>#REF!</v>
      </c>
    </row>
    <row r="125" spans="1:26" x14ac:dyDescent="0.25">
      <c r="A125" s="75" t="str">
        <f>+Passwörter_Agenturen!H151</f>
        <v>Kravag</v>
      </c>
      <c r="B125" s="76" t="str">
        <f>+Passwörter_Agenturen!J151</f>
        <v xml:space="preserve">770/771072 </v>
      </c>
      <c r="C125" s="76" t="str">
        <f>+Passwörter_Agenturen!I151</f>
        <v>261580</v>
      </c>
      <c r="D125" s="76">
        <f>+Passwörter_Agenturen!K151</f>
        <v>0</v>
      </c>
      <c r="E125" s="76">
        <f>+Passwörter_Agenturen!L151</f>
        <v>0</v>
      </c>
      <c r="F125" s="76">
        <f>+Passwörter_Agenturen!M151</f>
        <v>0</v>
      </c>
      <c r="G125" s="76">
        <f>+Passwörter_Agenturen!N151</f>
        <v>0</v>
      </c>
      <c r="H125" s="76">
        <f>+Passwörter_Agenturen!P151</f>
        <v>0</v>
      </c>
      <c r="I125" s="76">
        <f>+Passwörter_Agenturen!Q151</f>
        <v>0</v>
      </c>
      <c r="J125" s="76">
        <f>+Passwörter_Agenturen!R151</f>
        <v>0</v>
      </c>
      <c r="K125" s="76">
        <f>+Passwörter_Agenturen!S151</f>
        <v>0</v>
      </c>
      <c r="L125" s="76">
        <f>+Passwörter_Agenturen!T151</f>
        <v>0</v>
      </c>
      <c r="M125" s="76" t="str">
        <f>+Passwörter_Agenturen!U151</f>
        <v>784680</v>
      </c>
      <c r="N125" s="76">
        <f>+Passwörter_Agenturen!V151</f>
        <v>0</v>
      </c>
      <c r="O125" s="76">
        <f>+Passwörter_Agenturen!W151</f>
        <v>0</v>
      </c>
      <c r="P125" s="76">
        <f>+Passwörter_Agenturen!X151</f>
        <v>0</v>
      </c>
      <c r="Q125" s="76" t="str">
        <f>+Passwörter_Agenturen!Y151</f>
        <v>786274</v>
      </c>
      <c r="R125" s="76" t="str">
        <f>+Passwörter_Agenturen!Z151</f>
        <v>786958</v>
      </c>
      <c r="S125" s="76" t="str">
        <f>+Passwörter_Agenturen!AA151</f>
        <v>787396</v>
      </c>
      <c r="T125" s="76">
        <f>+Passwörter_Agenturen!AB151</f>
        <v>0</v>
      </c>
      <c r="U125" s="76" t="str">
        <f>+Passwörter_Agenturen!AC151</f>
        <v>785784</v>
      </c>
      <c r="V125" s="76">
        <f>+Passwörter_Agenturen!AD151</f>
        <v>0</v>
      </c>
      <c r="W125" s="76">
        <f>+Passwörter_Agenturen!AE151</f>
        <v>0</v>
      </c>
      <c r="X125" s="76">
        <f>+Passwörter_Agenturen!AF151</f>
        <v>0</v>
      </c>
      <c r="Y125" s="76">
        <f>+Passwörter_Agenturen!AG151</f>
        <v>0</v>
      </c>
      <c r="Z125" s="76">
        <f>+Passwörter_Agenturen!AH151</f>
        <v>0</v>
      </c>
    </row>
    <row r="126" spans="1:26" x14ac:dyDescent="0.25">
      <c r="A126" s="75" t="str">
        <f>+Passwörter_Agenturen!H152</f>
        <v>Kravag (Autohaus Hüther)</v>
      </c>
      <c r="B126" s="76">
        <f>+Passwörter_Agenturen!J152</f>
        <v>0</v>
      </c>
      <c r="C126" s="76">
        <f>+Passwörter_Agenturen!I152</f>
        <v>0</v>
      </c>
      <c r="D126" s="76">
        <f>+Passwörter_Agenturen!K152</f>
        <v>0</v>
      </c>
      <c r="E126" s="76">
        <f>+Passwörter_Agenturen!L152</f>
        <v>0</v>
      </c>
      <c r="F126" s="76">
        <f>+Passwörter_Agenturen!M152</f>
        <v>0</v>
      </c>
      <c r="G126" s="76">
        <f>+Passwörter_Agenturen!N152</f>
        <v>0</v>
      </c>
      <c r="H126" s="76">
        <f>+Passwörter_Agenturen!P152</f>
        <v>0</v>
      </c>
      <c r="I126" s="76">
        <f>+Passwörter_Agenturen!Q152</f>
        <v>0</v>
      </c>
      <c r="J126" s="76">
        <f>+Passwörter_Agenturen!R152</f>
        <v>0</v>
      </c>
      <c r="K126" s="76">
        <f>+Passwörter_Agenturen!S152</f>
        <v>0</v>
      </c>
      <c r="L126" s="76">
        <f>+Passwörter_Agenturen!T152</f>
        <v>0</v>
      </c>
      <c r="M126" s="76">
        <f>+Passwörter_Agenturen!U152</f>
        <v>0</v>
      </c>
      <c r="N126" s="76">
        <f>+Passwörter_Agenturen!V152</f>
        <v>0</v>
      </c>
      <c r="O126" s="76">
        <f>+Passwörter_Agenturen!W152</f>
        <v>0</v>
      </c>
      <c r="P126" s="76">
        <f>+Passwörter_Agenturen!X152</f>
        <v>0</v>
      </c>
      <c r="Q126" s="76">
        <f>+Passwörter_Agenturen!Y152</f>
        <v>0</v>
      </c>
      <c r="R126" s="76">
        <f>+Passwörter_Agenturen!Z152</f>
        <v>0</v>
      </c>
      <c r="S126" s="76">
        <f>+Passwörter_Agenturen!AA152</f>
        <v>0</v>
      </c>
      <c r="T126" s="76">
        <f>+Passwörter_Agenturen!AB152</f>
        <v>0</v>
      </c>
      <c r="U126" s="76">
        <f>+Passwörter_Agenturen!AC152</f>
        <v>0</v>
      </c>
      <c r="V126" s="76">
        <f>+Passwörter_Agenturen!AD152</f>
        <v>0</v>
      </c>
      <c r="W126" s="76">
        <f>+Passwörter_Agenturen!AE152</f>
        <v>0</v>
      </c>
      <c r="X126" s="76">
        <f>+Passwörter_Agenturen!AF152</f>
        <v>0</v>
      </c>
      <c r="Y126" s="76" t="str">
        <f>+Passwörter_Agenturen!AG152</f>
        <v>055347</v>
      </c>
      <c r="Z126" s="76">
        <f>+Passwörter_Agenturen!AH152</f>
        <v>0</v>
      </c>
    </row>
    <row r="127" spans="1:26" x14ac:dyDescent="0.25">
      <c r="A127" s="75" t="str">
        <f>+Passwörter_Agenturen!H153</f>
        <v>Kravag MMV (Wohnwagen)</v>
      </c>
      <c r="B127" s="76" t="str">
        <f>+Passwörter_Agenturen!J153</f>
        <v>802881</v>
      </c>
      <c r="C127" s="76">
        <f>+Passwörter_Agenturen!I153</f>
        <v>0</v>
      </c>
      <c r="D127" s="76">
        <f>+Passwörter_Agenturen!K153</f>
        <v>0</v>
      </c>
      <c r="E127" s="76">
        <f>+Passwörter_Agenturen!L153</f>
        <v>0</v>
      </c>
      <c r="F127" s="76">
        <f>+Passwörter_Agenturen!M153</f>
        <v>0</v>
      </c>
      <c r="G127" s="76">
        <f>+Passwörter_Agenturen!N153</f>
        <v>0</v>
      </c>
      <c r="H127" s="76">
        <f>+Passwörter_Agenturen!P153</f>
        <v>0</v>
      </c>
      <c r="I127" s="76">
        <f>+Passwörter_Agenturen!Q153</f>
        <v>0</v>
      </c>
      <c r="J127" s="76">
        <f>+Passwörter_Agenturen!R153</f>
        <v>0</v>
      </c>
      <c r="K127" s="76">
        <f>+Passwörter_Agenturen!S153</f>
        <v>0</v>
      </c>
      <c r="L127" s="76">
        <f>+Passwörter_Agenturen!T153</f>
        <v>0</v>
      </c>
      <c r="M127" s="76">
        <f>+Passwörter_Agenturen!U153</f>
        <v>0</v>
      </c>
      <c r="N127" s="76">
        <f>+Passwörter_Agenturen!V153</f>
        <v>0</v>
      </c>
      <c r="O127" s="76">
        <f>+Passwörter_Agenturen!W153</f>
        <v>0</v>
      </c>
      <c r="P127" s="76">
        <f>+Passwörter_Agenturen!X153</f>
        <v>0</v>
      </c>
      <c r="Q127" s="76">
        <f>+Passwörter_Agenturen!Y153</f>
        <v>0</v>
      </c>
      <c r="R127" s="76">
        <f>+Passwörter_Agenturen!Z153</f>
        <v>0</v>
      </c>
      <c r="S127" s="76">
        <f>+Passwörter_Agenturen!AA153</f>
        <v>0</v>
      </c>
      <c r="T127" s="76">
        <f>+Passwörter_Agenturen!AB153</f>
        <v>0</v>
      </c>
      <c r="U127" s="76">
        <f>+Passwörter_Agenturen!AC153</f>
        <v>0</v>
      </c>
      <c r="V127" s="76">
        <f>+Passwörter_Agenturen!AD153</f>
        <v>0</v>
      </c>
      <c r="W127" s="76">
        <f>+Passwörter_Agenturen!AE153</f>
        <v>0</v>
      </c>
      <c r="X127" s="76">
        <f>+Passwörter_Agenturen!AF153</f>
        <v>0</v>
      </c>
      <c r="Y127" s="76">
        <f>+Passwörter_Agenturen!AG153</f>
        <v>0</v>
      </c>
      <c r="Z127" s="76">
        <f>+Passwörter_Agenturen!AH153</f>
        <v>0</v>
      </c>
    </row>
    <row r="128" spans="1:26" x14ac:dyDescent="0.25">
      <c r="A128" s="75" t="str">
        <f>+Passwörter_Agenturen!H155</f>
        <v>Maklerexperten (PKV-Optimierung)</v>
      </c>
      <c r="B128" s="76" t="str">
        <f>+Passwörter_Agenturen!J155</f>
        <v>120369</v>
      </c>
      <c r="C128" s="76">
        <f>+Passwörter_Agenturen!I155</f>
        <v>0</v>
      </c>
      <c r="D128" s="76">
        <f>+Passwörter_Agenturen!K155</f>
        <v>0</v>
      </c>
      <c r="E128" s="76">
        <f>+Passwörter_Agenturen!L155</f>
        <v>0</v>
      </c>
      <c r="F128" s="76">
        <f>+Passwörter_Agenturen!M155</f>
        <v>0</v>
      </c>
      <c r="G128" s="76">
        <f>+Passwörter_Agenturen!N155</f>
        <v>0</v>
      </c>
      <c r="H128" s="76">
        <f>+Passwörter_Agenturen!P155</f>
        <v>0</v>
      </c>
      <c r="I128" s="76">
        <f>+Passwörter_Agenturen!Q155</f>
        <v>0</v>
      </c>
      <c r="J128" s="76">
        <f>+Passwörter_Agenturen!R155</f>
        <v>0</v>
      </c>
      <c r="K128" s="76">
        <f>+Passwörter_Agenturen!S155</f>
        <v>0</v>
      </c>
      <c r="L128" s="76">
        <f>+Passwörter_Agenturen!T155</f>
        <v>0</v>
      </c>
      <c r="M128" s="76">
        <f>+Passwörter_Agenturen!U155</f>
        <v>0</v>
      </c>
      <c r="N128" s="76">
        <f>+Passwörter_Agenturen!V155</f>
        <v>0</v>
      </c>
      <c r="O128" s="76">
        <f>+Passwörter_Agenturen!W155</f>
        <v>0</v>
      </c>
      <c r="P128" s="76">
        <f>+Passwörter_Agenturen!X155</f>
        <v>0</v>
      </c>
      <c r="Q128" s="76">
        <f>+Passwörter_Agenturen!Y155</f>
        <v>0</v>
      </c>
      <c r="R128" s="76">
        <f>+Passwörter_Agenturen!Z155</f>
        <v>0</v>
      </c>
      <c r="S128" s="76">
        <f>+Passwörter_Agenturen!AA155</f>
        <v>0</v>
      </c>
      <c r="T128" s="76">
        <f>+Passwörter_Agenturen!AB155</f>
        <v>0</v>
      </c>
      <c r="U128" s="76">
        <f>+Passwörter_Agenturen!AC155</f>
        <v>0</v>
      </c>
      <c r="V128" s="76">
        <f>+Passwörter_Agenturen!AD155</f>
        <v>0</v>
      </c>
      <c r="W128" s="76">
        <f>+Passwörter_Agenturen!AE155</f>
        <v>0</v>
      </c>
      <c r="X128" s="76">
        <f>+Passwörter_Agenturen!AF155</f>
        <v>0</v>
      </c>
      <c r="Y128" s="76">
        <f>+Passwörter_Agenturen!AG155</f>
        <v>0</v>
      </c>
      <c r="Z128" s="76">
        <f>+Passwörter_Agenturen!AH155</f>
        <v>0</v>
      </c>
    </row>
    <row r="129" spans="1:26" x14ac:dyDescent="0.25">
      <c r="A129" s="75" t="str">
        <f>+Passwörter_Agenturen!H156</f>
        <v>Maklermanagement AG</v>
      </c>
      <c r="B129" s="76" t="str">
        <f>+Passwörter_Agenturen!J156</f>
        <v>8710929</v>
      </c>
      <c r="C129" s="76">
        <f>+Passwörter_Agenturen!I156</f>
        <v>0</v>
      </c>
      <c r="D129" s="76">
        <f>+Passwörter_Agenturen!K156</f>
        <v>0</v>
      </c>
      <c r="E129" s="76">
        <f>+Passwörter_Agenturen!L156</f>
        <v>0</v>
      </c>
      <c r="F129" s="76">
        <f>+Passwörter_Agenturen!M156</f>
        <v>0</v>
      </c>
      <c r="G129" s="76">
        <f>+Passwörter_Agenturen!N156</f>
        <v>0</v>
      </c>
      <c r="H129" s="76">
        <f>+Passwörter_Agenturen!P156</f>
        <v>0</v>
      </c>
      <c r="I129" s="76">
        <f>+Passwörter_Agenturen!Q156</f>
        <v>0</v>
      </c>
      <c r="J129" s="76">
        <f>+Passwörter_Agenturen!R156</f>
        <v>0</v>
      </c>
      <c r="K129" s="76">
        <f>+Passwörter_Agenturen!S156</f>
        <v>0</v>
      </c>
      <c r="L129" s="76">
        <f>+Passwörter_Agenturen!T156</f>
        <v>0</v>
      </c>
      <c r="M129" s="76">
        <f>+Passwörter_Agenturen!U156</f>
        <v>0</v>
      </c>
      <c r="N129" s="76">
        <f>+Passwörter_Agenturen!V156</f>
        <v>0</v>
      </c>
      <c r="O129" s="76">
        <f>+Passwörter_Agenturen!W156</f>
        <v>0</v>
      </c>
      <c r="P129" s="76">
        <f>+Passwörter_Agenturen!X156</f>
        <v>0</v>
      </c>
      <c r="Q129" s="76">
        <f>+Passwörter_Agenturen!Y156</f>
        <v>0</v>
      </c>
      <c r="R129" s="76">
        <f>+Passwörter_Agenturen!Z156</f>
        <v>0</v>
      </c>
      <c r="S129" s="76">
        <f>+Passwörter_Agenturen!AA156</f>
        <v>0</v>
      </c>
      <c r="T129" s="76">
        <f>+Passwörter_Agenturen!AB156</f>
        <v>0</v>
      </c>
      <c r="U129" s="76">
        <f>+Passwörter_Agenturen!AC156</f>
        <v>0</v>
      </c>
      <c r="V129" s="76">
        <f>+Passwörter_Agenturen!AD156</f>
        <v>0</v>
      </c>
      <c r="W129" s="76">
        <f>+Passwörter_Agenturen!AE156</f>
        <v>0</v>
      </c>
      <c r="X129" s="76">
        <f>+Passwörter_Agenturen!AF156</f>
        <v>0</v>
      </c>
      <c r="Y129" s="76">
        <f>+Passwörter_Agenturen!AG156</f>
        <v>0</v>
      </c>
      <c r="Z129" s="76">
        <f>+Passwörter_Agenturen!AH156</f>
        <v>0</v>
      </c>
    </row>
    <row r="130" spans="1:26" x14ac:dyDescent="0.25">
      <c r="A130" s="75" t="str">
        <f>+Passwörter_Agenturen!H157</f>
        <v>Maklersoftware.com / Myfin24</v>
      </c>
      <c r="B130" s="76">
        <f>+Passwörter_Agenturen!J157</f>
        <v>0</v>
      </c>
      <c r="C130" s="76">
        <f>+Passwörter_Agenturen!I157</f>
        <v>0</v>
      </c>
      <c r="D130" s="76">
        <f>+Passwörter_Agenturen!K157</f>
        <v>0</v>
      </c>
      <c r="E130" s="76">
        <f>+Passwörter_Agenturen!L157</f>
        <v>0</v>
      </c>
      <c r="F130" s="76">
        <f>+Passwörter_Agenturen!M157</f>
        <v>0</v>
      </c>
      <c r="G130" s="76">
        <f>+Passwörter_Agenturen!N157</f>
        <v>0</v>
      </c>
      <c r="H130" s="76">
        <f>+Passwörter_Agenturen!P157</f>
        <v>0</v>
      </c>
      <c r="I130" s="76">
        <f>+Passwörter_Agenturen!Q157</f>
        <v>0</v>
      </c>
      <c r="J130" s="76">
        <f>+Passwörter_Agenturen!R157</f>
        <v>0</v>
      </c>
      <c r="K130" s="76">
        <f>+Passwörter_Agenturen!S157</f>
        <v>0</v>
      </c>
      <c r="L130" s="76">
        <f>+Passwörter_Agenturen!T157</f>
        <v>0</v>
      </c>
      <c r="M130" s="76">
        <f>+Passwörter_Agenturen!U157</f>
        <v>0</v>
      </c>
      <c r="N130" s="76">
        <f>+Passwörter_Agenturen!V157</f>
        <v>0</v>
      </c>
      <c r="O130" s="76">
        <f>+Passwörter_Agenturen!W157</f>
        <v>0</v>
      </c>
      <c r="P130" s="76">
        <f>+Passwörter_Agenturen!X157</f>
        <v>0</v>
      </c>
      <c r="Q130" s="76">
        <f>+Passwörter_Agenturen!Y157</f>
        <v>0</v>
      </c>
      <c r="R130" s="76">
        <f>+Passwörter_Agenturen!Z157</f>
        <v>0</v>
      </c>
      <c r="S130" s="76">
        <f>+Passwörter_Agenturen!AA157</f>
        <v>0</v>
      </c>
      <c r="T130" s="76">
        <f>+Passwörter_Agenturen!AB157</f>
        <v>0</v>
      </c>
      <c r="U130" s="76">
        <f>+Passwörter_Agenturen!AC157</f>
        <v>0</v>
      </c>
      <c r="V130" s="76">
        <f>+Passwörter_Agenturen!AD157</f>
        <v>0</v>
      </c>
      <c r="W130" s="76">
        <f>+Passwörter_Agenturen!AE157</f>
        <v>0</v>
      </c>
      <c r="X130" s="76">
        <f>+Passwörter_Agenturen!AF157</f>
        <v>0</v>
      </c>
      <c r="Y130" s="76">
        <f>+Passwörter_Agenturen!AG157</f>
        <v>0</v>
      </c>
      <c r="Z130" s="76">
        <f>+Passwörter_Agenturen!AH157</f>
        <v>0</v>
      </c>
    </row>
    <row r="131" spans="1:26" x14ac:dyDescent="0.25">
      <c r="A131" s="75" t="str">
        <f>+Passwörter_Agenturen!H158</f>
        <v>Mannheimer Kranken</v>
      </c>
      <c r="B131" s="76" t="str">
        <f>+Passwörter_Agenturen!J158</f>
        <v>522/66982</v>
      </c>
      <c r="C131" s="76" t="str">
        <f>+Passwörter_Agenturen!I158</f>
        <v>66982</v>
      </c>
      <c r="D131" s="76">
        <f>+Passwörter_Agenturen!K158</f>
        <v>0</v>
      </c>
      <c r="E131" s="76">
        <f>+Passwörter_Agenturen!L158</f>
        <v>0</v>
      </c>
      <c r="F131" s="76">
        <f>+Passwörter_Agenturen!M158</f>
        <v>0</v>
      </c>
      <c r="G131" s="76">
        <f>+Passwörter_Agenturen!N158</f>
        <v>0</v>
      </c>
      <c r="H131" s="76">
        <f>+Passwörter_Agenturen!P158</f>
        <v>0</v>
      </c>
      <c r="I131" s="76">
        <f>+Passwörter_Agenturen!Q158</f>
        <v>0</v>
      </c>
      <c r="J131" s="76">
        <f>+Passwörter_Agenturen!R158</f>
        <v>0</v>
      </c>
      <c r="K131" s="76">
        <f>+Passwörter_Agenturen!S158</f>
        <v>0</v>
      </c>
      <c r="L131" s="76">
        <f>+Passwörter_Agenturen!T158</f>
        <v>0</v>
      </c>
      <c r="M131" s="76">
        <f>+Passwörter_Agenturen!U158</f>
        <v>0</v>
      </c>
      <c r="N131" s="76">
        <f>+Passwörter_Agenturen!V158</f>
        <v>0</v>
      </c>
      <c r="O131" s="76">
        <f>+Passwörter_Agenturen!W158</f>
        <v>0</v>
      </c>
      <c r="P131" s="76">
        <f>+Passwörter_Agenturen!X158</f>
        <v>0</v>
      </c>
      <c r="Q131" s="76">
        <f>+Passwörter_Agenturen!Y158</f>
        <v>0</v>
      </c>
      <c r="R131" s="76">
        <f>+Passwörter_Agenturen!Z158</f>
        <v>0</v>
      </c>
      <c r="S131" s="76">
        <f>+Passwörter_Agenturen!AA158</f>
        <v>0</v>
      </c>
      <c r="T131" s="76">
        <f>+Passwörter_Agenturen!AB158</f>
        <v>0</v>
      </c>
      <c r="U131" s="76">
        <f>+Passwörter_Agenturen!AC158</f>
        <v>0</v>
      </c>
      <c r="V131" s="76">
        <f>+Passwörter_Agenturen!AD158</f>
        <v>0</v>
      </c>
      <c r="W131" s="76">
        <f>+Passwörter_Agenturen!AE158</f>
        <v>0</v>
      </c>
      <c r="X131" s="76">
        <f>+Passwörter_Agenturen!AF158</f>
        <v>0</v>
      </c>
      <c r="Y131" s="76">
        <f>+Passwörter_Agenturen!AG158</f>
        <v>0</v>
      </c>
      <c r="Z131" s="76">
        <f>+Passwörter_Agenturen!AH158</f>
        <v>0</v>
      </c>
    </row>
    <row r="132" spans="1:26" x14ac:dyDescent="0.25">
      <c r="A132" s="75" t="str">
        <f>+Passwörter_Agenturen!H159</f>
        <v>Mannheimer Sach</v>
      </c>
      <c r="B132" s="76" t="str">
        <f>+Passwörter_Agenturen!J159</f>
        <v>522/60720</v>
      </c>
      <c r="C132" s="76" t="str">
        <f>+Passwörter_Agenturen!I159</f>
        <v>60720</v>
      </c>
      <c r="D132" s="76">
        <f>+Passwörter_Agenturen!K159</f>
        <v>0</v>
      </c>
      <c r="E132" s="76" t="str">
        <f>+Passwörter_Agenturen!L159</f>
        <v>522/88877</v>
      </c>
      <c r="F132" s="76">
        <f>+Passwörter_Agenturen!M159</f>
        <v>0</v>
      </c>
      <c r="G132" s="76">
        <f>+Passwörter_Agenturen!N159</f>
        <v>0</v>
      </c>
      <c r="H132" s="76">
        <f>+Passwörter_Agenturen!P159</f>
        <v>0</v>
      </c>
      <c r="I132" s="76">
        <f>+Passwörter_Agenturen!Q159</f>
        <v>0</v>
      </c>
      <c r="J132" s="76">
        <f>+Passwörter_Agenturen!R159</f>
        <v>0</v>
      </c>
      <c r="K132" s="76">
        <f>+Passwörter_Agenturen!S159</f>
        <v>0</v>
      </c>
      <c r="L132" s="76">
        <f>+Passwörter_Agenturen!T159</f>
        <v>0</v>
      </c>
      <c r="M132" s="76">
        <f>+Passwörter_Agenturen!U159</f>
        <v>0</v>
      </c>
      <c r="N132" s="76">
        <f>+Passwörter_Agenturen!V159</f>
        <v>0</v>
      </c>
      <c r="O132" s="76">
        <f>+Passwörter_Agenturen!W159</f>
        <v>0</v>
      </c>
      <c r="P132" s="76">
        <f>+Passwörter_Agenturen!X159</f>
        <v>0</v>
      </c>
      <c r="Q132" s="76">
        <f>+Passwörter_Agenturen!Y159</f>
        <v>0</v>
      </c>
      <c r="R132" s="76">
        <f>+Passwörter_Agenturen!Z159</f>
        <v>0</v>
      </c>
      <c r="S132" s="76">
        <f>+Passwörter_Agenturen!AA159</f>
        <v>0</v>
      </c>
      <c r="T132" s="76">
        <f>+Passwörter_Agenturen!AB159</f>
        <v>0</v>
      </c>
      <c r="U132" s="76">
        <f>+Passwörter_Agenturen!AC159</f>
        <v>0</v>
      </c>
      <c r="V132" s="76">
        <f>+Passwörter_Agenturen!AD159</f>
        <v>0</v>
      </c>
      <c r="W132" s="76">
        <f>+Passwörter_Agenturen!AE159</f>
        <v>0</v>
      </c>
      <c r="X132" s="76">
        <f>+Passwörter_Agenturen!AF159</f>
        <v>0</v>
      </c>
      <c r="Y132" s="76">
        <f>+Passwörter_Agenturen!AG159</f>
        <v>0</v>
      </c>
      <c r="Z132" s="76">
        <f>+Passwörter_Agenturen!AH159</f>
        <v>0</v>
      </c>
    </row>
    <row r="133" spans="1:26" x14ac:dyDescent="0.25">
      <c r="A133" s="75" t="str">
        <f>+Passwörter_Agenturen!H160</f>
        <v>Markel</v>
      </c>
      <c r="B133" s="76" t="str">
        <f>+Passwörter_Agenturen!J160</f>
        <v>52527138</v>
      </c>
      <c r="C133" s="76" t="str">
        <f>+Passwörter_Agenturen!I160</f>
        <v>52527138</v>
      </c>
      <c r="D133" s="76">
        <f>+Passwörter_Agenturen!K160</f>
        <v>0</v>
      </c>
      <c r="E133" s="76">
        <f>+Passwörter_Agenturen!L160</f>
        <v>0</v>
      </c>
      <c r="F133" s="76">
        <f>+Passwörter_Agenturen!M160</f>
        <v>0</v>
      </c>
      <c r="G133" s="76">
        <f>+Passwörter_Agenturen!N160</f>
        <v>0</v>
      </c>
      <c r="H133" s="76">
        <f>+Passwörter_Agenturen!P160</f>
        <v>0</v>
      </c>
      <c r="I133" s="76">
        <f>+Passwörter_Agenturen!Q160</f>
        <v>0</v>
      </c>
      <c r="J133" s="76">
        <f>+Passwörter_Agenturen!R160</f>
        <v>0</v>
      </c>
      <c r="K133" s="76">
        <f>+Passwörter_Agenturen!S160</f>
        <v>0</v>
      </c>
      <c r="L133" s="76">
        <f>+Passwörter_Agenturen!T160</f>
        <v>0</v>
      </c>
      <c r="M133" s="76">
        <f>+Passwörter_Agenturen!U160</f>
        <v>0</v>
      </c>
      <c r="N133" s="76">
        <f>+Passwörter_Agenturen!V160</f>
        <v>0</v>
      </c>
      <c r="O133" s="76">
        <f>+Passwörter_Agenturen!W160</f>
        <v>0</v>
      </c>
      <c r="P133" s="76">
        <f>+Passwörter_Agenturen!X160</f>
        <v>0</v>
      </c>
      <c r="Q133" s="76">
        <f>+Passwörter_Agenturen!Y160</f>
        <v>0</v>
      </c>
      <c r="R133" s="76">
        <f>+Passwörter_Agenturen!Z160</f>
        <v>0</v>
      </c>
      <c r="S133" s="76">
        <f>+Passwörter_Agenturen!AA160</f>
        <v>0</v>
      </c>
      <c r="T133" s="76">
        <f>+Passwörter_Agenturen!AB160</f>
        <v>0</v>
      </c>
      <c r="U133" s="76">
        <f>+Passwörter_Agenturen!AC160</f>
        <v>0</v>
      </c>
      <c r="V133" s="76">
        <f>+Passwörter_Agenturen!AD160</f>
        <v>0</v>
      </c>
      <c r="W133" s="76">
        <f>+Passwörter_Agenturen!AE160</f>
        <v>0</v>
      </c>
      <c r="X133" s="76">
        <f>+Passwörter_Agenturen!AF160</f>
        <v>0</v>
      </c>
      <c r="Y133" s="76">
        <f>+Passwörter_Agenturen!AG160</f>
        <v>0</v>
      </c>
      <c r="Z133" s="76">
        <f>+Passwörter_Agenturen!AH160</f>
        <v>0</v>
      </c>
    </row>
    <row r="134" spans="1:26" x14ac:dyDescent="0.25">
      <c r="A134" s="75" t="str">
        <f>+Passwörter_Agenturen!H161</f>
        <v>MAS</v>
      </c>
      <c r="B134" s="76" t="str">
        <f>+Passwörter_Agenturen!J161</f>
        <v>692</v>
      </c>
      <c r="C134" s="76">
        <f>+Passwörter_Agenturen!I161</f>
        <v>0</v>
      </c>
      <c r="D134" s="76">
        <f>+Passwörter_Agenturen!K161</f>
        <v>0</v>
      </c>
      <c r="E134" s="76">
        <f>+Passwörter_Agenturen!L161</f>
        <v>0</v>
      </c>
      <c r="F134" s="76">
        <f>+Passwörter_Agenturen!M161</f>
        <v>0</v>
      </c>
      <c r="G134" s="76">
        <f>+Passwörter_Agenturen!N161</f>
        <v>0</v>
      </c>
      <c r="H134" s="76">
        <f>+Passwörter_Agenturen!P161</f>
        <v>0</v>
      </c>
      <c r="I134" s="76">
        <f>+Passwörter_Agenturen!Q161</f>
        <v>0</v>
      </c>
      <c r="J134" s="76">
        <f>+Passwörter_Agenturen!R161</f>
        <v>0</v>
      </c>
      <c r="K134" s="76">
        <f>+Passwörter_Agenturen!S161</f>
        <v>0</v>
      </c>
      <c r="L134" s="76">
        <f>+Passwörter_Agenturen!T161</f>
        <v>0</v>
      </c>
      <c r="M134" s="76">
        <f>+Passwörter_Agenturen!U161</f>
        <v>0</v>
      </c>
      <c r="N134" s="76">
        <f>+Passwörter_Agenturen!V161</f>
        <v>0</v>
      </c>
      <c r="O134" s="76">
        <f>+Passwörter_Agenturen!W161</f>
        <v>0</v>
      </c>
      <c r="P134" s="76">
        <f>+Passwörter_Agenturen!X161</f>
        <v>0</v>
      </c>
      <c r="Q134" s="76">
        <f>+Passwörter_Agenturen!Y161</f>
        <v>0</v>
      </c>
      <c r="R134" s="76">
        <f>+Passwörter_Agenturen!Z161</f>
        <v>0</v>
      </c>
      <c r="S134" s="76">
        <f>+Passwörter_Agenturen!AA161</f>
        <v>0</v>
      </c>
      <c r="T134" s="76">
        <f>+Passwörter_Agenturen!AB161</f>
        <v>0</v>
      </c>
      <c r="U134" s="76">
        <f>+Passwörter_Agenturen!AC161</f>
        <v>0</v>
      </c>
      <c r="V134" s="76">
        <f>+Passwörter_Agenturen!AD161</f>
        <v>0</v>
      </c>
      <c r="W134" s="76">
        <f>+Passwörter_Agenturen!AE161</f>
        <v>0</v>
      </c>
      <c r="X134" s="76">
        <f>+Passwörter_Agenturen!AF161</f>
        <v>0</v>
      </c>
      <c r="Y134" s="76">
        <f>+Passwörter_Agenturen!AG161</f>
        <v>0</v>
      </c>
      <c r="Z134" s="76">
        <f>+Passwörter_Agenturen!AH161</f>
        <v>0</v>
      </c>
    </row>
    <row r="135" spans="1:26" x14ac:dyDescent="0.25">
      <c r="A135" s="75" t="str">
        <f>+Passwörter_Agenturen!H162</f>
        <v>MAS für Volkswohl-Bund</v>
      </c>
      <c r="B135" s="76" t="str">
        <f>+Passwörter_Agenturen!J162</f>
        <v>046/477</v>
      </c>
      <c r="C135" s="76">
        <f>+Passwörter_Agenturen!I162</f>
        <v>0</v>
      </c>
      <c r="D135" s="76">
        <f>+Passwörter_Agenturen!K162</f>
        <v>0</v>
      </c>
      <c r="E135" s="76">
        <f>+Passwörter_Agenturen!L162</f>
        <v>0</v>
      </c>
      <c r="F135" s="76">
        <f>+Passwörter_Agenturen!M162</f>
        <v>0</v>
      </c>
      <c r="G135" s="76">
        <f>+Passwörter_Agenturen!N162</f>
        <v>0</v>
      </c>
      <c r="H135" s="76">
        <f>+Passwörter_Agenturen!P162</f>
        <v>0</v>
      </c>
      <c r="I135" s="76">
        <f>+Passwörter_Agenturen!Q162</f>
        <v>0</v>
      </c>
      <c r="J135" s="76">
        <f>+Passwörter_Agenturen!R162</f>
        <v>0</v>
      </c>
      <c r="K135" s="76">
        <f>+Passwörter_Agenturen!S162</f>
        <v>0</v>
      </c>
      <c r="L135" s="76">
        <f>+Passwörter_Agenturen!T162</f>
        <v>0</v>
      </c>
      <c r="M135" s="76">
        <f>+Passwörter_Agenturen!U162</f>
        <v>0</v>
      </c>
      <c r="N135" s="76">
        <f>+Passwörter_Agenturen!V162</f>
        <v>0</v>
      </c>
      <c r="O135" s="76">
        <f>+Passwörter_Agenturen!W162</f>
        <v>0</v>
      </c>
      <c r="P135" s="76">
        <f>+Passwörter_Agenturen!X162</f>
        <v>0</v>
      </c>
      <c r="Q135" s="76">
        <f>+Passwörter_Agenturen!Y162</f>
        <v>0</v>
      </c>
      <c r="R135" s="76">
        <f>+Passwörter_Agenturen!Z162</f>
        <v>0</v>
      </c>
      <c r="S135" s="76">
        <f>+Passwörter_Agenturen!AA162</f>
        <v>0</v>
      </c>
      <c r="T135" s="76">
        <f>+Passwörter_Agenturen!AB162</f>
        <v>0</v>
      </c>
      <c r="U135" s="76">
        <f>+Passwörter_Agenturen!AC162</f>
        <v>0</v>
      </c>
      <c r="V135" s="76">
        <f>+Passwörter_Agenturen!AD162</f>
        <v>0</v>
      </c>
      <c r="W135" s="76">
        <f>+Passwörter_Agenturen!AE162</f>
        <v>0</v>
      </c>
      <c r="X135" s="76">
        <f>+Passwörter_Agenturen!AF162</f>
        <v>0</v>
      </c>
      <c r="Y135" s="76">
        <f>+Passwörter_Agenturen!AG162</f>
        <v>0</v>
      </c>
      <c r="Z135" s="76">
        <f>+Passwörter_Agenturen!AH162</f>
        <v>0</v>
      </c>
    </row>
    <row r="136" spans="1:26" x14ac:dyDescent="0.25">
      <c r="A136" s="75" t="str">
        <f>+Passwörter_Agenturen!H163</f>
        <v xml:space="preserve">Maxpool </v>
      </c>
      <c r="B136" s="76" t="str">
        <f>+Passwörter_Agenturen!J163</f>
        <v>000-4057</v>
      </c>
      <c r="C136" s="76">
        <f>+Passwörter_Agenturen!I163</f>
        <v>0</v>
      </c>
      <c r="D136" s="76">
        <f>+Passwörter_Agenturen!K163</f>
        <v>0</v>
      </c>
      <c r="E136" s="76">
        <f>+Passwörter_Agenturen!L163</f>
        <v>0</v>
      </c>
      <c r="F136" s="76">
        <f>+Passwörter_Agenturen!M163</f>
        <v>0</v>
      </c>
      <c r="G136" s="76">
        <f>+Passwörter_Agenturen!N163</f>
        <v>0</v>
      </c>
      <c r="H136" s="76">
        <f>+Passwörter_Agenturen!P163</f>
        <v>0</v>
      </c>
      <c r="I136" s="76">
        <f>+Passwörter_Agenturen!Q163</f>
        <v>0</v>
      </c>
      <c r="J136" s="76">
        <f>+Passwörter_Agenturen!R163</f>
        <v>0</v>
      </c>
      <c r="K136" s="76">
        <f>+Passwörter_Agenturen!S163</f>
        <v>0</v>
      </c>
      <c r="L136" s="76">
        <f>+Passwörter_Agenturen!T163</f>
        <v>0</v>
      </c>
      <c r="M136" s="76">
        <f>+Passwörter_Agenturen!U163</f>
        <v>0</v>
      </c>
      <c r="N136" s="76">
        <f>+Passwörter_Agenturen!V163</f>
        <v>0</v>
      </c>
      <c r="O136" s="76">
        <f>+Passwörter_Agenturen!W163</f>
        <v>0</v>
      </c>
      <c r="P136" s="76">
        <f>+Passwörter_Agenturen!X163</f>
        <v>0</v>
      </c>
      <c r="Q136" s="76">
        <f>+Passwörter_Agenturen!Y163</f>
        <v>0</v>
      </c>
      <c r="R136" s="76">
        <f>+Passwörter_Agenturen!Z163</f>
        <v>0</v>
      </c>
      <c r="S136" s="76">
        <f>+Passwörter_Agenturen!AA163</f>
        <v>0</v>
      </c>
      <c r="T136" s="76">
        <f>+Passwörter_Agenturen!AB163</f>
        <v>0</v>
      </c>
      <c r="U136" s="76">
        <f>+Passwörter_Agenturen!AC163</f>
        <v>0</v>
      </c>
      <c r="V136" s="76">
        <f>+Passwörter_Agenturen!AD163</f>
        <v>0</v>
      </c>
      <c r="W136" s="76">
        <f>+Passwörter_Agenturen!AE163</f>
        <v>0</v>
      </c>
      <c r="X136" s="76">
        <f>+Passwörter_Agenturen!AF163</f>
        <v>0</v>
      </c>
      <c r="Y136" s="76">
        <f>+Passwörter_Agenturen!AG163</f>
        <v>0</v>
      </c>
      <c r="Z136" s="76">
        <f>+Passwörter_Agenturen!AH163</f>
        <v>0</v>
      </c>
    </row>
    <row r="137" spans="1:26" x14ac:dyDescent="0.25">
      <c r="A137" s="75" t="str">
        <f>+Passwörter_Agenturen!H164</f>
        <v>Maxpool Leben</v>
      </c>
      <c r="B137" s="76" t="str">
        <f>+Passwörter_Agenturen!J164</f>
        <v>000-6057</v>
      </c>
      <c r="C137" s="76">
        <f>+Passwörter_Agenturen!I164</f>
        <v>0</v>
      </c>
      <c r="D137" s="76">
        <f>+Passwörter_Agenturen!K164</f>
        <v>0</v>
      </c>
      <c r="E137" s="76">
        <f>+Passwörter_Agenturen!L164</f>
        <v>0</v>
      </c>
      <c r="F137" s="76">
        <f>+Passwörter_Agenturen!M164</f>
        <v>0</v>
      </c>
      <c r="G137" s="76">
        <f>+Passwörter_Agenturen!N164</f>
        <v>0</v>
      </c>
      <c r="H137" s="76">
        <f>+Passwörter_Agenturen!P164</f>
        <v>0</v>
      </c>
      <c r="I137" s="76">
        <f>+Passwörter_Agenturen!Q164</f>
        <v>0</v>
      </c>
      <c r="J137" s="76">
        <f>+Passwörter_Agenturen!R164</f>
        <v>0</v>
      </c>
      <c r="K137" s="76">
        <f>+Passwörter_Agenturen!S164</f>
        <v>0</v>
      </c>
      <c r="L137" s="76">
        <f>+Passwörter_Agenturen!T164</f>
        <v>0</v>
      </c>
      <c r="M137" s="76">
        <f>+Passwörter_Agenturen!U164</f>
        <v>0</v>
      </c>
      <c r="N137" s="76">
        <f>+Passwörter_Agenturen!V164</f>
        <v>0</v>
      </c>
      <c r="O137" s="76">
        <f>+Passwörter_Agenturen!W164</f>
        <v>0</v>
      </c>
      <c r="P137" s="76">
        <f>+Passwörter_Agenturen!X164</f>
        <v>0</v>
      </c>
      <c r="Q137" s="76">
        <f>+Passwörter_Agenturen!Y164</f>
        <v>0</v>
      </c>
      <c r="R137" s="76">
        <f>+Passwörter_Agenturen!Z164</f>
        <v>0</v>
      </c>
      <c r="S137" s="76">
        <f>+Passwörter_Agenturen!AA164</f>
        <v>0</v>
      </c>
      <c r="T137" s="76">
        <f>+Passwörter_Agenturen!AB164</f>
        <v>0</v>
      </c>
      <c r="U137" s="76">
        <f>+Passwörter_Agenturen!AC164</f>
        <v>0</v>
      </c>
      <c r="V137" s="76">
        <f>+Passwörter_Agenturen!AD164</f>
        <v>0</v>
      </c>
      <c r="W137" s="76">
        <f>+Passwörter_Agenturen!AE164</f>
        <v>0</v>
      </c>
      <c r="X137" s="76">
        <f>+Passwörter_Agenturen!AF164</f>
        <v>0</v>
      </c>
      <c r="Y137" s="76">
        <f>+Passwörter_Agenturen!AG164</f>
        <v>0</v>
      </c>
      <c r="Z137" s="76">
        <f>+Passwörter_Agenturen!AH164</f>
        <v>0</v>
      </c>
    </row>
    <row r="138" spans="1:26" x14ac:dyDescent="0.25">
      <c r="A138" s="75" t="str">
        <f>+Passwörter_Agenturen!H166</f>
        <v xml:space="preserve">Medienversicherung </v>
      </c>
      <c r="B138" s="76">
        <f>+Passwörter_Agenturen!J166</f>
        <v>0</v>
      </c>
      <c r="C138" s="76" t="str">
        <f>+Passwörter_Agenturen!I166</f>
        <v>80487</v>
      </c>
      <c r="D138" s="76">
        <f>+Passwörter_Agenturen!K166</f>
        <v>0</v>
      </c>
      <c r="E138" s="76">
        <f>+Passwörter_Agenturen!L166</f>
        <v>0</v>
      </c>
      <c r="F138" s="76">
        <f>+Passwörter_Agenturen!M166</f>
        <v>0</v>
      </c>
      <c r="G138" s="76" t="str">
        <f>+Passwörter_Agenturen!N166</f>
        <v>79506</v>
      </c>
      <c r="H138" s="76">
        <f>+Passwörter_Agenturen!P166</f>
        <v>0</v>
      </c>
      <c r="I138" s="76">
        <f>+Passwörter_Agenturen!Q166</f>
        <v>0</v>
      </c>
      <c r="J138" s="76">
        <f>+Passwörter_Agenturen!R166</f>
        <v>0</v>
      </c>
      <c r="K138" s="76">
        <f>+Passwörter_Agenturen!S166</f>
        <v>0</v>
      </c>
      <c r="L138" s="76">
        <f>+Passwörter_Agenturen!T166</f>
        <v>0</v>
      </c>
      <c r="M138" s="76">
        <f>+Passwörter_Agenturen!U166</f>
        <v>0</v>
      </c>
      <c r="N138" s="76">
        <f>+Passwörter_Agenturen!V166</f>
        <v>0</v>
      </c>
      <c r="O138" s="76">
        <f>+Passwörter_Agenturen!W166</f>
        <v>0</v>
      </c>
      <c r="P138" s="76">
        <f>+Passwörter_Agenturen!X166</f>
        <v>0</v>
      </c>
      <c r="Q138" s="76">
        <f>+Passwörter_Agenturen!Y166</f>
        <v>0</v>
      </c>
      <c r="R138" s="76">
        <f>+Passwörter_Agenturen!Z166</f>
        <v>0</v>
      </c>
      <c r="S138" s="76">
        <f>+Passwörter_Agenturen!AA166</f>
        <v>0</v>
      </c>
      <c r="T138" s="76">
        <f>+Passwörter_Agenturen!AB166</f>
        <v>0</v>
      </c>
      <c r="U138" s="76">
        <f>+Passwörter_Agenturen!AC166</f>
        <v>0</v>
      </c>
      <c r="V138" s="76">
        <f>+Passwörter_Agenturen!AD166</f>
        <v>0</v>
      </c>
      <c r="W138" s="76">
        <f>+Passwörter_Agenturen!AE166</f>
        <v>0</v>
      </c>
      <c r="X138" s="76">
        <f>+Passwörter_Agenturen!AF166</f>
        <v>0</v>
      </c>
      <c r="Y138" s="76">
        <f>+Passwörter_Agenturen!AG166</f>
        <v>0</v>
      </c>
      <c r="Z138" s="76">
        <f>+Passwörter_Agenturen!AH166</f>
        <v>0</v>
      </c>
    </row>
    <row r="139" spans="1:26" x14ac:dyDescent="0.25">
      <c r="A139" s="75" t="str">
        <f>+Passwörter_Agenturen!H167</f>
        <v>Metzler</v>
      </c>
      <c r="B139" s="76" t="str">
        <f>+Passwörter_Agenturen!J167</f>
        <v>14916</v>
      </c>
      <c r="C139" s="76">
        <f>+Passwörter_Agenturen!I167</f>
        <v>0</v>
      </c>
      <c r="D139" s="76">
        <f>+Passwörter_Agenturen!K167</f>
        <v>0</v>
      </c>
      <c r="E139" s="76">
        <f>+Passwörter_Agenturen!L167</f>
        <v>0</v>
      </c>
      <c r="F139" s="76">
        <f>+Passwörter_Agenturen!M167</f>
        <v>0</v>
      </c>
      <c r="G139" s="76">
        <f>+Passwörter_Agenturen!N167</f>
        <v>0</v>
      </c>
      <c r="H139" s="76">
        <f>+Passwörter_Agenturen!P167</f>
        <v>0</v>
      </c>
      <c r="I139" s="76">
        <f>+Passwörter_Agenturen!Q167</f>
        <v>0</v>
      </c>
      <c r="J139" s="76">
        <f>+Passwörter_Agenturen!R167</f>
        <v>0</v>
      </c>
      <c r="K139" s="76">
        <f>+Passwörter_Agenturen!S167</f>
        <v>0</v>
      </c>
      <c r="L139" s="76">
        <f>+Passwörter_Agenturen!T167</f>
        <v>0</v>
      </c>
      <c r="M139" s="76">
        <f>+Passwörter_Agenturen!U167</f>
        <v>0</v>
      </c>
      <c r="N139" s="76">
        <f>+Passwörter_Agenturen!V167</f>
        <v>0</v>
      </c>
      <c r="O139" s="76">
        <f>+Passwörter_Agenturen!W167</f>
        <v>0</v>
      </c>
      <c r="P139" s="76">
        <f>+Passwörter_Agenturen!X167</f>
        <v>0</v>
      </c>
      <c r="Q139" s="76">
        <f>+Passwörter_Agenturen!Y167</f>
        <v>0</v>
      </c>
      <c r="R139" s="76">
        <f>+Passwörter_Agenturen!Z167</f>
        <v>0</v>
      </c>
      <c r="S139" s="76">
        <f>+Passwörter_Agenturen!AA167</f>
        <v>0</v>
      </c>
      <c r="T139" s="76">
        <f>+Passwörter_Agenturen!AB167</f>
        <v>0</v>
      </c>
      <c r="U139" s="76">
        <f>+Passwörter_Agenturen!AC167</f>
        <v>0</v>
      </c>
      <c r="V139" s="76">
        <f>+Passwörter_Agenturen!AD167</f>
        <v>0</v>
      </c>
      <c r="W139" s="76">
        <f>+Passwörter_Agenturen!AE167</f>
        <v>0</v>
      </c>
      <c r="X139" s="76">
        <f>+Passwörter_Agenturen!AF167</f>
        <v>0</v>
      </c>
      <c r="Y139" s="76">
        <f>+Passwörter_Agenturen!AG167</f>
        <v>0</v>
      </c>
      <c r="Z139" s="76">
        <f>+Passwörter_Agenturen!AH167</f>
        <v>0</v>
      </c>
    </row>
    <row r="140" spans="1:26" x14ac:dyDescent="0.25">
      <c r="A140" s="75" t="str">
        <f>+Passwörter_Agenturen!H168</f>
        <v>Metzler Vermög.verw.</v>
      </c>
      <c r="B140" s="76" t="str">
        <f>+Passwörter_Agenturen!J168</f>
        <v>14918</v>
      </c>
      <c r="C140" s="76">
        <f>+Passwörter_Agenturen!I168</f>
        <v>0</v>
      </c>
      <c r="D140" s="76">
        <f>+Passwörter_Agenturen!K168</f>
        <v>0</v>
      </c>
      <c r="E140" s="76">
        <f>+Passwörter_Agenturen!L168</f>
        <v>0</v>
      </c>
      <c r="F140" s="76">
        <f>+Passwörter_Agenturen!M168</f>
        <v>0</v>
      </c>
      <c r="G140" s="76">
        <f>+Passwörter_Agenturen!N168</f>
        <v>0</v>
      </c>
      <c r="H140" s="76">
        <f>+Passwörter_Agenturen!P168</f>
        <v>0</v>
      </c>
      <c r="I140" s="76">
        <f>+Passwörter_Agenturen!Q168</f>
        <v>0</v>
      </c>
      <c r="J140" s="76">
        <f>+Passwörter_Agenturen!R168</f>
        <v>0</v>
      </c>
      <c r="K140" s="76">
        <f>+Passwörter_Agenturen!S168</f>
        <v>0</v>
      </c>
      <c r="L140" s="76">
        <f>+Passwörter_Agenturen!T168</f>
        <v>0</v>
      </c>
      <c r="M140" s="76">
        <f>+Passwörter_Agenturen!U168</f>
        <v>0</v>
      </c>
      <c r="N140" s="76">
        <f>+Passwörter_Agenturen!V168</f>
        <v>0</v>
      </c>
      <c r="O140" s="76">
        <f>+Passwörter_Agenturen!W168</f>
        <v>0</v>
      </c>
      <c r="P140" s="76">
        <f>+Passwörter_Agenturen!X168</f>
        <v>0</v>
      </c>
      <c r="Q140" s="76">
        <f>+Passwörter_Agenturen!Y168</f>
        <v>0</v>
      </c>
      <c r="R140" s="76">
        <f>+Passwörter_Agenturen!Z168</f>
        <v>0</v>
      </c>
      <c r="S140" s="76">
        <f>+Passwörter_Agenturen!AA168</f>
        <v>0</v>
      </c>
      <c r="T140" s="76">
        <f>+Passwörter_Agenturen!AB168</f>
        <v>0</v>
      </c>
      <c r="U140" s="76">
        <f>+Passwörter_Agenturen!AC168</f>
        <v>0</v>
      </c>
      <c r="V140" s="76">
        <f>+Passwörter_Agenturen!AD168</f>
        <v>0</v>
      </c>
      <c r="W140" s="76">
        <f>+Passwörter_Agenturen!AE168</f>
        <v>0</v>
      </c>
      <c r="X140" s="76">
        <f>+Passwörter_Agenturen!AF168</f>
        <v>0</v>
      </c>
      <c r="Y140" s="76">
        <f>+Passwörter_Agenturen!AG168</f>
        <v>0</v>
      </c>
      <c r="Z140" s="76">
        <f>+Passwörter_Agenturen!AH168</f>
        <v>0</v>
      </c>
    </row>
    <row r="141" spans="1:26" x14ac:dyDescent="0.25">
      <c r="A141" s="75" t="str">
        <f>+Passwörter_Agenturen!H169</f>
        <v>MK (Münchner Kapital)</v>
      </c>
      <c r="B141" s="76">
        <f>+Passwörter_Agenturen!J169</f>
        <v>0</v>
      </c>
      <c r="C141" s="76">
        <f>+Passwörter_Agenturen!I169</f>
        <v>0</v>
      </c>
      <c r="D141" s="76">
        <f>+Passwörter_Agenturen!K169</f>
        <v>0</v>
      </c>
      <c r="E141" s="76">
        <f>+Passwörter_Agenturen!L169</f>
        <v>0</v>
      </c>
      <c r="F141" s="76">
        <f>+Passwörter_Agenturen!M169</f>
        <v>0</v>
      </c>
      <c r="G141" s="76">
        <f>+Passwörter_Agenturen!N169</f>
        <v>0</v>
      </c>
      <c r="H141" s="76">
        <f>+Passwörter_Agenturen!P169</f>
        <v>0</v>
      </c>
      <c r="I141" s="76">
        <f>+Passwörter_Agenturen!Q169</f>
        <v>0</v>
      </c>
      <c r="J141" s="76">
        <f>+Passwörter_Agenturen!R169</f>
        <v>0</v>
      </c>
      <c r="K141" s="76">
        <f>+Passwörter_Agenturen!S169</f>
        <v>0</v>
      </c>
      <c r="L141" s="76">
        <f>+Passwörter_Agenturen!T169</f>
        <v>0</v>
      </c>
      <c r="M141" s="76">
        <f>+Passwörter_Agenturen!U169</f>
        <v>0</v>
      </c>
      <c r="N141" s="76">
        <f>+Passwörter_Agenturen!V169</f>
        <v>0</v>
      </c>
      <c r="O141" s="76">
        <f>+Passwörter_Agenturen!W169</f>
        <v>0</v>
      </c>
      <c r="P141" s="76">
        <f>+Passwörter_Agenturen!X169</f>
        <v>0</v>
      </c>
      <c r="Q141" s="76">
        <f>+Passwörter_Agenturen!Y169</f>
        <v>0</v>
      </c>
      <c r="R141" s="76">
        <f>+Passwörter_Agenturen!Z169</f>
        <v>0</v>
      </c>
      <c r="S141" s="76">
        <f>+Passwörter_Agenturen!AA169</f>
        <v>0</v>
      </c>
      <c r="T141" s="76">
        <f>+Passwörter_Agenturen!AB169</f>
        <v>0</v>
      </c>
      <c r="U141" s="76">
        <f>+Passwörter_Agenturen!AC169</f>
        <v>0</v>
      </c>
      <c r="V141" s="76">
        <f>+Passwörter_Agenturen!AD169</f>
        <v>0</v>
      </c>
      <c r="W141" s="76">
        <f>+Passwörter_Agenturen!AE169</f>
        <v>0</v>
      </c>
      <c r="X141" s="76">
        <f>+Passwörter_Agenturen!AF169</f>
        <v>0</v>
      </c>
      <c r="Y141" s="76">
        <f>+Passwörter_Agenturen!AG169</f>
        <v>0</v>
      </c>
      <c r="Z141" s="76">
        <f>+Passwörter_Agenturen!AH169</f>
        <v>0</v>
      </c>
    </row>
    <row r="142" spans="1:26" x14ac:dyDescent="0.25">
      <c r="A142" s="75" t="str">
        <f>+Passwörter_Agenturen!H170</f>
        <v>Monuta</v>
      </c>
      <c r="B142" s="76" t="str">
        <f>+Passwörter_Agenturen!J170</f>
        <v>1240842</v>
      </c>
      <c r="C142" s="76" t="str">
        <f>+Passwörter_Agenturen!I170</f>
        <v>1240842</v>
      </c>
      <c r="D142" s="76">
        <f>+Passwörter_Agenturen!K170</f>
        <v>0</v>
      </c>
      <c r="E142" s="76">
        <f>+Passwörter_Agenturen!L170</f>
        <v>0</v>
      </c>
      <c r="F142" s="76">
        <f>+Passwörter_Agenturen!M170</f>
        <v>0</v>
      </c>
      <c r="G142" s="76">
        <f>+Passwörter_Agenturen!N170</f>
        <v>0</v>
      </c>
      <c r="H142" s="76">
        <f>+Passwörter_Agenturen!P170</f>
        <v>0</v>
      </c>
      <c r="I142" s="76">
        <f>+Passwörter_Agenturen!Q170</f>
        <v>0</v>
      </c>
      <c r="J142" s="76">
        <f>+Passwörter_Agenturen!R170</f>
        <v>0</v>
      </c>
      <c r="K142" s="76">
        <f>+Passwörter_Agenturen!S170</f>
        <v>0</v>
      </c>
      <c r="L142" s="76">
        <f>+Passwörter_Agenturen!T170</f>
        <v>0</v>
      </c>
      <c r="M142" s="76">
        <f>+Passwörter_Agenturen!U170</f>
        <v>0</v>
      </c>
      <c r="N142" s="76">
        <f>+Passwörter_Agenturen!V170</f>
        <v>0</v>
      </c>
      <c r="O142" s="76">
        <f>+Passwörter_Agenturen!W170</f>
        <v>0</v>
      </c>
      <c r="P142" s="76">
        <f>+Passwörter_Agenturen!X170</f>
        <v>0</v>
      </c>
      <c r="Q142" s="76">
        <f>+Passwörter_Agenturen!Y170</f>
        <v>0</v>
      </c>
      <c r="R142" s="76">
        <f>+Passwörter_Agenturen!Z170</f>
        <v>0</v>
      </c>
      <c r="S142" s="76">
        <f>+Passwörter_Agenturen!AA170</f>
        <v>0</v>
      </c>
      <c r="T142" s="76">
        <f>+Passwörter_Agenturen!AB170</f>
        <v>0</v>
      </c>
      <c r="U142" s="76">
        <f>+Passwörter_Agenturen!AC170</f>
        <v>0</v>
      </c>
      <c r="V142" s="76">
        <f>+Passwörter_Agenturen!AD170</f>
        <v>0</v>
      </c>
      <c r="W142" s="76">
        <f>+Passwörter_Agenturen!AE170</f>
        <v>0</v>
      </c>
      <c r="X142" s="76">
        <f>+Passwörter_Agenturen!AF170</f>
        <v>0</v>
      </c>
      <c r="Y142" s="76">
        <f>+Passwörter_Agenturen!AG170</f>
        <v>0</v>
      </c>
      <c r="Z142" s="76">
        <f>+Passwörter_Agenturen!AH170</f>
        <v>0</v>
      </c>
    </row>
    <row r="143" spans="1:26" x14ac:dyDescent="0.25">
      <c r="A143" s="75" t="str">
        <f>+Passwörter_Agenturen!H173</f>
        <v>Münchner Verein</v>
      </c>
      <c r="B143" s="76" t="str">
        <f>+Passwörter_Agenturen!J173</f>
        <v>36656/A</v>
      </c>
      <c r="C143" s="76">
        <f>+Passwörter_Agenturen!I173</f>
        <v>0</v>
      </c>
      <c r="D143" s="76">
        <f>+Passwörter_Agenturen!K173</f>
        <v>0</v>
      </c>
      <c r="E143" s="76">
        <f>+Passwörter_Agenturen!L173</f>
        <v>0</v>
      </c>
      <c r="F143" s="76">
        <f>+Passwörter_Agenturen!M173</f>
        <v>0</v>
      </c>
      <c r="G143" s="76">
        <f>+Passwörter_Agenturen!N173</f>
        <v>0</v>
      </c>
      <c r="H143" s="76">
        <f>+Passwörter_Agenturen!P173</f>
        <v>0</v>
      </c>
      <c r="I143" s="76">
        <f>+Passwörter_Agenturen!Q173</f>
        <v>0</v>
      </c>
      <c r="J143" s="76">
        <f>+Passwörter_Agenturen!R173</f>
        <v>0</v>
      </c>
      <c r="K143" s="76">
        <f>+Passwörter_Agenturen!S173</f>
        <v>0</v>
      </c>
      <c r="L143" s="76">
        <f>+Passwörter_Agenturen!T173</f>
        <v>0</v>
      </c>
      <c r="M143" s="76">
        <f>+Passwörter_Agenturen!U173</f>
        <v>0</v>
      </c>
      <c r="N143" s="76">
        <f>+Passwörter_Agenturen!V173</f>
        <v>0</v>
      </c>
      <c r="O143" s="76" t="str">
        <f>+Passwörter_Agenturen!W173</f>
        <v>36895/A</v>
      </c>
      <c r="P143" s="76">
        <f>+Passwörter_Agenturen!X173</f>
        <v>0</v>
      </c>
      <c r="Q143" s="76">
        <f>+Passwörter_Agenturen!Y173</f>
        <v>0</v>
      </c>
      <c r="R143" s="76">
        <f>+Passwörter_Agenturen!Z173</f>
        <v>0</v>
      </c>
      <c r="S143" s="76">
        <f>+Passwörter_Agenturen!AA173</f>
        <v>0</v>
      </c>
      <c r="T143" s="76">
        <f>+Passwörter_Agenturen!AB173</f>
        <v>0</v>
      </c>
      <c r="U143" s="76">
        <f>+Passwörter_Agenturen!AC173</f>
        <v>0</v>
      </c>
      <c r="V143" s="76">
        <f>+Passwörter_Agenturen!AD173</f>
        <v>0</v>
      </c>
      <c r="W143" s="76">
        <f>+Passwörter_Agenturen!AE173</f>
        <v>0</v>
      </c>
      <c r="X143" s="76">
        <f>+Passwörter_Agenturen!AF173</f>
        <v>0</v>
      </c>
      <c r="Y143" s="76">
        <f>+Passwörter_Agenturen!AG173</f>
        <v>0</v>
      </c>
      <c r="Z143" s="76">
        <f>+Passwörter_Agenturen!AH173</f>
        <v>0</v>
      </c>
    </row>
    <row r="144" spans="1:26" x14ac:dyDescent="0.25">
      <c r="A144" s="75" t="str">
        <f>+Passwörter_Agenturen!H175</f>
        <v>Netfonds</v>
      </c>
      <c r="B144" s="76">
        <f>+Passwörter_Agenturen!J175</f>
        <v>0</v>
      </c>
      <c r="C144" s="76">
        <f>+Passwörter_Agenturen!I175</f>
        <v>0</v>
      </c>
      <c r="D144" s="76">
        <f>+Passwörter_Agenturen!K175</f>
        <v>0</v>
      </c>
      <c r="E144" s="76">
        <f>+Passwörter_Agenturen!L175</f>
        <v>0</v>
      </c>
      <c r="F144" s="76">
        <f>+Passwörter_Agenturen!M175</f>
        <v>0</v>
      </c>
      <c r="G144" s="76">
        <f>+Passwörter_Agenturen!N175</f>
        <v>0</v>
      </c>
      <c r="H144" s="76">
        <f>+Passwörter_Agenturen!P175</f>
        <v>0</v>
      </c>
      <c r="I144" s="76">
        <f>+Passwörter_Agenturen!Q175</f>
        <v>0</v>
      </c>
      <c r="J144" s="76">
        <f>+Passwörter_Agenturen!R175</f>
        <v>0</v>
      </c>
      <c r="K144" s="76">
        <f>+Passwörter_Agenturen!S175</f>
        <v>0</v>
      </c>
      <c r="L144" s="76">
        <f>+Passwörter_Agenturen!T175</f>
        <v>0</v>
      </c>
      <c r="M144" s="76">
        <f>+Passwörter_Agenturen!U175</f>
        <v>0</v>
      </c>
      <c r="N144" s="76">
        <f>+Passwörter_Agenturen!V175</f>
        <v>0</v>
      </c>
      <c r="O144" s="76">
        <f>+Passwörter_Agenturen!W175</f>
        <v>0</v>
      </c>
      <c r="P144" s="76">
        <f>+Passwörter_Agenturen!X175</f>
        <v>0</v>
      </c>
      <c r="Q144" s="76">
        <f>+Passwörter_Agenturen!Y175</f>
        <v>0</v>
      </c>
      <c r="R144" s="76">
        <f>+Passwörter_Agenturen!Z175</f>
        <v>0</v>
      </c>
      <c r="S144" s="76">
        <f>+Passwörter_Agenturen!AA175</f>
        <v>0</v>
      </c>
      <c r="T144" s="76">
        <f>+Passwörter_Agenturen!AB175</f>
        <v>0</v>
      </c>
      <c r="U144" s="76">
        <f>+Passwörter_Agenturen!AC175</f>
        <v>0</v>
      </c>
      <c r="V144" s="76">
        <f>+Passwörter_Agenturen!AD175</f>
        <v>0</v>
      </c>
      <c r="W144" s="76">
        <f>+Passwörter_Agenturen!AE175</f>
        <v>0</v>
      </c>
      <c r="X144" s="76">
        <f>+Passwörter_Agenturen!AF175</f>
        <v>0</v>
      </c>
      <c r="Y144" s="76">
        <f>+Passwörter_Agenturen!AG175</f>
        <v>0</v>
      </c>
      <c r="Z144" s="76">
        <f>+Passwörter_Agenturen!AH175</f>
        <v>0</v>
      </c>
    </row>
    <row r="145" spans="1:26" x14ac:dyDescent="0.25">
      <c r="A145" s="75" t="str">
        <f>+Passwörter_Agenturen!H176</f>
        <v>NRV</v>
      </c>
      <c r="B145" s="76" t="str">
        <f>+Passwörter_Agenturen!J176</f>
        <v>152 05 3992</v>
      </c>
      <c r="C145" s="76">
        <f>+Passwörter_Agenturen!I176</f>
        <v>0</v>
      </c>
      <c r="D145" s="76">
        <f>+Passwörter_Agenturen!K176</f>
        <v>0</v>
      </c>
      <c r="E145" s="76">
        <f>+Passwörter_Agenturen!L176</f>
        <v>0</v>
      </c>
      <c r="F145" s="76">
        <f>+Passwörter_Agenturen!M176</f>
        <v>0</v>
      </c>
      <c r="G145" s="76">
        <f>+Passwörter_Agenturen!N176</f>
        <v>0</v>
      </c>
      <c r="H145" s="76">
        <f>+Passwörter_Agenturen!P176</f>
        <v>0</v>
      </c>
      <c r="I145" s="76">
        <f>+Passwörter_Agenturen!Q176</f>
        <v>0</v>
      </c>
      <c r="J145" s="76">
        <f>+Passwörter_Agenturen!R176</f>
        <v>0</v>
      </c>
      <c r="K145" s="76">
        <f>+Passwörter_Agenturen!S176</f>
        <v>0</v>
      </c>
      <c r="L145" s="76">
        <f>+Passwörter_Agenturen!T176</f>
        <v>0</v>
      </c>
      <c r="M145" s="76">
        <f>+Passwörter_Agenturen!U176</f>
        <v>0</v>
      </c>
      <c r="N145" s="76">
        <f>+Passwörter_Agenturen!V176</f>
        <v>0</v>
      </c>
      <c r="O145" s="76">
        <f>+Passwörter_Agenturen!W176</f>
        <v>0</v>
      </c>
      <c r="P145" s="76">
        <f>+Passwörter_Agenturen!X176</f>
        <v>0</v>
      </c>
      <c r="Q145" s="76">
        <f>+Passwörter_Agenturen!Y176</f>
        <v>0</v>
      </c>
      <c r="R145" s="76">
        <f>+Passwörter_Agenturen!Z176</f>
        <v>0</v>
      </c>
      <c r="S145" s="76">
        <f>+Passwörter_Agenturen!AA176</f>
        <v>0</v>
      </c>
      <c r="T145" s="76">
        <f>+Passwörter_Agenturen!AB176</f>
        <v>0</v>
      </c>
      <c r="U145" s="76">
        <f>+Passwörter_Agenturen!AC176</f>
        <v>0</v>
      </c>
      <c r="V145" s="76">
        <f>+Passwörter_Agenturen!AD176</f>
        <v>0</v>
      </c>
      <c r="W145" s="76">
        <f>+Passwörter_Agenturen!AE176</f>
        <v>0</v>
      </c>
      <c r="X145" s="76">
        <f>+Passwörter_Agenturen!AF176</f>
        <v>0</v>
      </c>
      <c r="Y145" s="76">
        <f>+Passwörter_Agenturen!AG176</f>
        <v>0</v>
      </c>
      <c r="Z145" s="76">
        <f>+Passwörter_Agenturen!AH176</f>
        <v>0</v>
      </c>
    </row>
    <row r="146" spans="1:26" x14ac:dyDescent="0.25">
      <c r="A146" s="75" t="str">
        <f>+Passwörter_Agenturen!H177</f>
        <v>Nürnberger Versicherung</v>
      </c>
      <c r="B146" s="76" t="str">
        <f>+Passwörter_Agenturen!J177</f>
        <v>152 05 3992</v>
      </c>
      <c r="C146" s="76">
        <f>+Passwörter_Agenturen!I177</f>
        <v>152053992</v>
      </c>
      <c r="D146" s="76">
        <f>+Passwörter_Agenturen!K177</f>
        <v>0</v>
      </c>
      <c r="E146" s="76">
        <f>+Passwörter_Agenturen!L177</f>
        <v>0</v>
      </c>
      <c r="F146" s="76">
        <f>+Passwörter_Agenturen!M177</f>
        <v>0</v>
      </c>
      <c r="G146" s="76">
        <f>+Passwörter_Agenturen!N177</f>
        <v>0</v>
      </c>
      <c r="H146" s="76">
        <f>+Passwörter_Agenturen!P177</f>
        <v>0</v>
      </c>
      <c r="I146" s="76">
        <f>+Passwörter_Agenturen!Q177</f>
        <v>0</v>
      </c>
      <c r="J146" s="76">
        <f>+Passwörter_Agenturen!R177</f>
        <v>0</v>
      </c>
      <c r="K146" s="76">
        <f>+Passwörter_Agenturen!S177</f>
        <v>0</v>
      </c>
      <c r="L146" s="76">
        <f>+Passwörter_Agenturen!T177</f>
        <v>0</v>
      </c>
      <c r="M146" s="76">
        <f>+Passwörter_Agenturen!U177</f>
        <v>0</v>
      </c>
      <c r="N146" s="76">
        <f>+Passwörter_Agenturen!V177</f>
        <v>0</v>
      </c>
      <c r="O146" s="76">
        <f>+Passwörter_Agenturen!W177</f>
        <v>0</v>
      </c>
      <c r="P146" s="76">
        <f>+Passwörter_Agenturen!X177</f>
        <v>0</v>
      </c>
      <c r="Q146" s="76">
        <f>+Passwörter_Agenturen!Y177</f>
        <v>0</v>
      </c>
      <c r="R146" s="76">
        <f>+Passwörter_Agenturen!Z177</f>
        <v>0</v>
      </c>
      <c r="S146" s="76">
        <f>+Passwörter_Agenturen!AA177</f>
        <v>0</v>
      </c>
      <c r="T146" s="76">
        <f>+Passwörter_Agenturen!AB177</f>
        <v>0</v>
      </c>
      <c r="U146" s="76">
        <f>+Passwörter_Agenturen!AC177</f>
        <v>0</v>
      </c>
      <c r="V146" s="76">
        <f>+Passwörter_Agenturen!AD177</f>
        <v>0</v>
      </c>
      <c r="W146" s="76">
        <f>+Passwörter_Agenturen!AE177</f>
        <v>0</v>
      </c>
      <c r="X146" s="76">
        <f>+Passwörter_Agenturen!AF177</f>
        <v>0</v>
      </c>
      <c r="Y146" s="76">
        <f>+Passwörter_Agenturen!AG177</f>
        <v>0</v>
      </c>
      <c r="Z146" s="76">
        <f>+Passwörter_Agenturen!AH177</f>
        <v>0</v>
      </c>
    </row>
    <row r="147" spans="1:26" x14ac:dyDescent="0.25">
      <c r="A147" s="75" t="str">
        <f>+Passwörter_Agenturen!H178</f>
        <v>Nürnberger Versicherung</v>
      </c>
      <c r="B147" s="76">
        <f>+Passwörter_Agenturen!J178</f>
        <v>0</v>
      </c>
      <c r="C147" s="76">
        <f>+Passwörter_Agenturen!I178</f>
        <v>0</v>
      </c>
      <c r="D147" s="76">
        <f>+Passwörter_Agenturen!K178</f>
        <v>0</v>
      </c>
      <c r="E147" s="76">
        <f>+Passwörter_Agenturen!L178</f>
        <v>0</v>
      </c>
      <c r="F147" s="76">
        <f>+Passwörter_Agenturen!M178</f>
        <v>0</v>
      </c>
      <c r="G147" s="76">
        <f>+Passwörter_Agenturen!N178</f>
        <v>0</v>
      </c>
      <c r="H147" s="76">
        <f>+Passwörter_Agenturen!P178</f>
        <v>0</v>
      </c>
      <c r="I147" s="76">
        <f>+Passwörter_Agenturen!Q178</f>
        <v>0</v>
      </c>
      <c r="J147" s="76">
        <f>+Passwörter_Agenturen!R178</f>
        <v>0</v>
      </c>
      <c r="K147" s="76">
        <f>+Passwörter_Agenturen!S178</f>
        <v>0</v>
      </c>
      <c r="L147" s="76">
        <f>+Passwörter_Agenturen!T178</f>
        <v>0</v>
      </c>
      <c r="M147" s="76">
        <f>+Passwörter_Agenturen!U178</f>
        <v>0</v>
      </c>
      <c r="N147" s="76">
        <f>+Passwörter_Agenturen!V178</f>
        <v>0</v>
      </c>
      <c r="O147" s="76">
        <f>+Passwörter_Agenturen!W178</f>
        <v>0</v>
      </c>
      <c r="P147" s="76">
        <f>+Passwörter_Agenturen!X178</f>
        <v>0</v>
      </c>
      <c r="Q147" s="76">
        <f>+Passwörter_Agenturen!Y178</f>
        <v>0</v>
      </c>
      <c r="R147" s="76">
        <f>+Passwörter_Agenturen!Z178</f>
        <v>0</v>
      </c>
      <c r="S147" s="76">
        <f>+Passwörter_Agenturen!AA178</f>
        <v>0</v>
      </c>
      <c r="T147" s="76">
        <f>+Passwörter_Agenturen!AB178</f>
        <v>0</v>
      </c>
      <c r="U147" s="76">
        <f>+Passwörter_Agenturen!AC178</f>
        <v>0</v>
      </c>
      <c r="V147" s="76">
        <f>+Passwörter_Agenturen!AD178</f>
        <v>0</v>
      </c>
      <c r="W147" s="76">
        <f>+Passwörter_Agenturen!AE178</f>
        <v>0</v>
      </c>
      <c r="X147" s="76">
        <f>+Passwörter_Agenturen!AF178</f>
        <v>0</v>
      </c>
      <c r="Y147" s="76">
        <f>+Passwörter_Agenturen!AG178</f>
        <v>0</v>
      </c>
      <c r="Z147" s="76">
        <f>+Passwörter_Agenturen!AH178</f>
        <v>0</v>
      </c>
    </row>
    <row r="148" spans="1:26" x14ac:dyDescent="0.25">
      <c r="A148" s="75" t="str">
        <f>+Passwörter_Agenturen!H181</f>
        <v>Oberöstereichische Versicherung AG</v>
      </c>
      <c r="B148" s="76" t="str">
        <f>+Passwörter_Agenturen!J181</f>
        <v>29/790451</v>
      </c>
      <c r="C148" s="76">
        <f>+Passwörter_Agenturen!I181</f>
        <v>790451</v>
      </c>
      <c r="D148" s="76">
        <f>+Passwörter_Agenturen!K181</f>
        <v>0</v>
      </c>
      <c r="E148" s="76">
        <f>+Passwörter_Agenturen!L181</f>
        <v>0</v>
      </c>
      <c r="F148" s="76">
        <f>+Passwörter_Agenturen!M181</f>
        <v>0</v>
      </c>
      <c r="G148" s="76">
        <f>+Passwörter_Agenturen!N181</f>
        <v>0</v>
      </c>
      <c r="H148" s="76" t="str">
        <f>+Passwörter_Agenturen!P181</f>
        <v>2202</v>
      </c>
      <c r="I148" s="76">
        <f>+Passwörter_Agenturen!Q181</f>
        <v>0</v>
      </c>
      <c r="J148" s="76">
        <f>+Passwörter_Agenturen!R181</f>
        <v>0</v>
      </c>
      <c r="K148" s="76">
        <f>+Passwörter_Agenturen!S181</f>
        <v>0</v>
      </c>
      <c r="L148" s="76">
        <f>+Passwörter_Agenturen!T181</f>
        <v>0</v>
      </c>
      <c r="M148" s="76">
        <f>+Passwörter_Agenturen!U181</f>
        <v>0</v>
      </c>
      <c r="N148" s="76">
        <f>+Passwörter_Agenturen!V181</f>
        <v>0</v>
      </c>
      <c r="O148" s="76">
        <f>+Passwörter_Agenturen!W181</f>
        <v>0</v>
      </c>
      <c r="P148" s="76">
        <f>+Passwörter_Agenturen!X181</f>
        <v>0</v>
      </c>
      <c r="Q148" s="76">
        <f>+Passwörter_Agenturen!Y181</f>
        <v>0</v>
      </c>
      <c r="R148" s="76">
        <f>+Passwörter_Agenturen!Z181</f>
        <v>0</v>
      </c>
      <c r="S148" s="76">
        <f>+Passwörter_Agenturen!AA181</f>
        <v>0</v>
      </c>
      <c r="T148" s="76">
        <f>+Passwörter_Agenturen!AB181</f>
        <v>0</v>
      </c>
      <c r="U148" s="76">
        <f>+Passwörter_Agenturen!AC181</f>
        <v>0</v>
      </c>
      <c r="V148" s="76">
        <f>+Passwörter_Agenturen!AD181</f>
        <v>0</v>
      </c>
      <c r="W148" s="76">
        <f>+Passwörter_Agenturen!AE181</f>
        <v>0</v>
      </c>
      <c r="X148" s="76">
        <f>+Passwörter_Agenturen!AF181</f>
        <v>0</v>
      </c>
      <c r="Y148" s="76">
        <f>+Passwörter_Agenturen!AG181</f>
        <v>0</v>
      </c>
      <c r="Z148" s="76">
        <f>+Passwörter_Agenturen!AH181</f>
        <v>0</v>
      </c>
    </row>
    <row r="149" spans="1:26" x14ac:dyDescent="0.25">
      <c r="A149" s="75" t="str">
        <f>+Passwörter_Agenturen!H182</f>
        <v>Ostangler Brandgilde</v>
      </c>
      <c r="B149" s="76">
        <f>+Passwörter_Agenturen!J182</f>
        <v>0</v>
      </c>
      <c r="C149" s="76" t="str">
        <f>+Passwörter_Agenturen!I182</f>
        <v>2500242</v>
      </c>
      <c r="D149" s="76">
        <f>+Passwörter_Agenturen!K182</f>
        <v>0</v>
      </c>
      <c r="E149" s="76" t="str">
        <f>+Passwörter_Agenturen!L182</f>
        <v>707993201</v>
      </c>
      <c r="F149" s="76">
        <f>+Passwörter_Agenturen!M182</f>
        <v>0</v>
      </c>
      <c r="G149" s="76">
        <f>+Passwörter_Agenturen!N182</f>
        <v>0</v>
      </c>
      <c r="H149" s="76">
        <f>+Passwörter_Agenturen!P182</f>
        <v>0</v>
      </c>
      <c r="I149" s="76">
        <f>+Passwörter_Agenturen!Q182</f>
        <v>0</v>
      </c>
      <c r="J149" s="76">
        <f>+Passwörter_Agenturen!R182</f>
        <v>0</v>
      </c>
      <c r="K149" s="76">
        <f>+Passwörter_Agenturen!S182</f>
        <v>0</v>
      </c>
      <c r="L149" s="76">
        <f>+Passwörter_Agenturen!T182</f>
        <v>0</v>
      </c>
      <c r="M149" s="76">
        <f>+Passwörter_Agenturen!U182</f>
        <v>0</v>
      </c>
      <c r="N149" s="76">
        <f>+Passwörter_Agenturen!V182</f>
        <v>0</v>
      </c>
      <c r="O149" s="76">
        <f>+Passwörter_Agenturen!W182</f>
        <v>0</v>
      </c>
      <c r="P149" s="76">
        <f>+Passwörter_Agenturen!X182</f>
        <v>0</v>
      </c>
      <c r="Q149" s="76">
        <f>+Passwörter_Agenturen!Y182</f>
        <v>0</v>
      </c>
      <c r="R149" s="76">
        <f>+Passwörter_Agenturen!Z182</f>
        <v>0</v>
      </c>
      <c r="S149" s="76">
        <f>+Passwörter_Agenturen!AA182</f>
        <v>0</v>
      </c>
      <c r="T149" s="76">
        <f>+Passwörter_Agenturen!AB182</f>
        <v>0</v>
      </c>
      <c r="U149" s="76">
        <f>+Passwörter_Agenturen!AC182</f>
        <v>0</v>
      </c>
      <c r="V149" s="76">
        <f>+Passwörter_Agenturen!AD182</f>
        <v>0</v>
      </c>
      <c r="W149" s="76">
        <f>+Passwörter_Agenturen!AE182</f>
        <v>0</v>
      </c>
      <c r="X149" s="76">
        <f>+Passwörter_Agenturen!AF182</f>
        <v>0</v>
      </c>
      <c r="Y149" s="76">
        <f>+Passwörter_Agenturen!AG182</f>
        <v>0</v>
      </c>
      <c r="Z149" s="76">
        <f>+Passwörter_Agenturen!AH182</f>
        <v>0</v>
      </c>
    </row>
    <row r="150" spans="1:26" x14ac:dyDescent="0.25">
      <c r="A150" s="75" t="str">
        <f>+Passwörter_Agenturen!H183</f>
        <v>Prisma Life/Cadea Life</v>
      </c>
      <c r="B150" s="76" t="str">
        <f>+Passwörter_Agenturen!J183</f>
        <v>8800706</v>
      </c>
      <c r="C150" s="76">
        <f>+Passwörter_Agenturen!I183</f>
        <v>0</v>
      </c>
      <c r="D150" s="76">
        <f>+Passwörter_Agenturen!K183</f>
        <v>0</v>
      </c>
      <c r="E150" s="76">
        <f>+Passwörter_Agenturen!L183</f>
        <v>0</v>
      </c>
      <c r="F150" s="76">
        <f>+Passwörter_Agenturen!M183</f>
        <v>0</v>
      </c>
      <c r="G150" s="76">
        <f>+Passwörter_Agenturen!N183</f>
        <v>0</v>
      </c>
      <c r="H150" s="76">
        <f>+Passwörter_Agenturen!P183</f>
        <v>0</v>
      </c>
      <c r="I150" s="76">
        <f>+Passwörter_Agenturen!Q183</f>
        <v>0</v>
      </c>
      <c r="J150" s="76">
        <f>+Passwörter_Agenturen!R183</f>
        <v>0</v>
      </c>
      <c r="K150" s="76">
        <f>+Passwörter_Agenturen!S183</f>
        <v>0</v>
      </c>
      <c r="L150" s="76">
        <f>+Passwörter_Agenturen!T183</f>
        <v>0</v>
      </c>
      <c r="M150" s="76">
        <f>+Passwörter_Agenturen!U183</f>
        <v>0</v>
      </c>
      <c r="N150" s="76">
        <f>+Passwörter_Agenturen!V183</f>
        <v>0</v>
      </c>
      <c r="O150" s="76">
        <f>+Passwörter_Agenturen!W183</f>
        <v>0</v>
      </c>
      <c r="P150" s="76">
        <f>+Passwörter_Agenturen!X183</f>
        <v>0</v>
      </c>
      <c r="Q150" s="76">
        <f>+Passwörter_Agenturen!Y183</f>
        <v>0</v>
      </c>
      <c r="R150" s="76">
        <f>+Passwörter_Agenturen!Z183</f>
        <v>0</v>
      </c>
      <c r="S150" s="76">
        <f>+Passwörter_Agenturen!AA183</f>
        <v>0</v>
      </c>
      <c r="T150" s="76">
        <f>+Passwörter_Agenturen!AB183</f>
        <v>0</v>
      </c>
      <c r="U150" s="76">
        <f>+Passwörter_Agenturen!AC183</f>
        <v>0</v>
      </c>
      <c r="V150" s="76">
        <f>+Passwörter_Agenturen!AD183</f>
        <v>0</v>
      </c>
      <c r="W150" s="76">
        <f>+Passwörter_Agenturen!AE183</f>
        <v>0</v>
      </c>
      <c r="X150" s="76">
        <f>+Passwörter_Agenturen!AF183</f>
        <v>0</v>
      </c>
      <c r="Y150" s="76">
        <f>+Passwörter_Agenturen!AG183</f>
        <v>0</v>
      </c>
      <c r="Z150" s="76">
        <f>+Passwörter_Agenturen!AH183</f>
        <v>0</v>
      </c>
    </row>
    <row r="151" spans="1:26" x14ac:dyDescent="0.25">
      <c r="A151" s="75" t="str">
        <f>+Passwörter_Agenturen!H184</f>
        <v>Prisma Life/Cadea Life</v>
      </c>
      <c r="B151" s="76">
        <f>+Passwörter_Agenturen!J184</f>
        <v>0</v>
      </c>
      <c r="C151" s="76">
        <f>+Passwörter_Agenturen!I184</f>
        <v>0</v>
      </c>
      <c r="D151" s="76">
        <f>+Passwörter_Agenturen!K184</f>
        <v>0</v>
      </c>
      <c r="E151" s="76">
        <f>+Passwörter_Agenturen!L184</f>
        <v>0</v>
      </c>
      <c r="F151" s="76">
        <f>+Passwörter_Agenturen!M184</f>
        <v>0</v>
      </c>
      <c r="G151" s="76">
        <f>+Passwörter_Agenturen!N184</f>
        <v>0</v>
      </c>
      <c r="H151" s="76">
        <f>+Passwörter_Agenturen!P184</f>
        <v>0</v>
      </c>
      <c r="I151" s="76">
        <f>+Passwörter_Agenturen!Q184</f>
        <v>0</v>
      </c>
      <c r="J151" s="76">
        <f>+Passwörter_Agenturen!R184</f>
        <v>0</v>
      </c>
      <c r="K151" s="76">
        <f>+Passwörter_Agenturen!S184</f>
        <v>0</v>
      </c>
      <c r="L151" s="76">
        <f>+Passwörter_Agenturen!T184</f>
        <v>0</v>
      </c>
      <c r="M151" s="76">
        <f>+Passwörter_Agenturen!U184</f>
        <v>0</v>
      </c>
      <c r="N151" s="76">
        <f>+Passwörter_Agenturen!V184</f>
        <v>0</v>
      </c>
      <c r="O151" s="76">
        <f>+Passwörter_Agenturen!W184</f>
        <v>0</v>
      </c>
      <c r="P151" s="76">
        <f>+Passwörter_Agenturen!X184</f>
        <v>0</v>
      </c>
      <c r="Q151" s="76">
        <f>+Passwörter_Agenturen!Y184</f>
        <v>0</v>
      </c>
      <c r="R151" s="76">
        <f>+Passwörter_Agenturen!Z184</f>
        <v>0</v>
      </c>
      <c r="S151" s="76">
        <f>+Passwörter_Agenturen!AA184</f>
        <v>0</v>
      </c>
      <c r="T151" s="76">
        <f>+Passwörter_Agenturen!AB184</f>
        <v>0</v>
      </c>
      <c r="U151" s="76">
        <f>+Passwörter_Agenturen!AC184</f>
        <v>0</v>
      </c>
      <c r="V151" s="76">
        <f>+Passwörter_Agenturen!AD184</f>
        <v>0</v>
      </c>
      <c r="W151" s="76">
        <f>+Passwörter_Agenturen!AE184</f>
        <v>0</v>
      </c>
      <c r="X151" s="76">
        <f>+Passwörter_Agenturen!AF184</f>
        <v>0</v>
      </c>
      <c r="Y151" s="76">
        <f>+Passwörter_Agenturen!AG184</f>
        <v>0</v>
      </c>
      <c r="Z151" s="76">
        <f>+Passwörter_Agenturen!AH184</f>
        <v>0</v>
      </c>
    </row>
    <row r="152" spans="1:26" x14ac:dyDescent="0.25">
      <c r="A152" s="75" t="str">
        <f>+Passwörter_Agenturen!H185</f>
        <v>Prisma Life/Cadea Life</v>
      </c>
      <c r="B152" s="76">
        <f>+Passwörter_Agenturen!J185</f>
        <v>0</v>
      </c>
      <c r="C152" s="76">
        <f>+Passwörter_Agenturen!I185</f>
        <v>0</v>
      </c>
      <c r="D152" s="76">
        <f>+Passwörter_Agenturen!K185</f>
        <v>0</v>
      </c>
      <c r="E152" s="76">
        <f>+Passwörter_Agenturen!L185</f>
        <v>0</v>
      </c>
      <c r="F152" s="76">
        <f>+Passwörter_Agenturen!M185</f>
        <v>0</v>
      </c>
      <c r="G152" s="76">
        <f>+Passwörter_Agenturen!N185</f>
        <v>0</v>
      </c>
      <c r="H152" s="76">
        <f>+Passwörter_Agenturen!P185</f>
        <v>0</v>
      </c>
      <c r="I152" s="76">
        <f>+Passwörter_Agenturen!Q185</f>
        <v>0</v>
      </c>
      <c r="J152" s="76">
        <f>+Passwörter_Agenturen!R185</f>
        <v>0</v>
      </c>
      <c r="K152" s="76">
        <f>+Passwörter_Agenturen!S185</f>
        <v>0</v>
      </c>
      <c r="L152" s="76">
        <f>+Passwörter_Agenturen!T185</f>
        <v>0</v>
      </c>
      <c r="M152" s="76">
        <f>+Passwörter_Agenturen!U185</f>
        <v>0</v>
      </c>
      <c r="N152" s="76">
        <f>+Passwörter_Agenturen!V185</f>
        <v>0</v>
      </c>
      <c r="O152" s="76">
        <f>+Passwörter_Agenturen!W185</f>
        <v>0</v>
      </c>
      <c r="P152" s="76">
        <f>+Passwörter_Agenturen!X185</f>
        <v>0</v>
      </c>
      <c r="Q152" s="76">
        <f>+Passwörter_Agenturen!Y185</f>
        <v>0</v>
      </c>
      <c r="R152" s="76">
        <f>+Passwörter_Agenturen!Z185</f>
        <v>0</v>
      </c>
      <c r="S152" s="76">
        <f>+Passwörter_Agenturen!AA185</f>
        <v>0</v>
      </c>
      <c r="T152" s="76">
        <f>+Passwörter_Agenturen!AB185</f>
        <v>0</v>
      </c>
      <c r="U152" s="76">
        <f>+Passwörter_Agenturen!AC185</f>
        <v>0</v>
      </c>
      <c r="V152" s="76">
        <f>+Passwörter_Agenturen!AD185</f>
        <v>0</v>
      </c>
      <c r="W152" s="76">
        <f>+Passwörter_Agenturen!AE185</f>
        <v>0</v>
      </c>
      <c r="X152" s="76">
        <f>+Passwörter_Agenturen!AF185</f>
        <v>0</v>
      </c>
      <c r="Y152" s="76">
        <f>+Passwörter_Agenturen!AG185</f>
        <v>0</v>
      </c>
      <c r="Z152" s="76">
        <f>+Passwörter_Agenturen!AH185</f>
        <v>0</v>
      </c>
    </row>
    <row r="153" spans="1:26" x14ac:dyDescent="0.25">
      <c r="A153" s="75" t="str">
        <f>+Passwörter_Agenturen!H186</f>
        <v>Procheck.24</v>
      </c>
      <c r="B153" s="76" t="str">
        <f>+Passwörter_Agenturen!J186</f>
        <v>570775</v>
      </c>
      <c r="C153" s="76">
        <f>+Passwörter_Agenturen!I186</f>
        <v>0</v>
      </c>
      <c r="D153" s="76">
        <f>+Passwörter_Agenturen!K186</f>
        <v>0</v>
      </c>
      <c r="E153" s="76">
        <f>+Passwörter_Agenturen!L186</f>
        <v>0</v>
      </c>
      <c r="F153" s="76">
        <f>+Passwörter_Agenturen!M186</f>
        <v>0</v>
      </c>
      <c r="G153" s="76">
        <f>+Passwörter_Agenturen!N186</f>
        <v>0</v>
      </c>
      <c r="H153" s="76">
        <f>+Passwörter_Agenturen!P186</f>
        <v>0</v>
      </c>
      <c r="I153" s="76">
        <f>+Passwörter_Agenturen!Q186</f>
        <v>0</v>
      </c>
      <c r="J153" s="76">
        <f>+Passwörter_Agenturen!R186</f>
        <v>0</v>
      </c>
      <c r="K153" s="76">
        <f>+Passwörter_Agenturen!S186</f>
        <v>0</v>
      </c>
      <c r="L153" s="76">
        <f>+Passwörter_Agenturen!T186</f>
        <v>0</v>
      </c>
      <c r="M153" s="76">
        <f>+Passwörter_Agenturen!U186</f>
        <v>0</v>
      </c>
      <c r="N153" s="76">
        <f>+Passwörter_Agenturen!V186</f>
        <v>0</v>
      </c>
      <c r="O153" s="76">
        <f>+Passwörter_Agenturen!W186</f>
        <v>0</v>
      </c>
      <c r="P153" s="76">
        <f>+Passwörter_Agenturen!X186</f>
        <v>0</v>
      </c>
      <c r="Q153" s="76">
        <f>+Passwörter_Agenturen!Y186</f>
        <v>0</v>
      </c>
      <c r="R153" s="76">
        <f>+Passwörter_Agenturen!Z186</f>
        <v>0</v>
      </c>
      <c r="S153" s="76">
        <f>+Passwörter_Agenturen!AA186</f>
        <v>0</v>
      </c>
      <c r="T153" s="76">
        <f>+Passwörter_Agenturen!AB186</f>
        <v>0</v>
      </c>
      <c r="U153" s="76">
        <f>+Passwörter_Agenturen!AC186</f>
        <v>0</v>
      </c>
      <c r="V153" s="76">
        <f>+Passwörter_Agenturen!AD186</f>
        <v>0</v>
      </c>
      <c r="W153" s="76">
        <f>+Passwörter_Agenturen!AE186</f>
        <v>0</v>
      </c>
      <c r="X153" s="76">
        <f>+Passwörter_Agenturen!AF186</f>
        <v>0</v>
      </c>
      <c r="Y153" s="76">
        <f>+Passwörter_Agenturen!AG186</f>
        <v>0</v>
      </c>
      <c r="Z153" s="76">
        <f>+Passwörter_Agenturen!AH186</f>
        <v>0</v>
      </c>
    </row>
    <row r="154" spans="1:26" x14ac:dyDescent="0.25">
      <c r="A154" s="75" t="e">
        <f>+Passwörter_Agenturen!#REF!</f>
        <v>#REF!</v>
      </c>
      <c r="B154" s="76" t="e">
        <f>+Passwörter_Agenturen!#REF!</f>
        <v>#REF!</v>
      </c>
      <c r="C154" s="76" t="e">
        <f>+Passwörter_Agenturen!#REF!</f>
        <v>#REF!</v>
      </c>
      <c r="D154" s="76" t="e">
        <f>+Passwörter_Agenturen!#REF!</f>
        <v>#REF!</v>
      </c>
      <c r="E154" s="76" t="e">
        <f>+Passwörter_Agenturen!#REF!</f>
        <v>#REF!</v>
      </c>
      <c r="F154" s="76" t="e">
        <f>+Passwörter_Agenturen!#REF!</f>
        <v>#REF!</v>
      </c>
      <c r="G154" s="76" t="e">
        <f>+Passwörter_Agenturen!#REF!</f>
        <v>#REF!</v>
      </c>
      <c r="H154" s="76" t="e">
        <f>+Passwörter_Agenturen!#REF!</f>
        <v>#REF!</v>
      </c>
      <c r="I154" s="76" t="e">
        <f>+Passwörter_Agenturen!#REF!</f>
        <v>#REF!</v>
      </c>
      <c r="J154" s="76" t="e">
        <f>+Passwörter_Agenturen!#REF!</f>
        <v>#REF!</v>
      </c>
      <c r="K154" s="76" t="e">
        <f>+Passwörter_Agenturen!#REF!</f>
        <v>#REF!</v>
      </c>
      <c r="L154" s="76" t="e">
        <f>+Passwörter_Agenturen!#REF!</f>
        <v>#REF!</v>
      </c>
      <c r="M154" s="76" t="e">
        <f>+Passwörter_Agenturen!#REF!</f>
        <v>#REF!</v>
      </c>
      <c r="N154" s="76" t="e">
        <f>+Passwörter_Agenturen!#REF!</f>
        <v>#REF!</v>
      </c>
      <c r="O154" s="76" t="e">
        <f>+Passwörter_Agenturen!#REF!</f>
        <v>#REF!</v>
      </c>
      <c r="P154" s="76" t="e">
        <f>+Passwörter_Agenturen!#REF!</f>
        <v>#REF!</v>
      </c>
      <c r="Q154" s="76" t="e">
        <f>+Passwörter_Agenturen!#REF!</f>
        <v>#REF!</v>
      </c>
      <c r="R154" s="76" t="e">
        <f>+Passwörter_Agenturen!#REF!</f>
        <v>#REF!</v>
      </c>
      <c r="S154" s="76" t="e">
        <f>+Passwörter_Agenturen!#REF!</f>
        <v>#REF!</v>
      </c>
      <c r="T154" s="76" t="e">
        <f>+Passwörter_Agenturen!#REF!</f>
        <v>#REF!</v>
      </c>
      <c r="U154" s="76" t="e">
        <f>+Passwörter_Agenturen!#REF!</f>
        <v>#REF!</v>
      </c>
      <c r="V154" s="76" t="e">
        <f>+Passwörter_Agenturen!#REF!</f>
        <v>#REF!</v>
      </c>
      <c r="W154" s="76" t="e">
        <f>+Passwörter_Agenturen!#REF!</f>
        <v>#REF!</v>
      </c>
      <c r="X154" s="76" t="e">
        <f>+Passwörter_Agenturen!#REF!</f>
        <v>#REF!</v>
      </c>
      <c r="Y154" s="76" t="e">
        <f>+Passwörter_Agenturen!#REF!</f>
        <v>#REF!</v>
      </c>
      <c r="Z154" s="76" t="e">
        <f>+Passwörter_Agenturen!#REF!</f>
        <v>#REF!</v>
      </c>
    </row>
    <row r="155" spans="1:26" x14ac:dyDescent="0.25">
      <c r="A155" s="75" t="str">
        <f>+Passwörter_Agenturen!H187</f>
        <v>R+V Kredit Connect</v>
      </c>
      <c r="B155" s="76">
        <f>+Passwörter_Agenturen!J187</f>
        <v>0</v>
      </c>
      <c r="C155" s="76">
        <f>+Passwörter_Agenturen!I187</f>
        <v>0</v>
      </c>
      <c r="D155" s="76">
        <f>+Passwörter_Agenturen!K187</f>
        <v>0</v>
      </c>
      <c r="E155" s="76">
        <f>+Passwörter_Agenturen!L187</f>
        <v>0</v>
      </c>
      <c r="F155" s="76">
        <f>+Passwörter_Agenturen!M187</f>
        <v>0</v>
      </c>
      <c r="G155" s="76">
        <f>+Passwörter_Agenturen!N187</f>
        <v>0</v>
      </c>
      <c r="H155" s="76">
        <f>+Passwörter_Agenturen!P187</f>
        <v>0</v>
      </c>
      <c r="I155" s="76">
        <f>+Passwörter_Agenturen!Q187</f>
        <v>0</v>
      </c>
      <c r="J155" s="76">
        <f>+Passwörter_Agenturen!R187</f>
        <v>0</v>
      </c>
      <c r="K155" s="76">
        <f>+Passwörter_Agenturen!S187</f>
        <v>0</v>
      </c>
      <c r="L155" s="76">
        <f>+Passwörter_Agenturen!T187</f>
        <v>0</v>
      </c>
      <c r="M155" s="76">
        <f>+Passwörter_Agenturen!U187</f>
        <v>0</v>
      </c>
      <c r="N155" s="76">
        <f>+Passwörter_Agenturen!V187</f>
        <v>0</v>
      </c>
      <c r="O155" s="76">
        <f>+Passwörter_Agenturen!W187</f>
        <v>0</v>
      </c>
      <c r="P155" s="76">
        <f>+Passwörter_Agenturen!X187</f>
        <v>0</v>
      </c>
      <c r="Q155" s="76">
        <f>+Passwörter_Agenturen!Y187</f>
        <v>0</v>
      </c>
      <c r="R155" s="76">
        <f>+Passwörter_Agenturen!Z187</f>
        <v>0</v>
      </c>
      <c r="S155" s="76">
        <f>+Passwörter_Agenturen!AA187</f>
        <v>0</v>
      </c>
      <c r="T155" s="76">
        <f>+Passwörter_Agenturen!AB187</f>
        <v>0</v>
      </c>
      <c r="U155" s="76">
        <f>+Passwörter_Agenturen!AC187</f>
        <v>0</v>
      </c>
      <c r="V155" s="76">
        <f>+Passwörter_Agenturen!AD187</f>
        <v>0</v>
      </c>
      <c r="W155" s="76">
        <f>+Passwörter_Agenturen!AE187</f>
        <v>0</v>
      </c>
      <c r="X155" s="76">
        <f>+Passwörter_Agenturen!AF187</f>
        <v>0</v>
      </c>
      <c r="Y155" s="76">
        <f>+Passwörter_Agenturen!AG187</f>
        <v>0</v>
      </c>
      <c r="Z155" s="76">
        <f>+Passwörter_Agenturen!AH187</f>
        <v>0</v>
      </c>
    </row>
    <row r="156" spans="1:26" x14ac:dyDescent="0.25">
      <c r="A156" s="75" t="str">
        <f>+Passwörter_Agenturen!H188</f>
        <v>R+V Versicherung Leben</v>
      </c>
      <c r="B156" s="76" t="str">
        <f>+Passwörter_Agenturen!J188</f>
        <v>413/806252</v>
      </c>
      <c r="C156" s="76" t="str">
        <f>+Passwörter_Agenturen!I188</f>
        <v>450782</v>
      </c>
      <c r="D156" s="76">
        <f>+Passwörter_Agenturen!K188</f>
        <v>0</v>
      </c>
      <c r="E156" s="76">
        <f>+Passwörter_Agenturen!L188</f>
        <v>0</v>
      </c>
      <c r="F156" s="76">
        <f>+Passwörter_Agenturen!M188</f>
        <v>0</v>
      </c>
      <c r="G156" s="76">
        <f>+Passwörter_Agenturen!N188</f>
        <v>0</v>
      </c>
      <c r="H156" s="76">
        <f>+Passwörter_Agenturen!P188</f>
        <v>0</v>
      </c>
      <c r="I156" s="76">
        <f>+Passwörter_Agenturen!Q188</f>
        <v>0</v>
      </c>
      <c r="J156" s="76">
        <f>+Passwörter_Agenturen!R188</f>
        <v>0</v>
      </c>
      <c r="K156" s="76">
        <f>+Passwörter_Agenturen!S188</f>
        <v>0</v>
      </c>
      <c r="L156" s="76">
        <f>+Passwörter_Agenturen!T188</f>
        <v>0</v>
      </c>
      <c r="M156" s="76">
        <f>+Passwörter_Agenturen!U188</f>
        <v>0</v>
      </c>
      <c r="N156" s="76">
        <f>+Passwörter_Agenturen!V188</f>
        <v>0</v>
      </c>
      <c r="O156" s="76">
        <f>+Passwörter_Agenturen!W188</f>
        <v>0</v>
      </c>
      <c r="P156" s="76">
        <f>+Passwörter_Agenturen!X188</f>
        <v>0</v>
      </c>
      <c r="Q156" s="76">
        <f>+Passwörter_Agenturen!Y188</f>
        <v>0</v>
      </c>
      <c r="R156" s="76">
        <f>+Passwörter_Agenturen!Z188</f>
        <v>0</v>
      </c>
      <c r="S156" s="76">
        <f>+Passwörter_Agenturen!AA188</f>
        <v>0</v>
      </c>
      <c r="T156" s="76">
        <f>+Passwörter_Agenturen!AB188</f>
        <v>0</v>
      </c>
      <c r="U156" s="76">
        <f>+Passwörter_Agenturen!AC188</f>
        <v>0</v>
      </c>
      <c r="V156" s="76">
        <f>+Passwörter_Agenturen!AD188</f>
        <v>0</v>
      </c>
      <c r="W156" s="76">
        <f>+Passwörter_Agenturen!AE188</f>
        <v>0</v>
      </c>
      <c r="X156" s="76">
        <f>+Passwörter_Agenturen!AF188</f>
        <v>0</v>
      </c>
      <c r="Y156" s="76">
        <f>+Passwörter_Agenturen!AG188</f>
        <v>0</v>
      </c>
      <c r="Z156" s="76">
        <f>+Passwörter_Agenturen!AH188</f>
        <v>0</v>
      </c>
    </row>
    <row r="157" spans="1:26" x14ac:dyDescent="0.25">
      <c r="A157" s="75" t="str">
        <f>+Passwörter_Agenturen!H189</f>
        <v>R+V Versicherung Sach</v>
      </c>
      <c r="B157" s="76" t="str">
        <f>+Passwörter_Agenturen!J189</f>
        <v>406/450782</v>
      </c>
      <c r="C157" s="76" t="str">
        <f>+Passwörter_Agenturen!I189</f>
        <v>450782</v>
      </c>
      <c r="D157" s="76">
        <f>+Passwörter_Agenturen!K189</f>
        <v>0</v>
      </c>
      <c r="E157" s="76">
        <f>+Passwörter_Agenturen!L189</f>
        <v>0</v>
      </c>
      <c r="F157" s="76">
        <f>+Passwörter_Agenturen!M189</f>
        <v>0</v>
      </c>
      <c r="G157" s="76">
        <f>+Passwörter_Agenturen!N189</f>
        <v>0</v>
      </c>
      <c r="H157" s="76">
        <f>+Passwörter_Agenturen!P189</f>
        <v>0</v>
      </c>
      <c r="I157" s="76">
        <f>+Passwörter_Agenturen!Q189</f>
        <v>0</v>
      </c>
      <c r="J157" s="76">
        <f>+Passwörter_Agenturen!R189</f>
        <v>0</v>
      </c>
      <c r="K157" s="76">
        <f>+Passwörter_Agenturen!S189</f>
        <v>0</v>
      </c>
      <c r="L157" s="76">
        <f>+Passwörter_Agenturen!T189</f>
        <v>0</v>
      </c>
      <c r="M157" s="76">
        <f>+Passwörter_Agenturen!U189</f>
        <v>0</v>
      </c>
      <c r="N157" s="76">
        <f>+Passwörter_Agenturen!V189</f>
        <v>0</v>
      </c>
      <c r="O157" s="76">
        <f>+Passwörter_Agenturen!W189</f>
        <v>0</v>
      </c>
      <c r="P157" s="76">
        <f>+Passwörter_Agenturen!X189</f>
        <v>0</v>
      </c>
      <c r="Q157" s="76">
        <f>+Passwörter_Agenturen!Y189</f>
        <v>0</v>
      </c>
      <c r="R157" s="76">
        <f>+Passwörter_Agenturen!Z189</f>
        <v>0</v>
      </c>
      <c r="S157" s="76">
        <f>+Passwörter_Agenturen!AA189</f>
        <v>0</v>
      </c>
      <c r="T157" s="76">
        <f>+Passwörter_Agenturen!AB189</f>
        <v>0</v>
      </c>
      <c r="U157" s="76">
        <f>+Passwörter_Agenturen!AC189</f>
        <v>0</v>
      </c>
      <c r="V157" s="76">
        <f>+Passwörter_Agenturen!AD189</f>
        <v>0</v>
      </c>
      <c r="W157" s="76">
        <f>+Passwörter_Agenturen!AE189</f>
        <v>0</v>
      </c>
      <c r="X157" s="76">
        <f>+Passwörter_Agenturen!AF189</f>
        <v>0</v>
      </c>
      <c r="Y157" s="76">
        <f>+Passwörter_Agenturen!AG189</f>
        <v>0</v>
      </c>
      <c r="Z157" s="76">
        <f>+Passwörter_Agenturen!AH189</f>
        <v>0</v>
      </c>
    </row>
    <row r="158" spans="1:26" x14ac:dyDescent="0.25">
      <c r="A158" s="75" t="str">
        <f>+Passwörter_Agenturen!H190</f>
        <v>Recht.-Union</v>
      </c>
      <c r="B158" s="76" t="str">
        <f>+Passwörter_Agenturen!J190</f>
        <v>1/50/23/8801</v>
      </c>
      <c r="C158" s="76">
        <f>+Passwörter_Agenturen!I190</f>
        <v>0</v>
      </c>
      <c r="D158" s="76">
        <f>+Passwörter_Agenturen!K190</f>
        <v>0</v>
      </c>
      <c r="E158" s="76">
        <f>+Passwörter_Agenturen!L190</f>
        <v>0</v>
      </c>
      <c r="F158" s="76">
        <f>+Passwörter_Agenturen!M190</f>
        <v>0</v>
      </c>
      <c r="G158" s="76">
        <f>+Passwörter_Agenturen!N190</f>
        <v>0</v>
      </c>
      <c r="H158" s="76">
        <f>+Passwörter_Agenturen!P190</f>
        <v>0</v>
      </c>
      <c r="I158" s="76">
        <f>+Passwörter_Agenturen!Q190</f>
        <v>0</v>
      </c>
      <c r="J158" s="76">
        <f>+Passwörter_Agenturen!R190</f>
        <v>0</v>
      </c>
      <c r="K158" s="76">
        <f>+Passwörter_Agenturen!S190</f>
        <v>0</v>
      </c>
      <c r="L158" s="76">
        <f>+Passwörter_Agenturen!T190</f>
        <v>0</v>
      </c>
      <c r="M158" s="76">
        <f>+Passwörter_Agenturen!U190</f>
        <v>0</v>
      </c>
      <c r="N158" s="76">
        <f>+Passwörter_Agenturen!V190</f>
        <v>0</v>
      </c>
      <c r="O158" s="76">
        <f>+Passwörter_Agenturen!W190</f>
        <v>0</v>
      </c>
      <c r="P158" s="76">
        <f>+Passwörter_Agenturen!X190</f>
        <v>0</v>
      </c>
      <c r="Q158" s="76">
        <f>+Passwörter_Agenturen!Y190</f>
        <v>0</v>
      </c>
      <c r="R158" s="76">
        <f>+Passwörter_Agenturen!Z190</f>
        <v>0</v>
      </c>
      <c r="S158" s="76">
        <f>+Passwörter_Agenturen!AA190</f>
        <v>0</v>
      </c>
      <c r="T158" s="76">
        <f>+Passwörter_Agenturen!AB190</f>
        <v>0</v>
      </c>
      <c r="U158" s="76">
        <f>+Passwörter_Agenturen!AC190</f>
        <v>0</v>
      </c>
      <c r="V158" s="76">
        <f>+Passwörter_Agenturen!AD190</f>
        <v>0</v>
      </c>
      <c r="W158" s="76">
        <f>+Passwörter_Agenturen!AE190</f>
        <v>0</v>
      </c>
      <c r="X158" s="76">
        <f>+Passwörter_Agenturen!AF190</f>
        <v>0</v>
      </c>
      <c r="Y158" s="76">
        <f>+Passwörter_Agenturen!AG190</f>
        <v>0</v>
      </c>
      <c r="Z158" s="76">
        <f>+Passwörter_Agenturen!AH190</f>
        <v>0</v>
      </c>
    </row>
    <row r="159" spans="1:26" x14ac:dyDescent="0.25">
      <c r="A159" s="75" t="str">
        <f>+Passwörter_Agenturen!H191</f>
        <v>Rheinland/alt</v>
      </c>
      <c r="B159" s="76" t="str">
        <f>+Passwörter_Agenturen!J191</f>
        <v>47/8110</v>
      </c>
      <c r="C159" s="76">
        <f>+Passwörter_Agenturen!I191</f>
        <v>0</v>
      </c>
      <c r="D159" s="76">
        <f>+Passwörter_Agenturen!K191</f>
        <v>0</v>
      </c>
      <c r="E159" s="76">
        <f>+Passwörter_Agenturen!L191</f>
        <v>0</v>
      </c>
      <c r="F159" s="76">
        <f>+Passwörter_Agenturen!M191</f>
        <v>0</v>
      </c>
      <c r="G159" s="76">
        <f>+Passwörter_Agenturen!N191</f>
        <v>0</v>
      </c>
      <c r="H159" s="76">
        <f>+Passwörter_Agenturen!P191</f>
        <v>0</v>
      </c>
      <c r="I159" s="76">
        <f>+Passwörter_Agenturen!Q191</f>
        <v>0</v>
      </c>
      <c r="J159" s="76">
        <f>+Passwörter_Agenturen!R191</f>
        <v>0</v>
      </c>
      <c r="K159" s="76">
        <f>+Passwörter_Agenturen!S191</f>
        <v>0</v>
      </c>
      <c r="L159" s="76">
        <f>+Passwörter_Agenturen!T191</f>
        <v>0</v>
      </c>
      <c r="M159" s="76">
        <f>+Passwörter_Agenturen!U191</f>
        <v>0</v>
      </c>
      <c r="N159" s="76">
        <f>+Passwörter_Agenturen!V191</f>
        <v>0</v>
      </c>
      <c r="O159" s="76">
        <f>+Passwörter_Agenturen!W191</f>
        <v>0</v>
      </c>
      <c r="P159" s="76">
        <f>+Passwörter_Agenturen!X191</f>
        <v>0</v>
      </c>
      <c r="Q159" s="76">
        <f>+Passwörter_Agenturen!Y191</f>
        <v>0</v>
      </c>
      <c r="R159" s="76">
        <f>+Passwörter_Agenturen!Z191</f>
        <v>0</v>
      </c>
      <c r="S159" s="76">
        <f>+Passwörter_Agenturen!AA191</f>
        <v>0</v>
      </c>
      <c r="T159" s="76">
        <f>+Passwörter_Agenturen!AB191</f>
        <v>0</v>
      </c>
      <c r="U159" s="76">
        <f>+Passwörter_Agenturen!AC191</f>
        <v>0</v>
      </c>
      <c r="V159" s="76">
        <f>+Passwörter_Agenturen!AD191</f>
        <v>0</v>
      </c>
      <c r="W159" s="76">
        <f>+Passwörter_Agenturen!AE191</f>
        <v>0</v>
      </c>
      <c r="X159" s="76">
        <f>+Passwörter_Agenturen!AF191</f>
        <v>0</v>
      </c>
      <c r="Y159" s="76">
        <f>+Passwörter_Agenturen!AG191</f>
        <v>0</v>
      </c>
      <c r="Z159" s="76">
        <f>+Passwörter_Agenturen!AH191</f>
        <v>0</v>
      </c>
    </row>
    <row r="160" spans="1:26" x14ac:dyDescent="0.25">
      <c r="A160" s="75" t="str">
        <f>+Passwörter_Agenturen!H192</f>
        <v>Rhion/Rheinland</v>
      </c>
      <c r="B160" s="76" t="str">
        <f>+Passwörter_Agenturen!J192</f>
        <v>67/8110</v>
      </c>
      <c r="C160" s="76" t="str">
        <f>+Passwörter_Agenturen!I192</f>
        <v>67/8110</v>
      </c>
      <c r="D160" s="76">
        <f>+Passwörter_Agenturen!K192</f>
        <v>0</v>
      </c>
      <c r="E160" s="76">
        <f>+Passwörter_Agenturen!L192</f>
        <v>0</v>
      </c>
      <c r="F160" s="76">
        <f>+Passwörter_Agenturen!M192</f>
        <v>0</v>
      </c>
      <c r="G160" s="76">
        <f>+Passwörter_Agenturen!N192</f>
        <v>0</v>
      </c>
      <c r="H160" s="76">
        <f>+Passwörter_Agenturen!P192</f>
        <v>0</v>
      </c>
      <c r="I160" s="76">
        <f>+Passwörter_Agenturen!Q192</f>
        <v>0</v>
      </c>
      <c r="J160" s="76">
        <f>+Passwörter_Agenturen!R192</f>
        <v>0</v>
      </c>
      <c r="K160" s="76">
        <f>+Passwörter_Agenturen!S192</f>
        <v>0</v>
      </c>
      <c r="L160" s="76">
        <f>+Passwörter_Agenturen!T192</f>
        <v>0</v>
      </c>
      <c r="M160" s="76">
        <f>+Passwörter_Agenturen!U192</f>
        <v>0</v>
      </c>
      <c r="N160" s="76">
        <f>+Passwörter_Agenturen!V192</f>
        <v>0</v>
      </c>
      <c r="O160" s="76">
        <f>+Passwörter_Agenturen!W192</f>
        <v>0</v>
      </c>
      <c r="P160" s="76">
        <f>+Passwörter_Agenturen!X192</f>
        <v>0</v>
      </c>
      <c r="Q160" s="76">
        <f>+Passwörter_Agenturen!Y192</f>
        <v>0</v>
      </c>
      <c r="R160" s="76">
        <f>+Passwörter_Agenturen!Z192</f>
        <v>0</v>
      </c>
      <c r="S160" s="76">
        <f>+Passwörter_Agenturen!AA192</f>
        <v>0</v>
      </c>
      <c r="T160" s="76">
        <f>+Passwörter_Agenturen!AB192</f>
        <v>0</v>
      </c>
      <c r="U160" s="76">
        <f>+Passwörter_Agenturen!AC192</f>
        <v>0</v>
      </c>
      <c r="V160" s="76">
        <f>+Passwörter_Agenturen!AD192</f>
        <v>0</v>
      </c>
      <c r="W160" s="76">
        <f>+Passwörter_Agenturen!AE192</f>
        <v>0</v>
      </c>
      <c r="X160" s="76">
        <f>+Passwörter_Agenturen!AF192</f>
        <v>0</v>
      </c>
      <c r="Y160" s="76">
        <f>+Passwörter_Agenturen!AG192</f>
        <v>0</v>
      </c>
      <c r="Z160" s="76">
        <f>+Passwörter_Agenturen!AH192</f>
        <v>0</v>
      </c>
    </row>
    <row r="161" spans="1:26" x14ac:dyDescent="0.25">
      <c r="A161" s="75" t="str">
        <f>+Passwörter_Agenturen!H193</f>
        <v>Roland Rechtsschutz (direkt)</v>
      </c>
      <c r="B161" s="76" t="str">
        <f>+Passwörter_Agenturen!J193</f>
        <v>55.590</v>
      </c>
      <c r="C161" s="76" t="str">
        <f>+Passwörter_Agenturen!I193</f>
        <v>55.590</v>
      </c>
      <c r="D161" s="76">
        <f>+Passwörter_Agenturen!K193</f>
        <v>0</v>
      </c>
      <c r="E161" s="76">
        <f>+Passwörter_Agenturen!L193</f>
        <v>0</v>
      </c>
      <c r="F161" s="76">
        <f>+Passwörter_Agenturen!M193</f>
        <v>0</v>
      </c>
      <c r="G161" s="76">
        <f>+Passwörter_Agenturen!N193</f>
        <v>0</v>
      </c>
      <c r="H161" s="76">
        <f>+Passwörter_Agenturen!P193</f>
        <v>0</v>
      </c>
      <c r="I161" s="76">
        <f>+Passwörter_Agenturen!Q193</f>
        <v>0</v>
      </c>
      <c r="J161" s="76">
        <f>+Passwörter_Agenturen!R193</f>
        <v>0</v>
      </c>
      <c r="K161" s="76">
        <f>+Passwörter_Agenturen!S193</f>
        <v>0</v>
      </c>
      <c r="L161" s="76">
        <f>+Passwörter_Agenturen!T193</f>
        <v>0</v>
      </c>
      <c r="M161" s="76">
        <f>+Passwörter_Agenturen!U193</f>
        <v>0</v>
      </c>
      <c r="N161" s="76">
        <f>+Passwörter_Agenturen!V193</f>
        <v>0</v>
      </c>
      <c r="O161" s="76">
        <f>+Passwörter_Agenturen!W193</f>
        <v>0</v>
      </c>
      <c r="P161" s="76">
        <f>+Passwörter_Agenturen!X193</f>
        <v>0</v>
      </c>
      <c r="Q161" s="76">
        <f>+Passwörter_Agenturen!Y193</f>
        <v>0</v>
      </c>
      <c r="R161" s="76">
        <f>+Passwörter_Agenturen!Z193</f>
        <v>0</v>
      </c>
      <c r="S161" s="76">
        <f>+Passwörter_Agenturen!AA193</f>
        <v>0</v>
      </c>
      <c r="T161" s="76">
        <f>+Passwörter_Agenturen!AB193</f>
        <v>0</v>
      </c>
      <c r="U161" s="76">
        <f>+Passwörter_Agenturen!AC193</f>
        <v>0</v>
      </c>
      <c r="V161" s="76">
        <f>+Passwörter_Agenturen!AD193</f>
        <v>0</v>
      </c>
      <c r="W161" s="76">
        <f>+Passwörter_Agenturen!AE193</f>
        <v>0</v>
      </c>
      <c r="X161" s="76">
        <f>+Passwörter_Agenturen!AF193</f>
        <v>0</v>
      </c>
      <c r="Y161" s="76">
        <f>+Passwörter_Agenturen!AG193</f>
        <v>0</v>
      </c>
      <c r="Z161" s="76">
        <f>+Passwörter_Agenturen!AH193</f>
        <v>0</v>
      </c>
    </row>
    <row r="162" spans="1:26" x14ac:dyDescent="0.25">
      <c r="A162" s="75" t="str">
        <f>+Passwörter_Agenturen!H194</f>
        <v>RWB</v>
      </c>
      <c r="B162" s="76" t="str">
        <f>+Passwörter_Agenturen!J194</f>
        <v>049-005425</v>
      </c>
      <c r="C162" s="76" t="str">
        <f>+Passwörter_Agenturen!I194</f>
        <v xml:space="preserve">  </v>
      </c>
      <c r="D162" s="76">
        <f>+Passwörter_Agenturen!K194</f>
        <v>0</v>
      </c>
      <c r="E162" s="76">
        <f>+Passwörter_Agenturen!L194</f>
        <v>0</v>
      </c>
      <c r="F162" s="76">
        <f>+Passwörter_Agenturen!M194</f>
        <v>0</v>
      </c>
      <c r="G162" s="76">
        <f>+Passwörter_Agenturen!N194</f>
        <v>0</v>
      </c>
      <c r="H162" s="76">
        <f>+Passwörter_Agenturen!P194</f>
        <v>0</v>
      </c>
      <c r="I162" s="76">
        <f>+Passwörter_Agenturen!Q194</f>
        <v>0</v>
      </c>
      <c r="J162" s="76">
        <f>+Passwörter_Agenturen!R194</f>
        <v>0</v>
      </c>
      <c r="K162" s="76">
        <f>+Passwörter_Agenturen!S194</f>
        <v>0</v>
      </c>
      <c r="L162" s="76">
        <f>+Passwörter_Agenturen!T194</f>
        <v>0</v>
      </c>
      <c r="M162" s="76">
        <f>+Passwörter_Agenturen!U194</f>
        <v>0</v>
      </c>
      <c r="N162" s="76">
        <f>+Passwörter_Agenturen!V194</f>
        <v>0</v>
      </c>
      <c r="O162" s="76">
        <f>+Passwörter_Agenturen!W194</f>
        <v>0</v>
      </c>
      <c r="P162" s="76">
        <f>+Passwörter_Agenturen!X194</f>
        <v>0</v>
      </c>
      <c r="Q162" s="76">
        <f>+Passwörter_Agenturen!Y194</f>
        <v>0</v>
      </c>
      <c r="R162" s="76">
        <f>+Passwörter_Agenturen!Z194</f>
        <v>0</v>
      </c>
      <c r="S162" s="76">
        <f>+Passwörter_Agenturen!AA194</f>
        <v>0</v>
      </c>
      <c r="T162" s="76">
        <f>+Passwörter_Agenturen!AB194</f>
        <v>0</v>
      </c>
      <c r="U162" s="76">
        <f>+Passwörter_Agenturen!AC194</f>
        <v>0</v>
      </c>
      <c r="V162" s="76">
        <f>+Passwörter_Agenturen!AD194</f>
        <v>0</v>
      </c>
      <c r="W162" s="76">
        <f>+Passwörter_Agenturen!AE194</f>
        <v>0</v>
      </c>
      <c r="X162" s="76">
        <f>+Passwörter_Agenturen!AF194</f>
        <v>0</v>
      </c>
      <c r="Y162" s="76">
        <f>+Passwörter_Agenturen!AG194</f>
        <v>0</v>
      </c>
      <c r="Z162" s="76">
        <f>+Passwörter_Agenturen!AH194</f>
        <v>0</v>
      </c>
    </row>
    <row r="163" spans="1:26" x14ac:dyDescent="0.25">
      <c r="A163" s="75" t="str">
        <f>+Passwörter_Agenturen!H195</f>
        <v>Salus BKK</v>
      </c>
      <c r="B163" s="76" t="str">
        <f>+Passwörter_Agenturen!J195</f>
        <v>26711</v>
      </c>
      <c r="C163" s="76">
        <f>+Passwörter_Agenturen!I195</f>
        <v>0</v>
      </c>
      <c r="D163" s="76">
        <f>+Passwörter_Agenturen!K195</f>
        <v>0</v>
      </c>
      <c r="E163" s="76">
        <f>+Passwörter_Agenturen!L195</f>
        <v>0</v>
      </c>
      <c r="F163" s="76">
        <f>+Passwörter_Agenturen!M195</f>
        <v>0</v>
      </c>
      <c r="G163" s="76">
        <f>+Passwörter_Agenturen!N195</f>
        <v>0</v>
      </c>
      <c r="H163" s="76">
        <f>+Passwörter_Agenturen!P195</f>
        <v>0</v>
      </c>
      <c r="I163" s="76">
        <f>+Passwörter_Agenturen!Q195</f>
        <v>0</v>
      </c>
      <c r="J163" s="76">
        <f>+Passwörter_Agenturen!R195</f>
        <v>0</v>
      </c>
      <c r="K163" s="76">
        <f>+Passwörter_Agenturen!S195</f>
        <v>0</v>
      </c>
      <c r="L163" s="76">
        <f>+Passwörter_Agenturen!T195</f>
        <v>0</v>
      </c>
      <c r="M163" s="76">
        <f>+Passwörter_Agenturen!U195</f>
        <v>0</v>
      </c>
      <c r="N163" s="76">
        <f>+Passwörter_Agenturen!V195</f>
        <v>0</v>
      </c>
      <c r="O163" s="76">
        <f>+Passwörter_Agenturen!W195</f>
        <v>0</v>
      </c>
      <c r="P163" s="76">
        <f>+Passwörter_Agenturen!X195</f>
        <v>0</v>
      </c>
      <c r="Q163" s="76">
        <f>+Passwörter_Agenturen!Y195</f>
        <v>0</v>
      </c>
      <c r="R163" s="76">
        <f>+Passwörter_Agenturen!Z195</f>
        <v>0</v>
      </c>
      <c r="S163" s="76">
        <f>+Passwörter_Agenturen!AA195</f>
        <v>0</v>
      </c>
      <c r="T163" s="76">
        <f>+Passwörter_Agenturen!AB195</f>
        <v>0</v>
      </c>
      <c r="U163" s="76">
        <f>+Passwörter_Agenturen!AC195</f>
        <v>0</v>
      </c>
      <c r="V163" s="76">
        <f>+Passwörter_Agenturen!AD195</f>
        <v>0</v>
      </c>
      <c r="W163" s="76">
        <f>+Passwörter_Agenturen!AE195</f>
        <v>0</v>
      </c>
      <c r="X163" s="76">
        <f>+Passwörter_Agenturen!AF195</f>
        <v>0</v>
      </c>
      <c r="Y163" s="76">
        <f>+Passwörter_Agenturen!AG195</f>
        <v>0</v>
      </c>
      <c r="Z163" s="76">
        <f>+Passwörter_Agenturen!AH195</f>
        <v>0</v>
      </c>
    </row>
    <row r="164" spans="1:26" x14ac:dyDescent="0.25">
      <c r="A164" s="75" t="str">
        <f>+Passwörter_Agenturen!H196</f>
        <v>Schleswiger AG</v>
      </c>
      <c r="B164" s="76" t="str">
        <f>+Passwörter_Agenturen!J196</f>
        <v>11978</v>
      </c>
      <c r="C164" s="76">
        <f>+Passwörter_Agenturen!I196</f>
        <v>0</v>
      </c>
      <c r="D164" s="76">
        <f>+Passwörter_Agenturen!K196</f>
        <v>0</v>
      </c>
      <c r="E164" s="76">
        <f>+Passwörter_Agenturen!L196</f>
        <v>0</v>
      </c>
      <c r="F164" s="76">
        <f>+Passwörter_Agenturen!M196</f>
        <v>0</v>
      </c>
      <c r="G164" s="76">
        <f>+Passwörter_Agenturen!N196</f>
        <v>0</v>
      </c>
      <c r="H164" s="76">
        <f>+Passwörter_Agenturen!P196</f>
        <v>0</v>
      </c>
      <c r="I164" s="76">
        <f>+Passwörter_Agenturen!Q196</f>
        <v>0</v>
      </c>
      <c r="J164" s="76">
        <f>+Passwörter_Agenturen!R196</f>
        <v>0</v>
      </c>
      <c r="K164" s="76">
        <f>+Passwörter_Agenturen!S196</f>
        <v>0</v>
      </c>
      <c r="L164" s="76">
        <f>+Passwörter_Agenturen!T196</f>
        <v>0</v>
      </c>
      <c r="M164" s="76">
        <f>+Passwörter_Agenturen!U196</f>
        <v>0</v>
      </c>
      <c r="N164" s="76">
        <f>+Passwörter_Agenturen!V196</f>
        <v>0</v>
      </c>
      <c r="O164" s="76">
        <f>+Passwörter_Agenturen!W196</f>
        <v>0</v>
      </c>
      <c r="P164" s="76">
        <f>+Passwörter_Agenturen!X196</f>
        <v>0</v>
      </c>
      <c r="Q164" s="76">
        <f>+Passwörter_Agenturen!Y196</f>
        <v>0</v>
      </c>
      <c r="R164" s="76">
        <f>+Passwörter_Agenturen!Z196</f>
        <v>0</v>
      </c>
      <c r="S164" s="76">
        <f>+Passwörter_Agenturen!AA196</f>
        <v>0</v>
      </c>
      <c r="T164" s="76">
        <f>+Passwörter_Agenturen!AB196</f>
        <v>0</v>
      </c>
      <c r="U164" s="76">
        <f>+Passwörter_Agenturen!AC196</f>
        <v>0</v>
      </c>
      <c r="V164" s="76">
        <f>+Passwörter_Agenturen!AD196</f>
        <v>0</v>
      </c>
      <c r="W164" s="76">
        <f>+Passwörter_Agenturen!AE196</f>
        <v>0</v>
      </c>
      <c r="X164" s="76">
        <f>+Passwörter_Agenturen!AF196</f>
        <v>0</v>
      </c>
      <c r="Y164" s="76">
        <f>+Passwörter_Agenturen!AG196</f>
        <v>0</v>
      </c>
      <c r="Z164" s="76">
        <f>+Passwörter_Agenturen!AH196</f>
        <v>0</v>
      </c>
    </row>
    <row r="165" spans="1:26" x14ac:dyDescent="0.25">
      <c r="A165" s="75" t="str">
        <f>+Passwörter_Agenturen!H197</f>
        <v>Signal</v>
      </c>
      <c r="B165" s="76" t="str">
        <f>+Passwörter_Agenturen!J197</f>
        <v>2834196</v>
      </c>
      <c r="C165" s="76" t="str">
        <f>+Passwörter_Agenturen!I197</f>
        <v>KV-8656194</v>
      </c>
      <c r="D165" s="76">
        <f>+Passwörter_Agenturen!K197</f>
        <v>0</v>
      </c>
      <c r="E165" s="76">
        <f>+Passwörter_Agenturen!L197</f>
        <v>0</v>
      </c>
      <c r="F165" s="76">
        <f>+Passwörter_Agenturen!M197</f>
        <v>0</v>
      </c>
      <c r="G165" s="76">
        <f>+Passwörter_Agenturen!N197</f>
        <v>0</v>
      </c>
      <c r="H165" s="76">
        <f>+Passwörter_Agenturen!P197</f>
        <v>0</v>
      </c>
      <c r="I165" s="76">
        <f>+Passwörter_Agenturen!Q197</f>
        <v>0</v>
      </c>
      <c r="J165" s="76">
        <f>+Passwörter_Agenturen!R197</f>
        <v>0</v>
      </c>
      <c r="K165" s="76">
        <f>+Passwörter_Agenturen!S197</f>
        <v>0</v>
      </c>
      <c r="L165" s="76">
        <f>+Passwörter_Agenturen!T197</f>
        <v>0</v>
      </c>
      <c r="M165" s="76">
        <f>+Passwörter_Agenturen!U197</f>
        <v>0</v>
      </c>
      <c r="N165" s="76">
        <f>+Passwörter_Agenturen!V197</f>
        <v>0</v>
      </c>
      <c r="O165" s="76">
        <f>+Passwörter_Agenturen!W197</f>
        <v>0</v>
      </c>
      <c r="P165" s="76">
        <f>+Passwörter_Agenturen!X197</f>
        <v>0</v>
      </c>
      <c r="Q165" s="76">
        <f>+Passwörter_Agenturen!Y197</f>
        <v>0</v>
      </c>
      <c r="R165" s="76">
        <f>+Passwörter_Agenturen!Z197</f>
        <v>0</v>
      </c>
      <c r="S165" s="76">
        <f>+Passwörter_Agenturen!AA197</f>
        <v>0</v>
      </c>
      <c r="T165" s="76">
        <f>+Passwörter_Agenturen!AB197</f>
        <v>0</v>
      </c>
      <c r="U165" s="76">
        <f>+Passwörter_Agenturen!AC197</f>
        <v>0</v>
      </c>
      <c r="V165" s="76">
        <f>+Passwörter_Agenturen!AD197</f>
        <v>0</v>
      </c>
      <c r="W165" s="76">
        <f>+Passwörter_Agenturen!AE197</f>
        <v>0</v>
      </c>
      <c r="X165" s="76">
        <f>+Passwörter_Agenturen!AF197</f>
        <v>0</v>
      </c>
      <c r="Y165" s="76">
        <f>+Passwörter_Agenturen!AG197</f>
        <v>0</v>
      </c>
      <c r="Z165" s="76">
        <f>+Passwörter_Agenturen!AH197</f>
        <v>0</v>
      </c>
    </row>
    <row r="166" spans="1:26" x14ac:dyDescent="0.25">
      <c r="A166" s="75" t="str">
        <f>+Passwörter_Agenturen!H198</f>
        <v>Signal Iduna (ADV-Nr. 2986853)</v>
      </c>
      <c r="B166" s="76" t="str">
        <f>+Passwörter_Agenturen!J198</f>
        <v>2834196</v>
      </c>
      <c r="C166" s="76" t="str">
        <f>+Passwörter_Agenturen!I198</f>
        <v>2986853</v>
      </c>
      <c r="D166" s="76">
        <f>+Passwörter_Agenturen!K198</f>
        <v>0</v>
      </c>
      <c r="E166" s="76">
        <f>+Passwörter_Agenturen!L198</f>
        <v>0</v>
      </c>
      <c r="F166" s="76">
        <f>+Passwörter_Agenturen!M198</f>
        <v>0</v>
      </c>
      <c r="G166" s="76">
        <f>+Passwörter_Agenturen!N198</f>
        <v>0</v>
      </c>
      <c r="H166" s="76">
        <f>+Passwörter_Agenturen!P198</f>
        <v>0</v>
      </c>
      <c r="I166" s="76">
        <f>+Passwörter_Agenturen!Q198</f>
        <v>0</v>
      </c>
      <c r="J166" s="76">
        <f>+Passwörter_Agenturen!R198</f>
        <v>0</v>
      </c>
      <c r="K166" s="76">
        <f>+Passwörter_Agenturen!S198</f>
        <v>0</v>
      </c>
      <c r="L166" s="76">
        <f>+Passwörter_Agenturen!T198</f>
        <v>0</v>
      </c>
      <c r="M166" s="76">
        <f>+Passwörter_Agenturen!U198</f>
        <v>0</v>
      </c>
      <c r="N166" s="76">
        <f>+Passwörter_Agenturen!V198</f>
        <v>0</v>
      </c>
      <c r="O166" s="76">
        <f>+Passwörter_Agenturen!W198</f>
        <v>0</v>
      </c>
      <c r="P166" s="76">
        <f>+Passwörter_Agenturen!X198</f>
        <v>0</v>
      </c>
      <c r="Q166" s="76">
        <f>+Passwörter_Agenturen!Y198</f>
        <v>0</v>
      </c>
      <c r="R166" s="76">
        <f>+Passwörter_Agenturen!Z198</f>
        <v>0</v>
      </c>
      <c r="S166" s="76">
        <f>+Passwörter_Agenturen!AA198</f>
        <v>0</v>
      </c>
      <c r="T166" s="76">
        <f>+Passwörter_Agenturen!AB198</f>
        <v>0</v>
      </c>
      <c r="U166" s="76">
        <f>+Passwörter_Agenturen!AC198</f>
        <v>0</v>
      </c>
      <c r="V166" s="76">
        <f>+Passwörter_Agenturen!AD198</f>
        <v>0</v>
      </c>
      <c r="W166" s="76">
        <f>+Passwörter_Agenturen!AE198</f>
        <v>0</v>
      </c>
      <c r="X166" s="76">
        <f>+Passwörter_Agenturen!AF198</f>
        <v>0</v>
      </c>
      <c r="Y166" s="76">
        <f>+Passwörter_Agenturen!AG198</f>
        <v>0</v>
      </c>
      <c r="Z166" s="76">
        <f>+Passwörter_Agenturen!AH198</f>
        <v>0</v>
      </c>
    </row>
    <row r="167" spans="1:26" x14ac:dyDescent="0.25">
      <c r="A167" s="75" t="str">
        <f>+Passwörter_Agenturen!H200</f>
        <v>SLP / Swiss Life Partner</v>
      </c>
      <c r="B167" s="76" t="str">
        <f>+Passwörter_Agenturen!J200</f>
        <v>421995</v>
      </c>
      <c r="C167" s="76">
        <f>+Passwörter_Agenturen!I200</f>
        <v>0</v>
      </c>
      <c r="D167" s="76">
        <f>+Passwörter_Agenturen!K200</f>
        <v>0</v>
      </c>
      <c r="E167" s="76">
        <f>+Passwörter_Agenturen!L200</f>
        <v>0</v>
      </c>
      <c r="F167" s="76">
        <f>+Passwörter_Agenturen!M200</f>
        <v>0</v>
      </c>
      <c r="G167" s="76">
        <f>+Passwörter_Agenturen!N200</f>
        <v>0</v>
      </c>
      <c r="H167" s="76">
        <f>+Passwörter_Agenturen!P200</f>
        <v>0</v>
      </c>
      <c r="I167" s="76">
        <f>+Passwörter_Agenturen!Q200</f>
        <v>0</v>
      </c>
      <c r="J167" s="76">
        <f>+Passwörter_Agenturen!R200</f>
        <v>0</v>
      </c>
      <c r="K167" s="76">
        <f>+Passwörter_Agenturen!S200</f>
        <v>0</v>
      </c>
      <c r="L167" s="76">
        <f>+Passwörter_Agenturen!T200</f>
        <v>0</v>
      </c>
      <c r="M167" s="76">
        <f>+Passwörter_Agenturen!U200</f>
        <v>0</v>
      </c>
      <c r="N167" s="76">
        <f>+Passwörter_Agenturen!V200</f>
        <v>0</v>
      </c>
      <c r="O167" s="76">
        <f>+Passwörter_Agenturen!W200</f>
        <v>0</v>
      </c>
      <c r="P167" s="76">
        <f>+Passwörter_Agenturen!X200</f>
        <v>0</v>
      </c>
      <c r="Q167" s="76">
        <f>+Passwörter_Agenturen!Y200</f>
        <v>0</v>
      </c>
      <c r="R167" s="76">
        <f>+Passwörter_Agenturen!Z200</f>
        <v>0</v>
      </c>
      <c r="S167" s="76">
        <f>+Passwörter_Agenturen!AA200</f>
        <v>0</v>
      </c>
      <c r="T167" s="76">
        <f>+Passwörter_Agenturen!AB200</f>
        <v>0</v>
      </c>
      <c r="U167" s="76">
        <f>+Passwörter_Agenturen!AC200</f>
        <v>0</v>
      </c>
      <c r="V167" s="76">
        <f>+Passwörter_Agenturen!AD200</f>
        <v>0</v>
      </c>
      <c r="W167" s="76">
        <f>+Passwörter_Agenturen!AE200</f>
        <v>0</v>
      </c>
      <c r="X167" s="76">
        <f>+Passwörter_Agenturen!AF200</f>
        <v>0</v>
      </c>
      <c r="Y167" s="76">
        <f>+Passwörter_Agenturen!AG200</f>
        <v>0</v>
      </c>
      <c r="Z167" s="76">
        <f>+Passwörter_Agenturen!AH200</f>
        <v>0</v>
      </c>
    </row>
    <row r="168" spans="1:26" x14ac:dyDescent="0.25">
      <c r="A168" s="75" t="str">
        <f>+Passwörter_Agenturen!H201</f>
        <v>Standard Life</v>
      </c>
      <c r="B168" s="76">
        <f>+Passwörter_Agenturen!J201</f>
        <v>0</v>
      </c>
      <c r="C168" s="76" t="str">
        <f>+Passwörter_Agenturen!I201</f>
        <v>2022_VEMA</v>
      </c>
      <c r="D168" s="76">
        <f>+Passwörter_Agenturen!K201</f>
        <v>0</v>
      </c>
      <c r="E168" s="76">
        <f>+Passwörter_Agenturen!L201</f>
        <v>0</v>
      </c>
      <c r="F168" s="76">
        <f>+Passwörter_Agenturen!M201</f>
        <v>0</v>
      </c>
      <c r="G168" s="76">
        <f>+Passwörter_Agenturen!N201</f>
        <v>0</v>
      </c>
      <c r="H168" s="76">
        <f>+Passwörter_Agenturen!P201</f>
        <v>0</v>
      </c>
      <c r="I168" s="76">
        <f>+Passwörter_Agenturen!Q201</f>
        <v>0</v>
      </c>
      <c r="J168" s="76">
        <f>+Passwörter_Agenturen!R201</f>
        <v>0</v>
      </c>
      <c r="K168" s="76">
        <f>+Passwörter_Agenturen!S201</f>
        <v>0</v>
      </c>
      <c r="L168" s="76">
        <f>+Passwörter_Agenturen!T201</f>
        <v>0</v>
      </c>
      <c r="M168" s="76">
        <f>+Passwörter_Agenturen!U201</f>
        <v>0</v>
      </c>
      <c r="N168" s="76">
        <f>+Passwörter_Agenturen!V201</f>
        <v>0</v>
      </c>
      <c r="O168" s="76">
        <f>+Passwörter_Agenturen!W201</f>
        <v>0</v>
      </c>
      <c r="P168" s="76">
        <f>+Passwörter_Agenturen!X201</f>
        <v>0</v>
      </c>
      <c r="Q168" s="76">
        <f>+Passwörter_Agenturen!Y201</f>
        <v>0</v>
      </c>
      <c r="R168" s="76">
        <f>+Passwörter_Agenturen!Z201</f>
        <v>0</v>
      </c>
      <c r="S168" s="76">
        <f>+Passwörter_Agenturen!AA201</f>
        <v>0</v>
      </c>
      <c r="T168" s="76">
        <f>+Passwörter_Agenturen!AB201</f>
        <v>0</v>
      </c>
      <c r="U168" s="76">
        <f>+Passwörter_Agenturen!AC201</f>
        <v>0</v>
      </c>
      <c r="V168" s="76">
        <f>+Passwörter_Agenturen!AD201</f>
        <v>0</v>
      </c>
      <c r="W168" s="76">
        <f>+Passwörter_Agenturen!AE201</f>
        <v>0</v>
      </c>
      <c r="X168" s="76">
        <f>+Passwörter_Agenturen!AF201</f>
        <v>0</v>
      </c>
      <c r="Y168" s="76">
        <f>+Passwörter_Agenturen!AG201</f>
        <v>0</v>
      </c>
      <c r="Z168" s="76">
        <f>+Passwörter_Agenturen!AH201</f>
        <v>0</v>
      </c>
    </row>
    <row r="169" spans="1:26" x14ac:dyDescent="0.25">
      <c r="A169" s="75" t="str">
        <f>+Passwörter_Agenturen!H203</f>
        <v>Stromschalten.de (4Motions GmbH)</v>
      </c>
      <c r="B169" s="76" t="str">
        <f>+Passwörter_Agenturen!J203</f>
        <v xml:space="preserve"> 5114-0001</v>
      </c>
      <c r="C169" s="76">
        <f>+Passwörter_Agenturen!I203</f>
        <v>0</v>
      </c>
      <c r="D169" s="76">
        <f>+Passwörter_Agenturen!K203</f>
        <v>0</v>
      </c>
      <c r="E169" s="76">
        <f>+Passwörter_Agenturen!L203</f>
        <v>0</v>
      </c>
      <c r="F169" s="76">
        <f>+Passwörter_Agenturen!M203</f>
        <v>0</v>
      </c>
      <c r="G169" s="76">
        <f>+Passwörter_Agenturen!N203</f>
        <v>0</v>
      </c>
      <c r="H169" s="76">
        <f>+Passwörter_Agenturen!P203</f>
        <v>0</v>
      </c>
      <c r="I169" s="76">
        <f>+Passwörter_Agenturen!Q203</f>
        <v>0</v>
      </c>
      <c r="J169" s="76">
        <f>+Passwörter_Agenturen!R203</f>
        <v>0</v>
      </c>
      <c r="K169" s="76">
        <f>+Passwörter_Agenturen!S203</f>
        <v>0</v>
      </c>
      <c r="L169" s="76">
        <f>+Passwörter_Agenturen!T203</f>
        <v>0</v>
      </c>
      <c r="M169" s="76">
        <f>+Passwörter_Agenturen!U203</f>
        <v>0</v>
      </c>
      <c r="N169" s="76">
        <f>+Passwörter_Agenturen!V203</f>
        <v>0</v>
      </c>
      <c r="O169" s="76">
        <f>+Passwörter_Agenturen!W203</f>
        <v>0</v>
      </c>
      <c r="P169" s="76">
        <f>+Passwörter_Agenturen!X203</f>
        <v>0</v>
      </c>
      <c r="Q169" s="76">
        <f>+Passwörter_Agenturen!Y203</f>
        <v>0</v>
      </c>
      <c r="R169" s="76">
        <f>+Passwörter_Agenturen!Z203</f>
        <v>0</v>
      </c>
      <c r="S169" s="76">
        <f>+Passwörter_Agenturen!AA203</f>
        <v>0</v>
      </c>
      <c r="T169" s="76">
        <f>+Passwörter_Agenturen!AB203</f>
        <v>0</v>
      </c>
      <c r="U169" s="76">
        <f>+Passwörter_Agenturen!AC203</f>
        <v>0</v>
      </c>
      <c r="V169" s="76">
        <f>+Passwörter_Agenturen!AD203</f>
        <v>0</v>
      </c>
      <c r="W169" s="76">
        <f>+Passwörter_Agenturen!AE203</f>
        <v>0</v>
      </c>
      <c r="X169" s="76">
        <f>+Passwörter_Agenturen!AF203</f>
        <v>0</v>
      </c>
      <c r="Y169" s="76">
        <f>+Passwörter_Agenturen!AG203</f>
        <v>0</v>
      </c>
      <c r="Z169" s="76">
        <f>+Passwörter_Agenturen!AH203</f>
        <v>0</v>
      </c>
    </row>
    <row r="170" spans="1:26" x14ac:dyDescent="0.25">
      <c r="A170" s="75" t="str">
        <f>+Passwörter_Agenturen!H204</f>
        <v>Stuttgarter</v>
      </c>
      <c r="B170" s="76" t="str">
        <f>+Passwörter_Agenturen!J204</f>
        <v>72.00087372</v>
      </c>
      <c r="C170" s="76" t="str">
        <f>+Passwörter_Agenturen!I204</f>
        <v>87372</v>
      </c>
      <c r="D170" s="76">
        <f>+Passwörter_Agenturen!K204</f>
        <v>0</v>
      </c>
      <c r="E170" s="76" t="str">
        <f>+Passwörter_Agenturen!L204</f>
        <v>72.00105789</v>
      </c>
      <c r="F170" s="76">
        <f>+Passwörter_Agenturen!M204</f>
        <v>0</v>
      </c>
      <c r="G170" s="76">
        <f>+Passwörter_Agenturen!N204</f>
        <v>0</v>
      </c>
      <c r="H170" s="76">
        <f>+Passwörter_Agenturen!P204</f>
        <v>0</v>
      </c>
      <c r="I170" s="76">
        <f>+Passwörter_Agenturen!Q204</f>
        <v>0</v>
      </c>
      <c r="J170" s="76">
        <f>+Passwörter_Agenturen!R204</f>
        <v>0</v>
      </c>
      <c r="K170" s="76">
        <f>+Passwörter_Agenturen!S204</f>
        <v>0</v>
      </c>
      <c r="L170" s="76">
        <f>+Passwörter_Agenturen!T204</f>
        <v>0</v>
      </c>
      <c r="M170" s="76">
        <f>+Passwörter_Agenturen!U204</f>
        <v>0</v>
      </c>
      <c r="N170" s="76">
        <f>+Passwörter_Agenturen!V204</f>
        <v>0</v>
      </c>
      <c r="O170" s="76">
        <f>+Passwörter_Agenturen!W204</f>
        <v>0</v>
      </c>
      <c r="P170" s="76">
        <f>+Passwörter_Agenturen!X204</f>
        <v>0</v>
      </c>
      <c r="Q170" s="76">
        <f>+Passwörter_Agenturen!Y204</f>
        <v>0</v>
      </c>
      <c r="R170" s="76">
        <f>+Passwörter_Agenturen!Z204</f>
        <v>0</v>
      </c>
      <c r="S170" s="76" t="str">
        <f>+Passwörter_Agenturen!AA204</f>
        <v>72.00103830</v>
      </c>
      <c r="T170" s="76">
        <f>+Passwörter_Agenturen!AB204</f>
        <v>0</v>
      </c>
      <c r="U170" s="76">
        <f>+Passwörter_Agenturen!AC204</f>
        <v>0</v>
      </c>
      <c r="V170" s="76">
        <f>+Passwörter_Agenturen!AD204</f>
        <v>0</v>
      </c>
      <c r="W170" s="76">
        <f>+Passwörter_Agenturen!AE204</f>
        <v>0</v>
      </c>
      <c r="X170" s="76">
        <f>+Passwörter_Agenturen!AF204</f>
        <v>0</v>
      </c>
      <c r="Y170" s="76">
        <f>+Passwörter_Agenturen!AG204</f>
        <v>0</v>
      </c>
      <c r="Z170" s="76">
        <f>+Passwörter_Agenturen!AH204</f>
        <v>0</v>
      </c>
    </row>
    <row r="171" spans="1:26" x14ac:dyDescent="0.25">
      <c r="A171" s="75" t="str">
        <f>+Passwörter_Agenturen!H205</f>
        <v>SV SparkassenVersicherung  AG / ÖRAG</v>
      </c>
      <c r="B171" s="76" t="str">
        <f>+Passwörter_Agenturen!J205</f>
        <v xml:space="preserve"> </v>
      </c>
      <c r="C171" s="76" t="str">
        <f>+Passwörter_Agenturen!I205</f>
        <v>M000867</v>
      </c>
      <c r="D171" s="76">
        <f>+Passwörter_Agenturen!K205</f>
        <v>0</v>
      </c>
      <c r="E171" s="76">
        <f>+Passwörter_Agenturen!L205</f>
        <v>0</v>
      </c>
      <c r="F171" s="76">
        <f>+Passwörter_Agenturen!M205</f>
        <v>0</v>
      </c>
      <c r="G171" s="76">
        <f>+Passwörter_Agenturen!N205</f>
        <v>0</v>
      </c>
      <c r="H171" s="76">
        <f>+Passwörter_Agenturen!P205</f>
        <v>0</v>
      </c>
      <c r="I171" s="76">
        <f>+Passwörter_Agenturen!Q205</f>
        <v>0</v>
      </c>
      <c r="J171" s="76">
        <f>+Passwörter_Agenturen!R205</f>
        <v>0</v>
      </c>
      <c r="K171" s="76">
        <f>+Passwörter_Agenturen!S205</f>
        <v>0</v>
      </c>
      <c r="L171" s="76">
        <f>+Passwörter_Agenturen!T205</f>
        <v>0</v>
      </c>
      <c r="M171" s="76">
        <f>+Passwörter_Agenturen!U205</f>
        <v>0</v>
      </c>
      <c r="N171" s="76">
        <f>+Passwörter_Agenturen!V205</f>
        <v>0</v>
      </c>
      <c r="O171" s="76">
        <f>+Passwörter_Agenturen!W205</f>
        <v>0</v>
      </c>
      <c r="P171" s="76">
        <f>+Passwörter_Agenturen!X205</f>
        <v>0</v>
      </c>
      <c r="Q171" s="76">
        <f>+Passwörter_Agenturen!Y205</f>
        <v>0</v>
      </c>
      <c r="R171" s="76">
        <f>+Passwörter_Agenturen!Z205</f>
        <v>0</v>
      </c>
      <c r="S171" s="76">
        <f>+Passwörter_Agenturen!AA205</f>
        <v>0</v>
      </c>
      <c r="T171" s="76">
        <f>+Passwörter_Agenturen!AB205</f>
        <v>0</v>
      </c>
      <c r="U171" s="76">
        <f>+Passwörter_Agenturen!AC205</f>
        <v>0</v>
      </c>
      <c r="V171" s="76">
        <f>+Passwörter_Agenturen!AD205</f>
        <v>0</v>
      </c>
      <c r="W171" s="76">
        <f>+Passwörter_Agenturen!AE205</f>
        <v>0</v>
      </c>
      <c r="X171" s="76" t="str">
        <f>+Passwörter_Agenturen!AF205</f>
        <v>320107</v>
      </c>
      <c r="Y171" s="76">
        <f>+Passwörter_Agenturen!AG205</f>
        <v>0</v>
      </c>
      <c r="Z171" s="76">
        <f>+Passwörter_Agenturen!AH205</f>
        <v>0</v>
      </c>
    </row>
    <row r="172" spans="1:26" x14ac:dyDescent="0.25">
      <c r="A172" s="75" t="str">
        <f>+Passwörter_Agenturen!H206</f>
        <v>Swisslife</v>
      </c>
      <c r="B172" s="76" t="str">
        <f>+Passwörter_Agenturen!J206</f>
        <v>421995-0001</v>
      </c>
      <c r="C172" s="76" t="str">
        <f>+Passwörter_Agenturen!I206</f>
        <v>421995</v>
      </c>
      <c r="D172" s="76">
        <f>+Passwörter_Agenturen!K206</f>
        <v>0</v>
      </c>
      <c r="E172" s="76">
        <f>+Passwörter_Agenturen!L206</f>
        <v>0</v>
      </c>
      <c r="F172" s="76">
        <f>+Passwörter_Agenturen!M206</f>
        <v>0</v>
      </c>
      <c r="G172" s="76">
        <f>+Passwörter_Agenturen!N206</f>
        <v>0</v>
      </c>
      <c r="H172" s="76">
        <f>+Passwörter_Agenturen!P206</f>
        <v>0</v>
      </c>
      <c r="I172" s="76">
        <f>+Passwörter_Agenturen!Q206</f>
        <v>0</v>
      </c>
      <c r="J172" s="76">
        <f>+Passwörter_Agenturen!R206</f>
        <v>0</v>
      </c>
      <c r="K172" s="76">
        <f>+Passwörter_Agenturen!S206</f>
        <v>0</v>
      </c>
      <c r="L172" s="76">
        <f>+Passwörter_Agenturen!T206</f>
        <v>0</v>
      </c>
      <c r="M172" s="76">
        <f>+Passwörter_Agenturen!U206</f>
        <v>0</v>
      </c>
      <c r="N172" s="76">
        <f>+Passwörter_Agenturen!V206</f>
        <v>0</v>
      </c>
      <c r="O172" s="76">
        <f>+Passwörter_Agenturen!W206</f>
        <v>0</v>
      </c>
      <c r="P172" s="76">
        <f>+Passwörter_Agenturen!X206</f>
        <v>0</v>
      </c>
      <c r="Q172" s="76">
        <f>+Passwörter_Agenturen!Y206</f>
        <v>0</v>
      </c>
      <c r="R172" s="76">
        <f>+Passwörter_Agenturen!Z206</f>
        <v>0</v>
      </c>
      <c r="S172" s="76">
        <f>+Passwörter_Agenturen!AA206</f>
        <v>0</v>
      </c>
      <c r="T172" s="76">
        <f>+Passwörter_Agenturen!AB206</f>
        <v>0</v>
      </c>
      <c r="U172" s="76">
        <f>+Passwörter_Agenturen!AC206</f>
        <v>0</v>
      </c>
      <c r="V172" s="76">
        <f>+Passwörter_Agenturen!AD206</f>
        <v>0</v>
      </c>
      <c r="W172" s="76">
        <f>+Passwörter_Agenturen!AE206</f>
        <v>0</v>
      </c>
      <c r="X172" s="76">
        <f>+Passwörter_Agenturen!AF206</f>
        <v>0</v>
      </c>
      <c r="Y172" s="76">
        <f>+Passwörter_Agenturen!AG206</f>
        <v>0</v>
      </c>
      <c r="Z172" s="76">
        <f>+Passwörter_Agenturen!AH206</f>
        <v>0</v>
      </c>
    </row>
    <row r="173" spans="1:26" x14ac:dyDescent="0.25">
      <c r="A173" s="75" t="str">
        <f>+Passwörter_Agenturen!H207</f>
        <v>Techniker Krankenkasse</v>
      </c>
      <c r="B173" s="76" t="str">
        <f>+Passwörter_Agenturen!J207</f>
        <v>T0505860G9</v>
      </c>
      <c r="C173" s="76">
        <f>+Passwörter_Agenturen!I207</f>
        <v>0</v>
      </c>
      <c r="D173" s="76">
        <f>+Passwörter_Agenturen!K207</f>
        <v>0</v>
      </c>
      <c r="E173" s="76">
        <f>+Passwörter_Agenturen!L207</f>
        <v>0</v>
      </c>
      <c r="F173" s="76">
        <f>+Passwörter_Agenturen!M207</f>
        <v>0</v>
      </c>
      <c r="G173" s="76">
        <f>+Passwörter_Agenturen!N207</f>
        <v>0</v>
      </c>
      <c r="H173" s="76">
        <f>+Passwörter_Agenturen!P207</f>
        <v>0</v>
      </c>
      <c r="I173" s="76">
        <f>+Passwörter_Agenturen!Q207</f>
        <v>0</v>
      </c>
      <c r="J173" s="76">
        <f>+Passwörter_Agenturen!R207</f>
        <v>0</v>
      </c>
      <c r="K173" s="76">
        <f>+Passwörter_Agenturen!S207</f>
        <v>0</v>
      </c>
      <c r="L173" s="76">
        <f>+Passwörter_Agenturen!T207</f>
        <v>0</v>
      </c>
      <c r="M173" s="76">
        <f>+Passwörter_Agenturen!U207</f>
        <v>0</v>
      </c>
      <c r="N173" s="76">
        <f>+Passwörter_Agenturen!V207</f>
        <v>0</v>
      </c>
      <c r="O173" s="76">
        <f>+Passwörter_Agenturen!W207</f>
        <v>0</v>
      </c>
      <c r="P173" s="76">
        <f>+Passwörter_Agenturen!X207</f>
        <v>0</v>
      </c>
      <c r="Q173" s="76">
        <f>+Passwörter_Agenturen!Y207</f>
        <v>0</v>
      </c>
      <c r="R173" s="76">
        <f>+Passwörter_Agenturen!Z207</f>
        <v>0</v>
      </c>
      <c r="S173" s="76">
        <f>+Passwörter_Agenturen!AA207</f>
        <v>0</v>
      </c>
      <c r="T173" s="76">
        <f>+Passwörter_Agenturen!AB207</f>
        <v>0</v>
      </c>
      <c r="U173" s="76">
        <f>+Passwörter_Agenturen!AC207</f>
        <v>0</v>
      </c>
      <c r="V173" s="76">
        <f>+Passwörter_Agenturen!AD207</f>
        <v>0</v>
      </c>
      <c r="W173" s="76">
        <f>+Passwörter_Agenturen!AE207</f>
        <v>0</v>
      </c>
      <c r="X173" s="76">
        <f>+Passwörter_Agenturen!AF207</f>
        <v>0</v>
      </c>
      <c r="Y173" s="76">
        <f>+Passwörter_Agenturen!AG207</f>
        <v>0</v>
      </c>
      <c r="Z173" s="76">
        <f>+Passwörter_Agenturen!AH207</f>
        <v>0</v>
      </c>
    </row>
    <row r="174" spans="1:26" x14ac:dyDescent="0.25">
      <c r="A174" s="75" t="str">
        <f>+Passwörter_Agenturen!H208</f>
        <v>TRIXI</v>
      </c>
      <c r="B174" s="76">
        <f>+Passwörter_Agenturen!J208</f>
        <v>0</v>
      </c>
      <c r="C174" s="76">
        <f>+Passwörter_Agenturen!I208</f>
        <v>0</v>
      </c>
      <c r="D174" s="76">
        <f>+Passwörter_Agenturen!K208</f>
        <v>0</v>
      </c>
      <c r="E174" s="76">
        <f>+Passwörter_Agenturen!L208</f>
        <v>0</v>
      </c>
      <c r="F174" s="76">
        <f>+Passwörter_Agenturen!M208</f>
        <v>0</v>
      </c>
      <c r="G174" s="76">
        <f>+Passwörter_Agenturen!N208</f>
        <v>0</v>
      </c>
      <c r="H174" s="76">
        <f>+Passwörter_Agenturen!P208</f>
        <v>0</v>
      </c>
      <c r="I174" s="76">
        <f>+Passwörter_Agenturen!Q208</f>
        <v>0</v>
      </c>
      <c r="J174" s="76">
        <f>+Passwörter_Agenturen!R208</f>
        <v>0</v>
      </c>
      <c r="K174" s="76">
        <f>+Passwörter_Agenturen!S208</f>
        <v>0</v>
      </c>
      <c r="L174" s="76">
        <f>+Passwörter_Agenturen!T208</f>
        <v>0</v>
      </c>
      <c r="M174" s="76">
        <f>+Passwörter_Agenturen!U208</f>
        <v>0</v>
      </c>
      <c r="N174" s="76">
        <f>+Passwörter_Agenturen!V208</f>
        <v>0</v>
      </c>
      <c r="O174" s="76">
        <f>+Passwörter_Agenturen!W208</f>
        <v>0</v>
      </c>
      <c r="P174" s="76">
        <f>+Passwörter_Agenturen!X208</f>
        <v>0</v>
      </c>
      <c r="Q174" s="76">
        <f>+Passwörter_Agenturen!Y208</f>
        <v>0</v>
      </c>
      <c r="R174" s="76">
        <f>+Passwörter_Agenturen!Z208</f>
        <v>0</v>
      </c>
      <c r="S174" s="76">
        <f>+Passwörter_Agenturen!AA208</f>
        <v>0</v>
      </c>
      <c r="T174" s="76">
        <f>+Passwörter_Agenturen!AB208</f>
        <v>0</v>
      </c>
      <c r="U174" s="76">
        <f>+Passwörter_Agenturen!AC208</f>
        <v>0</v>
      </c>
      <c r="V174" s="76">
        <f>+Passwörter_Agenturen!AD208</f>
        <v>0</v>
      </c>
      <c r="W174" s="76">
        <f>+Passwörter_Agenturen!AE208</f>
        <v>0</v>
      </c>
      <c r="X174" s="76">
        <f>+Passwörter_Agenturen!AF208</f>
        <v>0</v>
      </c>
      <c r="Y174" s="76">
        <f>+Passwörter_Agenturen!AG208</f>
        <v>0</v>
      </c>
      <c r="Z174" s="76">
        <f>+Passwörter_Agenturen!AH208</f>
        <v>0</v>
      </c>
    </row>
    <row r="175" spans="1:26" x14ac:dyDescent="0.25">
      <c r="A175" s="75" t="str">
        <f>+Passwörter_Agenturen!H209</f>
        <v>TUTUS</v>
      </c>
      <c r="B175" s="76">
        <f>+Passwörter_Agenturen!J209</f>
        <v>0</v>
      </c>
      <c r="C175" s="76">
        <f>+Passwörter_Agenturen!I209</f>
        <v>0</v>
      </c>
      <c r="D175" s="76">
        <f>+Passwörter_Agenturen!K209</f>
        <v>0</v>
      </c>
      <c r="E175" s="76">
        <f>+Passwörter_Agenturen!L209</f>
        <v>0</v>
      </c>
      <c r="F175" s="76">
        <f>+Passwörter_Agenturen!M209</f>
        <v>0</v>
      </c>
      <c r="G175" s="76">
        <f>+Passwörter_Agenturen!N209</f>
        <v>0</v>
      </c>
      <c r="H175" s="76">
        <f>+Passwörter_Agenturen!P209</f>
        <v>0</v>
      </c>
      <c r="I175" s="76">
        <f>+Passwörter_Agenturen!Q209</f>
        <v>0</v>
      </c>
      <c r="J175" s="76">
        <f>+Passwörter_Agenturen!R209</f>
        <v>0</v>
      </c>
      <c r="K175" s="76">
        <f>+Passwörter_Agenturen!S209</f>
        <v>0</v>
      </c>
      <c r="L175" s="76">
        <f>+Passwörter_Agenturen!T209</f>
        <v>0</v>
      </c>
      <c r="M175" s="76">
        <f>+Passwörter_Agenturen!U209</f>
        <v>0</v>
      </c>
      <c r="N175" s="76">
        <f>+Passwörter_Agenturen!V209</f>
        <v>0</v>
      </c>
      <c r="O175" s="76">
        <f>+Passwörter_Agenturen!W209</f>
        <v>0</v>
      </c>
      <c r="P175" s="76">
        <f>+Passwörter_Agenturen!X209</f>
        <v>0</v>
      </c>
      <c r="Q175" s="76">
        <f>+Passwörter_Agenturen!Y209</f>
        <v>0</v>
      </c>
      <c r="R175" s="76">
        <f>+Passwörter_Agenturen!Z209</f>
        <v>0</v>
      </c>
      <c r="S175" s="76">
        <f>+Passwörter_Agenturen!AA209</f>
        <v>0</v>
      </c>
      <c r="T175" s="76">
        <f>+Passwörter_Agenturen!AB209</f>
        <v>0</v>
      </c>
      <c r="U175" s="76">
        <f>+Passwörter_Agenturen!AC209</f>
        <v>0</v>
      </c>
      <c r="V175" s="76">
        <f>+Passwörter_Agenturen!AD209</f>
        <v>0</v>
      </c>
      <c r="W175" s="76">
        <f>+Passwörter_Agenturen!AE209</f>
        <v>0</v>
      </c>
      <c r="X175" s="76">
        <f>+Passwörter_Agenturen!AF209</f>
        <v>0</v>
      </c>
      <c r="Y175" s="76">
        <f>+Passwörter_Agenturen!AG209</f>
        <v>0</v>
      </c>
      <c r="Z175" s="76">
        <f>+Passwörter_Agenturen!AH209</f>
        <v>0</v>
      </c>
    </row>
    <row r="176" spans="1:26" x14ac:dyDescent="0.25">
      <c r="A176" s="75" t="str">
        <f>+Passwörter_Agenturen!H210</f>
        <v>Uelzener</v>
      </c>
      <c r="B176" s="76" t="str">
        <f>+Passwörter_Agenturen!J210</f>
        <v>000/29471</v>
      </c>
      <c r="C176" s="76">
        <f>+Passwörter_Agenturen!I210</f>
        <v>0</v>
      </c>
      <c r="D176" s="76">
        <f>+Passwörter_Agenturen!K210</f>
        <v>0</v>
      </c>
      <c r="E176" s="76">
        <f>+Passwörter_Agenturen!L210</f>
        <v>0</v>
      </c>
      <c r="F176" s="76">
        <f>+Passwörter_Agenturen!M210</f>
        <v>0</v>
      </c>
      <c r="G176" s="76">
        <f>+Passwörter_Agenturen!N210</f>
        <v>0</v>
      </c>
      <c r="H176" s="76">
        <f>+Passwörter_Agenturen!P210</f>
        <v>0</v>
      </c>
      <c r="I176" s="76">
        <f>+Passwörter_Agenturen!Q210</f>
        <v>0</v>
      </c>
      <c r="J176" s="76">
        <f>+Passwörter_Agenturen!R210</f>
        <v>0</v>
      </c>
      <c r="K176" s="76">
        <f>+Passwörter_Agenturen!S210</f>
        <v>0</v>
      </c>
      <c r="L176" s="76">
        <f>+Passwörter_Agenturen!T210</f>
        <v>0</v>
      </c>
      <c r="M176" s="76">
        <f>+Passwörter_Agenturen!U210</f>
        <v>0</v>
      </c>
      <c r="N176" s="76">
        <f>+Passwörter_Agenturen!V210</f>
        <v>0</v>
      </c>
      <c r="O176" s="76">
        <f>+Passwörter_Agenturen!W210</f>
        <v>0</v>
      </c>
      <c r="P176" s="76">
        <f>+Passwörter_Agenturen!X210</f>
        <v>0</v>
      </c>
      <c r="Q176" s="76">
        <f>+Passwörter_Agenturen!Y210</f>
        <v>0</v>
      </c>
      <c r="R176" s="76">
        <f>+Passwörter_Agenturen!Z210</f>
        <v>0</v>
      </c>
      <c r="S176" s="76">
        <f>+Passwörter_Agenturen!AA210</f>
        <v>0</v>
      </c>
      <c r="T176" s="76">
        <f>+Passwörter_Agenturen!AB210</f>
        <v>0</v>
      </c>
      <c r="U176" s="76">
        <f>+Passwörter_Agenturen!AC210</f>
        <v>0</v>
      </c>
      <c r="V176" s="76">
        <f>+Passwörter_Agenturen!AD210</f>
        <v>0</v>
      </c>
      <c r="W176" s="76">
        <f>+Passwörter_Agenturen!AE210</f>
        <v>0</v>
      </c>
      <c r="X176" s="76">
        <f>+Passwörter_Agenturen!AF210</f>
        <v>0</v>
      </c>
      <c r="Y176" s="76">
        <f>+Passwörter_Agenturen!AG210</f>
        <v>0</v>
      </c>
      <c r="Z176" s="76">
        <f>+Passwörter_Agenturen!AH210</f>
        <v>0</v>
      </c>
    </row>
    <row r="177" spans="1:26" x14ac:dyDescent="0.25">
      <c r="A177" s="75" t="str">
        <f>+Passwörter_Agenturen!H211</f>
        <v>Universa</v>
      </c>
      <c r="B177" s="76" t="str">
        <f>+Passwörter_Agenturen!J211</f>
        <v>365-43323</v>
      </c>
      <c r="C177" s="76" t="str">
        <f>+Passwörter_Agenturen!I211</f>
        <v>43323</v>
      </c>
      <c r="D177" s="76">
        <f>+Passwörter_Agenturen!K211</f>
        <v>0</v>
      </c>
      <c r="E177" s="76">
        <f>+Passwörter_Agenturen!L211</f>
        <v>0</v>
      </c>
      <c r="F177" s="76">
        <f>+Passwörter_Agenturen!M211</f>
        <v>0</v>
      </c>
      <c r="G177" s="76">
        <f>+Passwörter_Agenturen!N211</f>
        <v>0</v>
      </c>
      <c r="H177" s="76">
        <f>+Passwörter_Agenturen!P211</f>
        <v>0</v>
      </c>
      <c r="I177" s="76">
        <f>+Passwörter_Agenturen!Q211</f>
        <v>0</v>
      </c>
      <c r="J177" s="76">
        <f>+Passwörter_Agenturen!R211</f>
        <v>0</v>
      </c>
      <c r="K177" s="76">
        <f>+Passwörter_Agenturen!S211</f>
        <v>0</v>
      </c>
      <c r="L177" s="76">
        <f>+Passwörter_Agenturen!T211</f>
        <v>0</v>
      </c>
      <c r="M177" s="76">
        <f>+Passwörter_Agenturen!U211</f>
        <v>0</v>
      </c>
      <c r="N177" s="76">
        <f>+Passwörter_Agenturen!V211</f>
        <v>0</v>
      </c>
      <c r="O177" s="76">
        <f>+Passwörter_Agenturen!W211</f>
        <v>0</v>
      </c>
      <c r="P177" s="76">
        <f>+Passwörter_Agenturen!X211</f>
        <v>0</v>
      </c>
      <c r="Q177" s="76">
        <f>+Passwörter_Agenturen!Y211</f>
        <v>0</v>
      </c>
      <c r="R177" s="76">
        <f>+Passwörter_Agenturen!Z211</f>
        <v>0</v>
      </c>
      <c r="S177" s="76">
        <f>+Passwörter_Agenturen!AA211</f>
        <v>0</v>
      </c>
      <c r="T177" s="76">
        <f>+Passwörter_Agenturen!AB211</f>
        <v>0</v>
      </c>
      <c r="U177" s="76">
        <f>+Passwörter_Agenturen!AC211</f>
        <v>0</v>
      </c>
      <c r="V177" s="76">
        <f>+Passwörter_Agenturen!AD211</f>
        <v>0</v>
      </c>
      <c r="W177" s="76">
        <f>+Passwörter_Agenturen!AE211</f>
        <v>0</v>
      </c>
      <c r="X177" s="76">
        <f>+Passwörter_Agenturen!AF211</f>
        <v>0</v>
      </c>
      <c r="Y177" s="76">
        <f>+Passwörter_Agenturen!AG211</f>
        <v>0</v>
      </c>
      <c r="Z177" s="76">
        <f>+Passwörter_Agenturen!AH211</f>
        <v>0</v>
      </c>
    </row>
    <row r="178" spans="1:26" x14ac:dyDescent="0.25">
      <c r="A178" s="75" t="e">
        <f>+Passwörter_Agenturen!#REF!</f>
        <v>#REF!</v>
      </c>
      <c r="B178" s="76" t="e">
        <f>+Passwörter_Agenturen!#REF!</f>
        <v>#REF!</v>
      </c>
      <c r="C178" s="76" t="e">
        <f>+Passwörter_Agenturen!#REF!</f>
        <v>#REF!</v>
      </c>
      <c r="D178" s="76" t="e">
        <f>+Passwörter_Agenturen!#REF!</f>
        <v>#REF!</v>
      </c>
      <c r="E178" s="76" t="e">
        <f>+Passwörter_Agenturen!#REF!</f>
        <v>#REF!</v>
      </c>
      <c r="F178" s="76" t="e">
        <f>+Passwörter_Agenturen!#REF!</f>
        <v>#REF!</v>
      </c>
      <c r="G178" s="76" t="e">
        <f>+Passwörter_Agenturen!#REF!</f>
        <v>#REF!</v>
      </c>
      <c r="H178" s="76" t="e">
        <f>+Passwörter_Agenturen!#REF!</f>
        <v>#REF!</v>
      </c>
      <c r="I178" s="76" t="e">
        <f>+Passwörter_Agenturen!#REF!</f>
        <v>#REF!</v>
      </c>
      <c r="J178" s="76" t="e">
        <f>+Passwörter_Agenturen!#REF!</f>
        <v>#REF!</v>
      </c>
      <c r="K178" s="76" t="e">
        <f>+Passwörter_Agenturen!#REF!</f>
        <v>#REF!</v>
      </c>
      <c r="L178" s="76" t="e">
        <f>+Passwörter_Agenturen!#REF!</f>
        <v>#REF!</v>
      </c>
      <c r="M178" s="76" t="e">
        <f>+Passwörter_Agenturen!#REF!</f>
        <v>#REF!</v>
      </c>
      <c r="N178" s="76" t="e">
        <f>+Passwörter_Agenturen!#REF!</f>
        <v>#REF!</v>
      </c>
      <c r="O178" s="76" t="e">
        <f>+Passwörter_Agenturen!#REF!</f>
        <v>#REF!</v>
      </c>
      <c r="P178" s="76" t="e">
        <f>+Passwörter_Agenturen!#REF!</f>
        <v>#REF!</v>
      </c>
      <c r="Q178" s="76" t="e">
        <f>+Passwörter_Agenturen!#REF!</f>
        <v>#REF!</v>
      </c>
      <c r="R178" s="76" t="e">
        <f>+Passwörter_Agenturen!#REF!</f>
        <v>#REF!</v>
      </c>
      <c r="S178" s="76" t="e">
        <f>+Passwörter_Agenturen!#REF!</f>
        <v>#REF!</v>
      </c>
      <c r="T178" s="76" t="e">
        <f>+Passwörter_Agenturen!#REF!</f>
        <v>#REF!</v>
      </c>
      <c r="U178" s="76" t="e">
        <f>+Passwörter_Agenturen!#REF!</f>
        <v>#REF!</v>
      </c>
      <c r="V178" s="76" t="e">
        <f>+Passwörter_Agenturen!#REF!</f>
        <v>#REF!</v>
      </c>
      <c r="W178" s="76" t="e">
        <f>+Passwörter_Agenturen!#REF!</f>
        <v>#REF!</v>
      </c>
      <c r="X178" s="76" t="e">
        <f>+Passwörter_Agenturen!#REF!</f>
        <v>#REF!</v>
      </c>
      <c r="Y178" s="76" t="e">
        <f>+Passwörter_Agenturen!#REF!</f>
        <v>#REF!</v>
      </c>
      <c r="Z178" s="76" t="e">
        <f>+Passwörter_Agenturen!#REF!</f>
        <v>#REF!</v>
      </c>
    </row>
    <row r="179" spans="1:26" x14ac:dyDescent="0.25">
      <c r="A179" s="75" t="e">
        <f>+Passwörter_Agenturen!#REF!</f>
        <v>#REF!</v>
      </c>
      <c r="B179" s="76" t="e">
        <f>+Passwörter_Agenturen!#REF!</f>
        <v>#REF!</v>
      </c>
      <c r="C179" s="76" t="e">
        <f>+Passwörter_Agenturen!#REF!</f>
        <v>#REF!</v>
      </c>
      <c r="D179" s="76" t="e">
        <f>+Passwörter_Agenturen!#REF!</f>
        <v>#REF!</v>
      </c>
      <c r="E179" s="76" t="e">
        <f>+Passwörter_Agenturen!#REF!</f>
        <v>#REF!</v>
      </c>
      <c r="F179" s="76" t="e">
        <f>+Passwörter_Agenturen!#REF!</f>
        <v>#REF!</v>
      </c>
      <c r="G179" s="76" t="e">
        <f>+Passwörter_Agenturen!#REF!</f>
        <v>#REF!</v>
      </c>
      <c r="H179" s="76" t="e">
        <f>+Passwörter_Agenturen!#REF!</f>
        <v>#REF!</v>
      </c>
      <c r="I179" s="76" t="e">
        <f>+Passwörter_Agenturen!#REF!</f>
        <v>#REF!</v>
      </c>
      <c r="J179" s="76" t="e">
        <f>+Passwörter_Agenturen!#REF!</f>
        <v>#REF!</v>
      </c>
      <c r="K179" s="76" t="e">
        <f>+Passwörter_Agenturen!#REF!</f>
        <v>#REF!</v>
      </c>
      <c r="L179" s="76" t="e">
        <f>+Passwörter_Agenturen!#REF!</f>
        <v>#REF!</v>
      </c>
      <c r="M179" s="76" t="e">
        <f>+Passwörter_Agenturen!#REF!</f>
        <v>#REF!</v>
      </c>
      <c r="N179" s="76" t="e">
        <f>+Passwörter_Agenturen!#REF!</f>
        <v>#REF!</v>
      </c>
      <c r="O179" s="76" t="e">
        <f>+Passwörter_Agenturen!#REF!</f>
        <v>#REF!</v>
      </c>
      <c r="P179" s="76" t="e">
        <f>+Passwörter_Agenturen!#REF!</f>
        <v>#REF!</v>
      </c>
      <c r="Q179" s="76" t="e">
        <f>+Passwörter_Agenturen!#REF!</f>
        <v>#REF!</v>
      </c>
      <c r="R179" s="76" t="e">
        <f>+Passwörter_Agenturen!#REF!</f>
        <v>#REF!</v>
      </c>
      <c r="S179" s="76" t="e">
        <f>+Passwörter_Agenturen!#REF!</f>
        <v>#REF!</v>
      </c>
      <c r="T179" s="76" t="e">
        <f>+Passwörter_Agenturen!#REF!</f>
        <v>#REF!</v>
      </c>
      <c r="U179" s="76" t="e">
        <f>+Passwörter_Agenturen!#REF!</f>
        <v>#REF!</v>
      </c>
      <c r="V179" s="76" t="e">
        <f>+Passwörter_Agenturen!#REF!</f>
        <v>#REF!</v>
      </c>
      <c r="W179" s="76" t="e">
        <f>+Passwörter_Agenturen!#REF!</f>
        <v>#REF!</v>
      </c>
      <c r="X179" s="76" t="e">
        <f>+Passwörter_Agenturen!#REF!</f>
        <v>#REF!</v>
      </c>
      <c r="Y179" s="76" t="e">
        <f>+Passwörter_Agenturen!#REF!</f>
        <v>#REF!</v>
      </c>
      <c r="Z179" s="76" t="e">
        <f>+Passwörter_Agenturen!#REF!</f>
        <v>#REF!</v>
      </c>
    </row>
    <row r="180" spans="1:26" x14ac:dyDescent="0.25">
      <c r="A180" s="75" t="e">
        <f>+Passwörter_Agenturen!#REF!</f>
        <v>#REF!</v>
      </c>
      <c r="B180" s="76" t="e">
        <f>+Passwörter_Agenturen!#REF!</f>
        <v>#REF!</v>
      </c>
      <c r="C180" s="76" t="e">
        <f>+Passwörter_Agenturen!#REF!</f>
        <v>#REF!</v>
      </c>
      <c r="D180" s="76" t="e">
        <f>+Passwörter_Agenturen!#REF!</f>
        <v>#REF!</v>
      </c>
      <c r="E180" s="76" t="e">
        <f>+Passwörter_Agenturen!#REF!</f>
        <v>#REF!</v>
      </c>
      <c r="F180" s="76" t="e">
        <f>+Passwörter_Agenturen!#REF!</f>
        <v>#REF!</v>
      </c>
      <c r="G180" s="76" t="e">
        <f>+Passwörter_Agenturen!#REF!</f>
        <v>#REF!</v>
      </c>
      <c r="H180" s="76" t="e">
        <f>+Passwörter_Agenturen!#REF!</f>
        <v>#REF!</v>
      </c>
      <c r="I180" s="76" t="e">
        <f>+Passwörter_Agenturen!#REF!</f>
        <v>#REF!</v>
      </c>
      <c r="J180" s="76" t="e">
        <f>+Passwörter_Agenturen!#REF!</f>
        <v>#REF!</v>
      </c>
      <c r="K180" s="76" t="e">
        <f>+Passwörter_Agenturen!#REF!</f>
        <v>#REF!</v>
      </c>
      <c r="L180" s="76" t="e">
        <f>+Passwörter_Agenturen!#REF!</f>
        <v>#REF!</v>
      </c>
      <c r="M180" s="76" t="e">
        <f>+Passwörter_Agenturen!#REF!</f>
        <v>#REF!</v>
      </c>
      <c r="N180" s="76" t="e">
        <f>+Passwörter_Agenturen!#REF!</f>
        <v>#REF!</v>
      </c>
      <c r="O180" s="76" t="e">
        <f>+Passwörter_Agenturen!#REF!</f>
        <v>#REF!</v>
      </c>
      <c r="P180" s="76" t="e">
        <f>+Passwörter_Agenturen!#REF!</f>
        <v>#REF!</v>
      </c>
      <c r="Q180" s="76" t="e">
        <f>+Passwörter_Agenturen!#REF!</f>
        <v>#REF!</v>
      </c>
      <c r="R180" s="76" t="e">
        <f>+Passwörter_Agenturen!#REF!</f>
        <v>#REF!</v>
      </c>
      <c r="S180" s="76" t="e">
        <f>+Passwörter_Agenturen!#REF!</f>
        <v>#REF!</v>
      </c>
      <c r="T180" s="76" t="e">
        <f>+Passwörter_Agenturen!#REF!</f>
        <v>#REF!</v>
      </c>
      <c r="U180" s="76" t="e">
        <f>+Passwörter_Agenturen!#REF!</f>
        <v>#REF!</v>
      </c>
      <c r="V180" s="76" t="e">
        <f>+Passwörter_Agenturen!#REF!</f>
        <v>#REF!</v>
      </c>
      <c r="W180" s="76" t="e">
        <f>+Passwörter_Agenturen!#REF!</f>
        <v>#REF!</v>
      </c>
      <c r="X180" s="76" t="e">
        <f>+Passwörter_Agenturen!#REF!</f>
        <v>#REF!</v>
      </c>
      <c r="Y180" s="76" t="e">
        <f>+Passwörter_Agenturen!#REF!</f>
        <v>#REF!</v>
      </c>
      <c r="Z180" s="76" t="e">
        <f>+Passwörter_Agenturen!#REF!</f>
        <v>#REF!</v>
      </c>
    </row>
    <row r="181" spans="1:26" x14ac:dyDescent="0.25">
      <c r="A181" s="75" t="e">
        <f>+Passwörter_Agenturen!#REF!</f>
        <v>#REF!</v>
      </c>
      <c r="B181" s="76" t="e">
        <f>+Passwörter_Agenturen!#REF!</f>
        <v>#REF!</v>
      </c>
      <c r="C181" s="76" t="e">
        <f>+Passwörter_Agenturen!#REF!</f>
        <v>#REF!</v>
      </c>
      <c r="D181" s="76" t="e">
        <f>+Passwörter_Agenturen!#REF!</f>
        <v>#REF!</v>
      </c>
      <c r="E181" s="76" t="e">
        <f>+Passwörter_Agenturen!#REF!</f>
        <v>#REF!</v>
      </c>
      <c r="F181" s="76" t="e">
        <f>+Passwörter_Agenturen!#REF!</f>
        <v>#REF!</v>
      </c>
      <c r="G181" s="76" t="e">
        <f>+Passwörter_Agenturen!#REF!</f>
        <v>#REF!</v>
      </c>
      <c r="H181" s="76" t="e">
        <f>+Passwörter_Agenturen!#REF!</f>
        <v>#REF!</v>
      </c>
      <c r="I181" s="76" t="e">
        <f>+Passwörter_Agenturen!#REF!</f>
        <v>#REF!</v>
      </c>
      <c r="J181" s="76" t="e">
        <f>+Passwörter_Agenturen!#REF!</f>
        <v>#REF!</v>
      </c>
      <c r="K181" s="76" t="e">
        <f>+Passwörter_Agenturen!#REF!</f>
        <v>#REF!</v>
      </c>
      <c r="L181" s="76" t="e">
        <f>+Passwörter_Agenturen!#REF!</f>
        <v>#REF!</v>
      </c>
      <c r="M181" s="76" t="e">
        <f>+Passwörter_Agenturen!#REF!</f>
        <v>#REF!</v>
      </c>
      <c r="N181" s="76" t="e">
        <f>+Passwörter_Agenturen!#REF!</f>
        <v>#REF!</v>
      </c>
      <c r="O181" s="76" t="e">
        <f>+Passwörter_Agenturen!#REF!</f>
        <v>#REF!</v>
      </c>
      <c r="P181" s="76" t="e">
        <f>+Passwörter_Agenturen!#REF!</f>
        <v>#REF!</v>
      </c>
      <c r="Q181" s="76" t="e">
        <f>+Passwörter_Agenturen!#REF!</f>
        <v>#REF!</v>
      </c>
      <c r="R181" s="76" t="e">
        <f>+Passwörter_Agenturen!#REF!</f>
        <v>#REF!</v>
      </c>
      <c r="S181" s="76" t="e">
        <f>+Passwörter_Agenturen!#REF!</f>
        <v>#REF!</v>
      </c>
      <c r="T181" s="76" t="e">
        <f>+Passwörter_Agenturen!#REF!</f>
        <v>#REF!</v>
      </c>
      <c r="U181" s="76" t="e">
        <f>+Passwörter_Agenturen!#REF!</f>
        <v>#REF!</v>
      </c>
      <c r="V181" s="76" t="e">
        <f>+Passwörter_Agenturen!#REF!</f>
        <v>#REF!</v>
      </c>
      <c r="W181" s="76" t="e">
        <f>+Passwörter_Agenturen!#REF!</f>
        <v>#REF!</v>
      </c>
      <c r="X181" s="76" t="e">
        <f>+Passwörter_Agenturen!#REF!</f>
        <v>#REF!</v>
      </c>
      <c r="Y181" s="76" t="e">
        <f>+Passwörter_Agenturen!#REF!</f>
        <v>#REF!</v>
      </c>
      <c r="Z181" s="76" t="e">
        <f>+Passwörter_Agenturen!#REF!</f>
        <v>#REF!</v>
      </c>
    </row>
    <row r="182" spans="1:26" x14ac:dyDescent="0.25">
      <c r="A182" s="75" t="e">
        <f>+Passwörter_Agenturen!#REF!</f>
        <v>#REF!</v>
      </c>
      <c r="B182" s="76" t="e">
        <f>+Passwörter_Agenturen!#REF!</f>
        <v>#REF!</v>
      </c>
      <c r="C182" s="76" t="e">
        <f>+Passwörter_Agenturen!#REF!</f>
        <v>#REF!</v>
      </c>
      <c r="D182" s="76" t="e">
        <f>+Passwörter_Agenturen!#REF!</f>
        <v>#REF!</v>
      </c>
      <c r="E182" s="76" t="e">
        <f>+Passwörter_Agenturen!#REF!</f>
        <v>#REF!</v>
      </c>
      <c r="F182" s="76" t="e">
        <f>+Passwörter_Agenturen!#REF!</f>
        <v>#REF!</v>
      </c>
      <c r="G182" s="76" t="e">
        <f>+Passwörter_Agenturen!#REF!</f>
        <v>#REF!</v>
      </c>
      <c r="H182" s="76" t="e">
        <f>+Passwörter_Agenturen!#REF!</f>
        <v>#REF!</v>
      </c>
      <c r="I182" s="76" t="e">
        <f>+Passwörter_Agenturen!#REF!</f>
        <v>#REF!</v>
      </c>
      <c r="J182" s="76" t="e">
        <f>+Passwörter_Agenturen!#REF!</f>
        <v>#REF!</v>
      </c>
      <c r="K182" s="76" t="e">
        <f>+Passwörter_Agenturen!#REF!</f>
        <v>#REF!</v>
      </c>
      <c r="L182" s="76" t="e">
        <f>+Passwörter_Agenturen!#REF!</f>
        <v>#REF!</v>
      </c>
      <c r="M182" s="76" t="e">
        <f>+Passwörter_Agenturen!#REF!</f>
        <v>#REF!</v>
      </c>
      <c r="N182" s="76" t="e">
        <f>+Passwörter_Agenturen!#REF!</f>
        <v>#REF!</v>
      </c>
      <c r="O182" s="76" t="e">
        <f>+Passwörter_Agenturen!#REF!</f>
        <v>#REF!</v>
      </c>
      <c r="P182" s="76" t="e">
        <f>+Passwörter_Agenturen!#REF!</f>
        <v>#REF!</v>
      </c>
      <c r="Q182" s="76" t="e">
        <f>+Passwörter_Agenturen!#REF!</f>
        <v>#REF!</v>
      </c>
      <c r="R182" s="76" t="e">
        <f>+Passwörter_Agenturen!#REF!</f>
        <v>#REF!</v>
      </c>
      <c r="S182" s="76" t="e">
        <f>+Passwörter_Agenturen!#REF!</f>
        <v>#REF!</v>
      </c>
      <c r="T182" s="76" t="e">
        <f>+Passwörter_Agenturen!#REF!</f>
        <v>#REF!</v>
      </c>
      <c r="U182" s="76" t="e">
        <f>+Passwörter_Agenturen!#REF!</f>
        <v>#REF!</v>
      </c>
      <c r="V182" s="76" t="e">
        <f>+Passwörter_Agenturen!#REF!</f>
        <v>#REF!</v>
      </c>
      <c r="W182" s="76" t="e">
        <f>+Passwörter_Agenturen!#REF!</f>
        <v>#REF!</v>
      </c>
      <c r="X182" s="76" t="e">
        <f>+Passwörter_Agenturen!#REF!</f>
        <v>#REF!</v>
      </c>
      <c r="Y182" s="76" t="e">
        <f>+Passwörter_Agenturen!#REF!</f>
        <v>#REF!</v>
      </c>
      <c r="Z182" s="76" t="e">
        <f>+Passwörter_Agenturen!#REF!</f>
        <v>#REF!</v>
      </c>
    </row>
    <row r="183" spans="1:26" x14ac:dyDescent="0.25">
      <c r="A183" s="75" t="e">
        <f>+Passwörter_Agenturen!#REF!</f>
        <v>#REF!</v>
      </c>
      <c r="B183" s="76" t="e">
        <f>+Passwörter_Agenturen!#REF!</f>
        <v>#REF!</v>
      </c>
      <c r="C183" s="76" t="e">
        <f>+Passwörter_Agenturen!#REF!</f>
        <v>#REF!</v>
      </c>
      <c r="D183" s="76" t="e">
        <f>+Passwörter_Agenturen!#REF!</f>
        <v>#REF!</v>
      </c>
      <c r="E183" s="76" t="e">
        <f>+Passwörter_Agenturen!#REF!</f>
        <v>#REF!</v>
      </c>
      <c r="F183" s="76" t="e">
        <f>+Passwörter_Agenturen!#REF!</f>
        <v>#REF!</v>
      </c>
      <c r="G183" s="76" t="e">
        <f>+Passwörter_Agenturen!#REF!</f>
        <v>#REF!</v>
      </c>
      <c r="H183" s="76" t="e">
        <f>+Passwörter_Agenturen!#REF!</f>
        <v>#REF!</v>
      </c>
      <c r="I183" s="76" t="e">
        <f>+Passwörter_Agenturen!#REF!</f>
        <v>#REF!</v>
      </c>
      <c r="J183" s="76" t="e">
        <f>+Passwörter_Agenturen!#REF!</f>
        <v>#REF!</v>
      </c>
      <c r="K183" s="76" t="e">
        <f>+Passwörter_Agenturen!#REF!</f>
        <v>#REF!</v>
      </c>
      <c r="L183" s="76" t="e">
        <f>+Passwörter_Agenturen!#REF!</f>
        <v>#REF!</v>
      </c>
      <c r="M183" s="76" t="e">
        <f>+Passwörter_Agenturen!#REF!</f>
        <v>#REF!</v>
      </c>
      <c r="N183" s="76" t="e">
        <f>+Passwörter_Agenturen!#REF!</f>
        <v>#REF!</v>
      </c>
      <c r="O183" s="76" t="e">
        <f>+Passwörter_Agenturen!#REF!</f>
        <v>#REF!</v>
      </c>
      <c r="P183" s="76" t="e">
        <f>+Passwörter_Agenturen!#REF!</f>
        <v>#REF!</v>
      </c>
      <c r="Q183" s="76" t="e">
        <f>+Passwörter_Agenturen!#REF!</f>
        <v>#REF!</v>
      </c>
      <c r="R183" s="76" t="e">
        <f>+Passwörter_Agenturen!#REF!</f>
        <v>#REF!</v>
      </c>
      <c r="S183" s="76" t="e">
        <f>+Passwörter_Agenturen!#REF!</f>
        <v>#REF!</v>
      </c>
      <c r="T183" s="76" t="e">
        <f>+Passwörter_Agenturen!#REF!</f>
        <v>#REF!</v>
      </c>
      <c r="U183" s="76" t="e">
        <f>+Passwörter_Agenturen!#REF!</f>
        <v>#REF!</v>
      </c>
      <c r="V183" s="76" t="e">
        <f>+Passwörter_Agenturen!#REF!</f>
        <v>#REF!</v>
      </c>
      <c r="W183" s="76" t="e">
        <f>+Passwörter_Agenturen!#REF!</f>
        <v>#REF!</v>
      </c>
      <c r="X183" s="76" t="e">
        <f>+Passwörter_Agenturen!#REF!</f>
        <v>#REF!</v>
      </c>
      <c r="Y183" s="76" t="e">
        <f>+Passwörter_Agenturen!#REF!</f>
        <v>#REF!</v>
      </c>
      <c r="Z183" s="76" t="e">
        <f>+Passwörter_Agenturen!#REF!</f>
        <v>#REF!</v>
      </c>
    </row>
    <row r="184" spans="1:26" x14ac:dyDescent="0.25">
      <c r="A184" s="75" t="e">
        <f>+Passwörter_Agenturen!#REF!</f>
        <v>#REF!</v>
      </c>
      <c r="B184" s="76" t="e">
        <f>+Passwörter_Agenturen!#REF!</f>
        <v>#REF!</v>
      </c>
      <c r="C184" s="76" t="e">
        <f>+Passwörter_Agenturen!#REF!</f>
        <v>#REF!</v>
      </c>
      <c r="D184" s="76" t="e">
        <f>+Passwörter_Agenturen!#REF!</f>
        <v>#REF!</v>
      </c>
      <c r="E184" s="76" t="e">
        <f>+Passwörter_Agenturen!#REF!</f>
        <v>#REF!</v>
      </c>
      <c r="F184" s="76" t="e">
        <f>+Passwörter_Agenturen!#REF!</f>
        <v>#REF!</v>
      </c>
      <c r="G184" s="76" t="e">
        <f>+Passwörter_Agenturen!#REF!</f>
        <v>#REF!</v>
      </c>
      <c r="H184" s="76" t="e">
        <f>+Passwörter_Agenturen!#REF!</f>
        <v>#REF!</v>
      </c>
      <c r="I184" s="76" t="e">
        <f>+Passwörter_Agenturen!#REF!</f>
        <v>#REF!</v>
      </c>
      <c r="J184" s="76" t="e">
        <f>+Passwörter_Agenturen!#REF!</f>
        <v>#REF!</v>
      </c>
      <c r="K184" s="76" t="e">
        <f>+Passwörter_Agenturen!#REF!</f>
        <v>#REF!</v>
      </c>
      <c r="L184" s="76" t="e">
        <f>+Passwörter_Agenturen!#REF!</f>
        <v>#REF!</v>
      </c>
      <c r="M184" s="76" t="e">
        <f>+Passwörter_Agenturen!#REF!</f>
        <v>#REF!</v>
      </c>
      <c r="N184" s="76" t="e">
        <f>+Passwörter_Agenturen!#REF!</f>
        <v>#REF!</v>
      </c>
      <c r="O184" s="76" t="e">
        <f>+Passwörter_Agenturen!#REF!</f>
        <v>#REF!</v>
      </c>
      <c r="P184" s="76" t="e">
        <f>+Passwörter_Agenturen!#REF!</f>
        <v>#REF!</v>
      </c>
      <c r="Q184" s="76" t="e">
        <f>+Passwörter_Agenturen!#REF!</f>
        <v>#REF!</v>
      </c>
      <c r="R184" s="76" t="e">
        <f>+Passwörter_Agenturen!#REF!</f>
        <v>#REF!</v>
      </c>
      <c r="S184" s="76" t="e">
        <f>+Passwörter_Agenturen!#REF!</f>
        <v>#REF!</v>
      </c>
      <c r="T184" s="76" t="e">
        <f>+Passwörter_Agenturen!#REF!</f>
        <v>#REF!</v>
      </c>
      <c r="U184" s="76" t="e">
        <f>+Passwörter_Agenturen!#REF!</f>
        <v>#REF!</v>
      </c>
      <c r="V184" s="76" t="e">
        <f>+Passwörter_Agenturen!#REF!</f>
        <v>#REF!</v>
      </c>
      <c r="W184" s="76" t="e">
        <f>+Passwörter_Agenturen!#REF!</f>
        <v>#REF!</v>
      </c>
      <c r="X184" s="76" t="e">
        <f>+Passwörter_Agenturen!#REF!</f>
        <v>#REF!</v>
      </c>
      <c r="Y184" s="76" t="e">
        <f>+Passwörter_Agenturen!#REF!</f>
        <v>#REF!</v>
      </c>
      <c r="Z184" s="76" t="e">
        <f>+Passwörter_Agenturen!#REF!</f>
        <v>#REF!</v>
      </c>
    </row>
    <row r="185" spans="1:26" x14ac:dyDescent="0.25">
      <c r="A185" s="75" t="e">
        <f>+Passwörter_Agenturen!#REF!</f>
        <v>#REF!</v>
      </c>
      <c r="B185" s="76" t="e">
        <f>+Passwörter_Agenturen!#REF!</f>
        <v>#REF!</v>
      </c>
      <c r="C185" s="76" t="e">
        <f>+Passwörter_Agenturen!#REF!</f>
        <v>#REF!</v>
      </c>
      <c r="D185" s="76" t="e">
        <f>+Passwörter_Agenturen!#REF!</f>
        <v>#REF!</v>
      </c>
      <c r="E185" s="76" t="e">
        <f>+Passwörter_Agenturen!#REF!</f>
        <v>#REF!</v>
      </c>
      <c r="F185" s="76" t="e">
        <f>+Passwörter_Agenturen!#REF!</f>
        <v>#REF!</v>
      </c>
      <c r="G185" s="76" t="e">
        <f>+Passwörter_Agenturen!#REF!</f>
        <v>#REF!</v>
      </c>
      <c r="H185" s="76" t="e">
        <f>+Passwörter_Agenturen!#REF!</f>
        <v>#REF!</v>
      </c>
      <c r="I185" s="76" t="e">
        <f>+Passwörter_Agenturen!#REF!</f>
        <v>#REF!</v>
      </c>
      <c r="J185" s="76" t="e">
        <f>+Passwörter_Agenturen!#REF!</f>
        <v>#REF!</v>
      </c>
      <c r="K185" s="76" t="e">
        <f>+Passwörter_Agenturen!#REF!</f>
        <v>#REF!</v>
      </c>
      <c r="L185" s="76" t="e">
        <f>+Passwörter_Agenturen!#REF!</f>
        <v>#REF!</v>
      </c>
      <c r="M185" s="76" t="e">
        <f>+Passwörter_Agenturen!#REF!</f>
        <v>#REF!</v>
      </c>
      <c r="N185" s="76" t="e">
        <f>+Passwörter_Agenturen!#REF!</f>
        <v>#REF!</v>
      </c>
      <c r="O185" s="76" t="e">
        <f>+Passwörter_Agenturen!#REF!</f>
        <v>#REF!</v>
      </c>
      <c r="P185" s="76" t="e">
        <f>+Passwörter_Agenturen!#REF!</f>
        <v>#REF!</v>
      </c>
      <c r="Q185" s="76" t="e">
        <f>+Passwörter_Agenturen!#REF!</f>
        <v>#REF!</v>
      </c>
      <c r="R185" s="76" t="e">
        <f>+Passwörter_Agenturen!#REF!</f>
        <v>#REF!</v>
      </c>
      <c r="S185" s="76" t="e">
        <f>+Passwörter_Agenturen!#REF!</f>
        <v>#REF!</v>
      </c>
      <c r="T185" s="76" t="e">
        <f>+Passwörter_Agenturen!#REF!</f>
        <v>#REF!</v>
      </c>
      <c r="U185" s="76" t="e">
        <f>+Passwörter_Agenturen!#REF!</f>
        <v>#REF!</v>
      </c>
      <c r="V185" s="76" t="e">
        <f>+Passwörter_Agenturen!#REF!</f>
        <v>#REF!</v>
      </c>
      <c r="W185" s="76" t="e">
        <f>+Passwörter_Agenturen!#REF!</f>
        <v>#REF!</v>
      </c>
      <c r="X185" s="76" t="e">
        <f>+Passwörter_Agenturen!#REF!</f>
        <v>#REF!</v>
      </c>
      <c r="Y185" s="76" t="e">
        <f>+Passwörter_Agenturen!#REF!</f>
        <v>#REF!</v>
      </c>
      <c r="Z185" s="76" t="e">
        <f>+Passwörter_Agenturen!#REF!</f>
        <v>#REF!</v>
      </c>
    </row>
    <row r="186" spans="1:26" x14ac:dyDescent="0.25">
      <c r="A186" s="75" t="str">
        <f>+Passwörter_Agenturen!H215</f>
        <v>VKB Versicherungskammer Bayern (Sach)</v>
      </c>
      <c r="B186" s="76" t="str">
        <f>+Passwörter_Agenturen!J215</f>
        <v>935917</v>
      </c>
      <c r="C186" s="76" t="str">
        <f>+Passwörter_Agenturen!I215</f>
        <v>935917</v>
      </c>
      <c r="D186" s="76">
        <f>+Passwörter_Agenturen!K215</f>
        <v>0</v>
      </c>
      <c r="E186" s="76">
        <f>+Passwörter_Agenturen!L215</f>
        <v>0</v>
      </c>
      <c r="F186" s="76">
        <f>+Passwörter_Agenturen!M215</f>
        <v>0</v>
      </c>
      <c r="G186" s="76">
        <f>+Passwörter_Agenturen!N215</f>
        <v>0</v>
      </c>
      <c r="H186" s="76">
        <f>+Passwörter_Agenturen!P215</f>
        <v>0</v>
      </c>
      <c r="I186" s="76">
        <f>+Passwörter_Agenturen!Q215</f>
        <v>0</v>
      </c>
      <c r="J186" s="76">
        <f>+Passwörter_Agenturen!R215</f>
        <v>0</v>
      </c>
      <c r="K186" s="76">
        <f>+Passwörter_Agenturen!S215</f>
        <v>0</v>
      </c>
      <c r="L186" s="76">
        <f>+Passwörter_Agenturen!T215</f>
        <v>0</v>
      </c>
      <c r="M186" s="76">
        <f>+Passwörter_Agenturen!U215</f>
        <v>0</v>
      </c>
      <c r="N186" s="76">
        <f>+Passwörter_Agenturen!V215</f>
        <v>0</v>
      </c>
      <c r="O186" s="76">
        <f>+Passwörter_Agenturen!W215</f>
        <v>0</v>
      </c>
      <c r="P186" s="76">
        <f>+Passwörter_Agenturen!X215</f>
        <v>0</v>
      </c>
      <c r="Q186" s="76">
        <f>+Passwörter_Agenturen!Y215</f>
        <v>0</v>
      </c>
      <c r="R186" s="76">
        <f>+Passwörter_Agenturen!Z215</f>
        <v>0</v>
      </c>
      <c r="S186" s="76">
        <f>+Passwörter_Agenturen!AA215</f>
        <v>0</v>
      </c>
      <c r="T186" s="76">
        <f>+Passwörter_Agenturen!AB215</f>
        <v>0</v>
      </c>
      <c r="U186" s="76">
        <f>+Passwörter_Agenturen!AC215</f>
        <v>0</v>
      </c>
      <c r="V186" s="76">
        <f>+Passwörter_Agenturen!AD215</f>
        <v>0</v>
      </c>
      <c r="W186" s="76">
        <f>+Passwörter_Agenturen!AE215</f>
        <v>0</v>
      </c>
      <c r="X186" s="76">
        <f>+Passwörter_Agenturen!AF215</f>
        <v>0</v>
      </c>
      <c r="Y186" s="76">
        <f>+Passwörter_Agenturen!AG215</f>
        <v>0</v>
      </c>
      <c r="Z186" s="76">
        <f>+Passwörter_Agenturen!AH215</f>
        <v>0</v>
      </c>
    </row>
    <row r="187" spans="1:26" x14ac:dyDescent="0.25">
      <c r="A187" s="75" t="str">
        <f>+Passwörter_Agenturen!H216</f>
        <v>VERTI (ex Direct Line)</v>
      </c>
      <c r="B187" s="76" t="str">
        <f>+Passwörter_Agenturen!J216</f>
        <v>10423</v>
      </c>
      <c r="C187" s="76">
        <f>+Passwörter_Agenturen!I216</f>
        <v>0</v>
      </c>
      <c r="D187" s="76">
        <f>+Passwörter_Agenturen!K216</f>
        <v>0</v>
      </c>
      <c r="E187" s="76">
        <f>+Passwörter_Agenturen!L216</f>
        <v>0</v>
      </c>
      <c r="F187" s="76">
        <f>+Passwörter_Agenturen!M216</f>
        <v>0</v>
      </c>
      <c r="G187" s="76">
        <f>+Passwörter_Agenturen!N216</f>
        <v>0</v>
      </c>
      <c r="H187" s="76">
        <f>+Passwörter_Agenturen!P216</f>
        <v>0</v>
      </c>
      <c r="I187" s="76">
        <f>+Passwörter_Agenturen!Q216</f>
        <v>0</v>
      </c>
      <c r="J187" s="76">
        <f>+Passwörter_Agenturen!R216</f>
        <v>0</v>
      </c>
      <c r="K187" s="76">
        <f>+Passwörter_Agenturen!S216</f>
        <v>0</v>
      </c>
      <c r="L187" s="76">
        <f>+Passwörter_Agenturen!T216</f>
        <v>0</v>
      </c>
      <c r="M187" s="76">
        <f>+Passwörter_Agenturen!U216</f>
        <v>0</v>
      </c>
      <c r="N187" s="76">
        <f>+Passwörter_Agenturen!V216</f>
        <v>0</v>
      </c>
      <c r="O187" s="76">
        <f>+Passwörter_Agenturen!W216</f>
        <v>0</v>
      </c>
      <c r="P187" s="76">
        <f>+Passwörter_Agenturen!X216</f>
        <v>0</v>
      </c>
      <c r="Q187" s="76">
        <f>+Passwörter_Agenturen!Y216</f>
        <v>0</v>
      </c>
      <c r="R187" s="76">
        <f>+Passwörter_Agenturen!Z216</f>
        <v>0</v>
      </c>
      <c r="S187" s="76">
        <f>+Passwörter_Agenturen!AA216</f>
        <v>0</v>
      </c>
      <c r="T187" s="76">
        <f>+Passwörter_Agenturen!AB216</f>
        <v>0</v>
      </c>
      <c r="U187" s="76">
        <f>+Passwörter_Agenturen!AC216</f>
        <v>0</v>
      </c>
      <c r="V187" s="76">
        <f>+Passwörter_Agenturen!AD216</f>
        <v>0</v>
      </c>
      <c r="W187" s="76">
        <f>+Passwörter_Agenturen!AE216</f>
        <v>0</v>
      </c>
      <c r="X187" s="76">
        <f>+Passwörter_Agenturen!AF216</f>
        <v>0</v>
      </c>
      <c r="Y187" s="76">
        <f>+Passwörter_Agenturen!AG216</f>
        <v>0</v>
      </c>
      <c r="Z187" s="76">
        <f>+Passwörter_Agenturen!AH216</f>
        <v>0</v>
      </c>
    </row>
    <row r="188" spans="1:26" x14ac:dyDescent="0.25">
      <c r="A188" s="75" t="str">
        <f>+Passwörter_Agenturen!H217</f>
        <v>VHV</v>
      </c>
      <c r="B188" s="76" t="str">
        <f>+Passwörter_Agenturen!J217</f>
        <v>057383000</v>
      </c>
      <c r="C188" s="76" t="str">
        <f>+Passwörter_Agenturen!I217</f>
        <v>501588000</v>
      </c>
      <c r="D188" s="76" t="str">
        <f>+Passwörter_Agenturen!K217</f>
        <v>019750452</v>
      </c>
      <c r="E188" s="76" t="str">
        <f>+Passwörter_Agenturen!L217</f>
        <v>058995489</v>
      </c>
      <c r="F188" s="76">
        <f>+Passwörter_Agenturen!M217</f>
        <v>0</v>
      </c>
      <c r="G188" s="76">
        <f>+Passwörter_Agenturen!N217</f>
        <v>0</v>
      </c>
      <c r="H188" s="76">
        <f>+Passwörter_Agenturen!P217</f>
        <v>0</v>
      </c>
      <c r="I188" s="76">
        <f>+Passwörter_Agenturen!Q217</f>
        <v>0</v>
      </c>
      <c r="J188" s="76">
        <f>+Passwörter_Agenturen!R217</f>
        <v>0</v>
      </c>
      <c r="K188" s="76">
        <f>+Passwörter_Agenturen!S217</f>
        <v>0</v>
      </c>
      <c r="L188" s="76">
        <f>+Passwörter_Agenturen!T217</f>
        <v>0</v>
      </c>
      <c r="M188" s="76">
        <f>+Passwörter_Agenturen!U217</f>
        <v>0</v>
      </c>
      <c r="N188" s="76">
        <f>+Passwörter_Agenturen!V217</f>
        <v>0</v>
      </c>
      <c r="O188" s="76" t="str">
        <f>+Passwörter_Agenturen!W217</f>
        <v>057383001</v>
      </c>
      <c r="P188" s="76">
        <f>+Passwörter_Agenturen!X217</f>
        <v>0</v>
      </c>
      <c r="Q188" s="76">
        <f>+Passwörter_Agenturen!Y217</f>
        <v>0</v>
      </c>
      <c r="R188" s="76">
        <f>+Passwörter_Agenturen!Z217</f>
        <v>0</v>
      </c>
      <c r="S188" s="76">
        <f>+Passwörter_Agenturen!AA217</f>
        <v>0</v>
      </c>
      <c r="T188" s="76">
        <f>+Passwörter_Agenturen!AB217</f>
        <v>0</v>
      </c>
      <c r="U188" s="76">
        <f>+Passwörter_Agenturen!AC217</f>
        <v>0</v>
      </c>
      <c r="V188" s="76">
        <f>+Passwörter_Agenturen!AD217</f>
        <v>0</v>
      </c>
      <c r="W188" s="76">
        <f>+Passwörter_Agenturen!AE217</f>
        <v>0</v>
      </c>
      <c r="X188" s="76" t="str">
        <f>+Passwörter_Agenturen!AF217</f>
        <v>03375</v>
      </c>
      <c r="Y188" s="76">
        <f>+Passwörter_Agenturen!AG217</f>
        <v>0</v>
      </c>
      <c r="Z188" s="76">
        <f>+Passwörter_Agenturen!AH217</f>
        <v>0</v>
      </c>
    </row>
    <row r="189" spans="1:26" x14ac:dyDescent="0.25">
      <c r="A189" s="75" t="str">
        <f>+Passwörter_Agenturen!H218</f>
        <v>Victoria (alt)</v>
      </c>
      <c r="B189" s="76" t="str">
        <f>+Passwörter_Agenturen!J218</f>
        <v>00375-3519</v>
      </c>
      <c r="C189" s="76">
        <f>+Passwörter_Agenturen!I218</f>
        <v>0</v>
      </c>
      <c r="D189" s="76">
        <f>+Passwörter_Agenturen!K218</f>
        <v>0</v>
      </c>
      <c r="E189" s="76">
        <f>+Passwörter_Agenturen!L218</f>
        <v>0</v>
      </c>
      <c r="F189" s="76">
        <f>+Passwörter_Agenturen!M218</f>
        <v>0</v>
      </c>
      <c r="G189" s="76">
        <f>+Passwörter_Agenturen!N218</f>
        <v>0</v>
      </c>
      <c r="H189" s="76">
        <f>+Passwörter_Agenturen!P218</f>
        <v>0</v>
      </c>
      <c r="I189" s="76">
        <f>+Passwörter_Agenturen!Q218</f>
        <v>0</v>
      </c>
      <c r="J189" s="76">
        <f>+Passwörter_Agenturen!R218</f>
        <v>0</v>
      </c>
      <c r="K189" s="76">
        <f>+Passwörter_Agenturen!S218</f>
        <v>0</v>
      </c>
      <c r="L189" s="76">
        <f>+Passwörter_Agenturen!T218</f>
        <v>0</v>
      </c>
      <c r="M189" s="76">
        <f>+Passwörter_Agenturen!U218</f>
        <v>0</v>
      </c>
      <c r="N189" s="76">
        <f>+Passwörter_Agenturen!V218</f>
        <v>0</v>
      </c>
      <c r="O189" s="76">
        <f>+Passwörter_Agenturen!W218</f>
        <v>0</v>
      </c>
      <c r="P189" s="76">
        <f>+Passwörter_Agenturen!X218</f>
        <v>0</v>
      </c>
      <c r="Q189" s="76">
        <f>+Passwörter_Agenturen!Y218</f>
        <v>0</v>
      </c>
      <c r="R189" s="76">
        <f>+Passwörter_Agenturen!Z218</f>
        <v>0</v>
      </c>
      <c r="S189" s="76">
        <f>+Passwörter_Agenturen!AA218</f>
        <v>0</v>
      </c>
      <c r="T189" s="76">
        <f>+Passwörter_Agenturen!AB218</f>
        <v>0</v>
      </c>
      <c r="U189" s="76">
        <f>+Passwörter_Agenturen!AC218</f>
        <v>0</v>
      </c>
      <c r="V189" s="76">
        <f>+Passwörter_Agenturen!AD218</f>
        <v>0</v>
      </c>
      <c r="W189" s="76">
        <f>+Passwörter_Agenturen!AE218</f>
        <v>0</v>
      </c>
      <c r="X189" s="76">
        <f>+Passwörter_Agenturen!AF218</f>
        <v>0</v>
      </c>
      <c r="Y189" s="76">
        <f>+Passwörter_Agenturen!AG218</f>
        <v>0</v>
      </c>
      <c r="Z189" s="76">
        <f>+Passwörter_Agenturen!AH218</f>
        <v>0</v>
      </c>
    </row>
    <row r="190" spans="1:26" x14ac:dyDescent="0.25">
      <c r="A190" s="75" t="str">
        <f>+Passwörter_Agenturen!H219</f>
        <v>Volkswohl-Bund</v>
      </c>
      <c r="B190" s="76" t="str">
        <f>+Passwörter_Agenturen!J219</f>
        <v>184/204</v>
      </c>
      <c r="C190" s="76" t="str">
        <f>+Passwörter_Agenturen!I219</f>
        <v>184/973</v>
      </c>
      <c r="D190" s="76">
        <f>+Passwörter_Agenturen!K219</f>
        <v>0</v>
      </c>
      <c r="E190" s="76">
        <f>+Passwörter_Agenturen!L219</f>
        <v>0</v>
      </c>
      <c r="F190" s="76">
        <f>+Passwörter_Agenturen!M219</f>
        <v>0</v>
      </c>
      <c r="G190" s="76">
        <f>+Passwörter_Agenturen!N219</f>
        <v>0</v>
      </c>
      <c r="H190" s="76">
        <f>+Passwörter_Agenturen!P219</f>
        <v>0</v>
      </c>
      <c r="I190" s="76">
        <f>+Passwörter_Agenturen!Q219</f>
        <v>0</v>
      </c>
      <c r="J190" s="76">
        <f>+Passwörter_Agenturen!R219</f>
        <v>0</v>
      </c>
      <c r="K190" s="76">
        <f>+Passwörter_Agenturen!S219</f>
        <v>0</v>
      </c>
      <c r="L190" s="76">
        <f>+Passwörter_Agenturen!T219</f>
        <v>0</v>
      </c>
      <c r="M190" s="76">
        <f>+Passwörter_Agenturen!U219</f>
        <v>0</v>
      </c>
      <c r="N190" s="76">
        <f>+Passwörter_Agenturen!V219</f>
        <v>0</v>
      </c>
      <c r="O190" s="76">
        <f>+Passwörter_Agenturen!W219</f>
        <v>0</v>
      </c>
      <c r="P190" s="76">
        <f>+Passwörter_Agenturen!X219</f>
        <v>0</v>
      </c>
      <c r="Q190" s="76">
        <f>+Passwörter_Agenturen!Y219</f>
        <v>0</v>
      </c>
      <c r="R190" s="76">
        <f>+Passwörter_Agenturen!Z219</f>
        <v>0</v>
      </c>
      <c r="S190" s="76">
        <f>+Passwörter_Agenturen!AA219</f>
        <v>0</v>
      </c>
      <c r="T190" s="76">
        <f>+Passwörter_Agenturen!AB219</f>
        <v>0</v>
      </c>
      <c r="U190" s="76">
        <f>+Passwörter_Agenturen!AC219</f>
        <v>0</v>
      </c>
      <c r="V190" s="76">
        <f>+Passwörter_Agenturen!AD219</f>
        <v>0</v>
      </c>
      <c r="W190" s="76">
        <f>+Passwörter_Agenturen!AE219</f>
        <v>0</v>
      </c>
      <c r="X190" s="76">
        <f>+Passwörter_Agenturen!AF219</f>
        <v>0</v>
      </c>
      <c r="Y190" s="76">
        <f>+Passwörter_Agenturen!AG219</f>
        <v>0</v>
      </c>
      <c r="Z190" s="76">
        <f>+Passwörter_Agenturen!AH219</f>
        <v>0</v>
      </c>
    </row>
    <row r="191" spans="1:26" x14ac:dyDescent="0.25">
      <c r="A191" s="75" t="str">
        <f>+Passwörter_Agenturen!H220</f>
        <v>Volkswohl-Bund (prokundo)</v>
      </c>
      <c r="B191" s="76" t="str">
        <f>+Passwörter_Agenturen!J220</f>
        <v>184/204</v>
      </c>
      <c r="C191" s="76" t="str">
        <f>+Passwörter_Agenturen!I220</f>
        <v>184/973</v>
      </c>
      <c r="D191" s="76">
        <f>+Passwörter_Agenturen!K220</f>
        <v>0</v>
      </c>
      <c r="E191" s="76">
        <f>+Passwörter_Agenturen!L220</f>
        <v>0</v>
      </c>
      <c r="F191" s="76">
        <f>+Passwörter_Agenturen!M220</f>
        <v>0</v>
      </c>
      <c r="G191" s="76">
        <f>+Passwörter_Agenturen!N220</f>
        <v>0</v>
      </c>
      <c r="H191" s="76">
        <f>+Passwörter_Agenturen!P220</f>
        <v>0</v>
      </c>
      <c r="I191" s="76">
        <f>+Passwörter_Agenturen!Q220</f>
        <v>0</v>
      </c>
      <c r="J191" s="76">
        <f>+Passwörter_Agenturen!R220</f>
        <v>0</v>
      </c>
      <c r="K191" s="76">
        <f>+Passwörter_Agenturen!S220</f>
        <v>0</v>
      </c>
      <c r="L191" s="76">
        <f>+Passwörter_Agenturen!T220</f>
        <v>0</v>
      </c>
      <c r="M191" s="76">
        <f>+Passwörter_Agenturen!U220</f>
        <v>0</v>
      </c>
      <c r="N191" s="76">
        <f>+Passwörter_Agenturen!V220</f>
        <v>0</v>
      </c>
      <c r="O191" s="76">
        <f>+Passwörter_Agenturen!W220</f>
        <v>0</v>
      </c>
      <c r="P191" s="76">
        <f>+Passwörter_Agenturen!X220</f>
        <v>0</v>
      </c>
      <c r="Q191" s="76">
        <f>+Passwörter_Agenturen!Y220</f>
        <v>0</v>
      </c>
      <c r="R191" s="76">
        <f>+Passwörter_Agenturen!Z220</f>
        <v>0</v>
      </c>
      <c r="S191" s="76">
        <f>+Passwörter_Agenturen!AA220</f>
        <v>0</v>
      </c>
      <c r="T191" s="76">
        <f>+Passwörter_Agenturen!AB220</f>
        <v>0</v>
      </c>
      <c r="U191" s="76">
        <f>+Passwörter_Agenturen!AC220</f>
        <v>0</v>
      </c>
      <c r="V191" s="76">
        <f>+Passwörter_Agenturen!AD220</f>
        <v>0</v>
      </c>
      <c r="W191" s="76">
        <f>+Passwörter_Agenturen!AE220</f>
        <v>0</v>
      </c>
      <c r="X191" s="76">
        <f>+Passwörter_Agenturen!AF220</f>
        <v>0</v>
      </c>
      <c r="Y191" s="76">
        <f>+Passwörter_Agenturen!AG220</f>
        <v>0</v>
      </c>
      <c r="Z191" s="76">
        <f>+Passwörter_Agenturen!AH220</f>
        <v>0</v>
      </c>
    </row>
    <row r="192" spans="1:26" x14ac:dyDescent="0.25">
      <c r="A192" s="75" t="str">
        <f>+Passwörter_Agenturen!H222</f>
        <v>Württembergische Ideenwerk</v>
      </c>
      <c r="B192" s="76" t="str">
        <f>+Passwörter_Agenturen!J222</f>
        <v>6850-5562-7</v>
      </c>
      <c r="C192" s="76">
        <f>+Passwörter_Agenturen!I222</f>
        <v>0</v>
      </c>
      <c r="D192" s="76">
        <f>+Passwörter_Agenturen!K222</f>
        <v>0</v>
      </c>
      <c r="E192" s="76">
        <f>+Passwörter_Agenturen!L222</f>
        <v>0</v>
      </c>
      <c r="F192" s="76">
        <f>+Passwörter_Agenturen!M222</f>
        <v>0</v>
      </c>
      <c r="G192" s="76">
        <f>+Passwörter_Agenturen!N222</f>
        <v>0</v>
      </c>
      <c r="H192" s="76">
        <f>+Passwörter_Agenturen!P222</f>
        <v>0</v>
      </c>
      <c r="I192" s="76">
        <f>+Passwörter_Agenturen!Q222</f>
        <v>0</v>
      </c>
      <c r="J192" s="76">
        <f>+Passwörter_Agenturen!R222</f>
        <v>0</v>
      </c>
      <c r="K192" s="76">
        <f>+Passwörter_Agenturen!S222</f>
        <v>0</v>
      </c>
      <c r="L192" s="76">
        <f>+Passwörter_Agenturen!T222</f>
        <v>0</v>
      </c>
      <c r="M192" s="76">
        <f>+Passwörter_Agenturen!U222</f>
        <v>0</v>
      </c>
      <c r="N192" s="76">
        <f>+Passwörter_Agenturen!V222</f>
        <v>0</v>
      </c>
      <c r="O192" s="76">
        <f>+Passwörter_Agenturen!W222</f>
        <v>0</v>
      </c>
      <c r="P192" s="76">
        <f>+Passwörter_Agenturen!X222</f>
        <v>0</v>
      </c>
      <c r="Q192" s="76">
        <f>+Passwörter_Agenturen!Y222</f>
        <v>0</v>
      </c>
      <c r="R192" s="76">
        <f>+Passwörter_Agenturen!Z222</f>
        <v>0</v>
      </c>
      <c r="S192" s="76">
        <f>+Passwörter_Agenturen!AA222</f>
        <v>0</v>
      </c>
      <c r="T192" s="76">
        <f>+Passwörter_Agenturen!AB222</f>
        <v>0</v>
      </c>
      <c r="U192" s="76">
        <f>+Passwörter_Agenturen!AC222</f>
        <v>0</v>
      </c>
      <c r="V192" s="76">
        <f>+Passwörter_Agenturen!AD222</f>
        <v>0</v>
      </c>
      <c r="W192" s="76">
        <f>+Passwörter_Agenturen!AE222</f>
        <v>0</v>
      </c>
      <c r="X192" s="76">
        <f>+Passwörter_Agenturen!AF222</f>
        <v>0</v>
      </c>
      <c r="Y192" s="76">
        <f>+Passwörter_Agenturen!AG222</f>
        <v>0</v>
      </c>
      <c r="Z192" s="76">
        <f>+Passwörter_Agenturen!AH222</f>
        <v>0</v>
      </c>
    </row>
    <row r="193" spans="1:26" x14ac:dyDescent="0.25">
      <c r="A193" s="75" t="str">
        <f>+Passwörter_Agenturen!H223</f>
        <v>Württembergische LV + Sach</v>
      </c>
      <c r="B193" s="76" t="str">
        <f>+Passwörter_Agenturen!J223</f>
        <v>6850-5223-7</v>
      </c>
      <c r="C193" s="76" t="str">
        <f>+Passwörter_Agenturen!I223</f>
        <v>2000-6900-5</v>
      </c>
      <c r="D193" s="76">
        <f>+Passwörter_Agenturen!K223</f>
        <v>0</v>
      </c>
      <c r="E193" s="76" t="str">
        <f>+Passwörter_Agenturen!L223</f>
        <v>6850-6517-7 ( kein LV-Bestand)</v>
      </c>
      <c r="F193" s="76">
        <f>+Passwörter_Agenturen!M223</f>
        <v>0</v>
      </c>
      <c r="G193" s="76">
        <f>+Passwörter_Agenturen!N223</f>
        <v>0</v>
      </c>
      <c r="H193" s="76">
        <f>+Passwörter_Agenturen!P223</f>
        <v>0</v>
      </c>
      <c r="I193" s="76">
        <f>+Passwörter_Agenturen!Q223</f>
        <v>0</v>
      </c>
      <c r="J193" s="76">
        <f>+Passwörter_Agenturen!R223</f>
        <v>0</v>
      </c>
      <c r="K193" s="76">
        <f>+Passwörter_Agenturen!S223</f>
        <v>0</v>
      </c>
      <c r="L193" s="76">
        <f>+Passwörter_Agenturen!T223</f>
        <v>0</v>
      </c>
      <c r="M193" s="76">
        <f>+Passwörter_Agenturen!U223</f>
        <v>0</v>
      </c>
      <c r="N193" s="76">
        <f>+Passwörter_Agenturen!V223</f>
        <v>0</v>
      </c>
      <c r="O193" s="76">
        <f>+Passwörter_Agenturen!W223</f>
        <v>0</v>
      </c>
      <c r="P193" s="76">
        <f>+Passwörter_Agenturen!X223</f>
        <v>0</v>
      </c>
      <c r="Q193" s="76">
        <f>+Passwörter_Agenturen!Y223</f>
        <v>0</v>
      </c>
      <c r="R193" s="76">
        <f>+Passwörter_Agenturen!Z223</f>
        <v>0</v>
      </c>
      <c r="S193" s="76">
        <f>+Passwörter_Agenturen!AA223</f>
        <v>0</v>
      </c>
      <c r="T193" s="76">
        <f>+Passwörter_Agenturen!AB223</f>
        <v>0</v>
      </c>
      <c r="U193" s="76">
        <f>+Passwörter_Agenturen!AC223</f>
        <v>0</v>
      </c>
      <c r="V193" s="76">
        <f>+Passwörter_Agenturen!AD223</f>
        <v>0</v>
      </c>
      <c r="W193" s="76">
        <f>+Passwörter_Agenturen!AE223</f>
        <v>0</v>
      </c>
      <c r="X193" s="76">
        <f>+Passwörter_Agenturen!AF223</f>
        <v>0</v>
      </c>
      <c r="Y193" s="76">
        <f>+Passwörter_Agenturen!AG223</f>
        <v>0</v>
      </c>
      <c r="Z193" s="76">
        <f>+Passwörter_Agenturen!AH223</f>
        <v>0</v>
      </c>
    </row>
    <row r="194" spans="1:26" x14ac:dyDescent="0.25">
      <c r="A194" s="75" t="str">
        <f>+Passwörter_Agenturen!H224</f>
        <v>Württembergische Rahmenvertrag Kfz</v>
      </c>
      <c r="B194" s="76" t="str">
        <f>+Passwörter_Agenturen!J224</f>
        <v>6850-5223-7         (alt 6810-7151-2)</v>
      </c>
      <c r="C194" s="76">
        <f>+Passwörter_Agenturen!I224</f>
        <v>0</v>
      </c>
      <c r="D194" s="76">
        <f>+Passwörter_Agenturen!K224</f>
        <v>0</v>
      </c>
      <c r="E194" s="76">
        <f>+Passwörter_Agenturen!L224</f>
        <v>0</v>
      </c>
      <c r="F194" s="76">
        <f>+Passwörter_Agenturen!M224</f>
        <v>0</v>
      </c>
      <c r="G194" s="76">
        <f>+Passwörter_Agenturen!N224</f>
        <v>0</v>
      </c>
      <c r="H194" s="76">
        <f>+Passwörter_Agenturen!P224</f>
        <v>0</v>
      </c>
      <c r="I194" s="76">
        <f>+Passwörter_Agenturen!Q224</f>
        <v>0</v>
      </c>
      <c r="J194" s="76">
        <f>+Passwörter_Agenturen!R224</f>
        <v>0</v>
      </c>
      <c r="K194" s="76">
        <f>+Passwörter_Agenturen!S224</f>
        <v>0</v>
      </c>
      <c r="L194" s="76">
        <f>+Passwörter_Agenturen!T224</f>
        <v>0</v>
      </c>
      <c r="M194" s="76">
        <f>+Passwörter_Agenturen!U224</f>
        <v>0</v>
      </c>
      <c r="N194" s="76">
        <f>+Passwörter_Agenturen!V224</f>
        <v>0</v>
      </c>
      <c r="O194" s="76">
        <f>+Passwörter_Agenturen!W224</f>
        <v>0</v>
      </c>
      <c r="P194" s="76">
        <f>+Passwörter_Agenturen!X224</f>
        <v>0</v>
      </c>
      <c r="Q194" s="76">
        <f>+Passwörter_Agenturen!Y224</f>
        <v>0</v>
      </c>
      <c r="R194" s="76">
        <f>+Passwörter_Agenturen!Z224</f>
        <v>0</v>
      </c>
      <c r="S194" s="76">
        <f>+Passwörter_Agenturen!AA224</f>
        <v>0</v>
      </c>
      <c r="T194" s="76">
        <f>+Passwörter_Agenturen!AB224</f>
        <v>0</v>
      </c>
      <c r="U194" s="76">
        <f>+Passwörter_Agenturen!AC224</f>
        <v>0</v>
      </c>
      <c r="V194" s="76">
        <f>+Passwörter_Agenturen!AD224</f>
        <v>0</v>
      </c>
      <c r="W194" s="76">
        <f>+Passwörter_Agenturen!AE224</f>
        <v>0</v>
      </c>
      <c r="X194" s="76">
        <f>+Passwörter_Agenturen!AF224</f>
        <v>0</v>
      </c>
      <c r="Y194" s="76">
        <f>+Passwörter_Agenturen!AG224</f>
        <v>0</v>
      </c>
      <c r="Z194" s="76">
        <f>+Passwörter_Agenturen!AH224</f>
        <v>0</v>
      </c>
    </row>
    <row r="195" spans="1:26" x14ac:dyDescent="0.25">
      <c r="A195" s="75" t="str">
        <f>+Passwörter_Agenturen!H225</f>
        <v>Würzburger Handyschutz</v>
      </c>
      <c r="B195" s="76">
        <f>+Passwörter_Agenturen!J225</f>
        <v>0</v>
      </c>
      <c r="C195" s="76" t="str">
        <f>+Passwörter_Agenturen!I225</f>
        <v>1-9-850-2202</v>
      </c>
      <c r="D195" s="76">
        <f>+Passwörter_Agenturen!K225</f>
        <v>0</v>
      </c>
      <c r="E195" s="76">
        <f>+Passwörter_Agenturen!L225</f>
        <v>0</v>
      </c>
      <c r="F195" s="76">
        <f>+Passwörter_Agenturen!M225</f>
        <v>0</v>
      </c>
      <c r="G195" s="76">
        <f>+Passwörter_Agenturen!N225</f>
        <v>0</v>
      </c>
      <c r="H195" s="76">
        <f>+Passwörter_Agenturen!P225</f>
        <v>0</v>
      </c>
      <c r="I195" s="76">
        <f>+Passwörter_Agenturen!Q225</f>
        <v>0</v>
      </c>
      <c r="J195" s="76">
        <f>+Passwörter_Agenturen!R225</f>
        <v>0</v>
      </c>
      <c r="K195" s="76">
        <f>+Passwörter_Agenturen!S225</f>
        <v>0</v>
      </c>
      <c r="L195" s="76">
        <f>+Passwörter_Agenturen!T225</f>
        <v>0</v>
      </c>
      <c r="M195" s="76">
        <f>+Passwörter_Agenturen!U225</f>
        <v>0</v>
      </c>
      <c r="N195" s="76">
        <f>+Passwörter_Agenturen!V225</f>
        <v>0</v>
      </c>
      <c r="O195" s="76">
        <f>+Passwörter_Agenturen!W225</f>
        <v>0</v>
      </c>
      <c r="P195" s="76">
        <f>+Passwörter_Agenturen!X225</f>
        <v>0</v>
      </c>
      <c r="Q195" s="76">
        <f>+Passwörter_Agenturen!Y225</f>
        <v>0</v>
      </c>
      <c r="R195" s="76">
        <f>+Passwörter_Agenturen!Z225</f>
        <v>0</v>
      </c>
      <c r="S195" s="76">
        <f>+Passwörter_Agenturen!AA225</f>
        <v>0</v>
      </c>
      <c r="T195" s="76">
        <f>+Passwörter_Agenturen!AB225</f>
        <v>0</v>
      </c>
      <c r="U195" s="76">
        <f>+Passwörter_Agenturen!AC225</f>
        <v>0</v>
      </c>
      <c r="V195" s="76">
        <f>+Passwörter_Agenturen!AD225</f>
        <v>0</v>
      </c>
      <c r="W195" s="76">
        <f>+Passwörter_Agenturen!AE225</f>
        <v>0</v>
      </c>
      <c r="X195" s="76">
        <f>+Passwörter_Agenturen!AF225</f>
        <v>0</v>
      </c>
      <c r="Y195" s="76">
        <f>+Passwörter_Agenturen!AG225</f>
        <v>0</v>
      </c>
      <c r="Z195" s="76">
        <f>+Passwörter_Agenturen!AH225</f>
        <v>0</v>
      </c>
    </row>
    <row r="196" spans="1:26" x14ac:dyDescent="0.25">
      <c r="A196" s="75" t="str">
        <f>+Passwörter_Agenturen!H228</f>
        <v>Wüstenrot Bausparkasse</v>
      </c>
      <c r="B196" s="76" t="str">
        <f>+Passwörter_Agenturen!J228</f>
        <v>012688</v>
      </c>
      <c r="C196" s="76">
        <f>+Passwörter_Agenturen!I228</f>
        <v>0</v>
      </c>
      <c r="D196" s="76">
        <f>+Passwörter_Agenturen!K228</f>
        <v>0</v>
      </c>
      <c r="E196" s="76">
        <f>+Passwörter_Agenturen!L228</f>
        <v>0</v>
      </c>
      <c r="F196" s="76">
        <f>+Passwörter_Agenturen!M228</f>
        <v>0</v>
      </c>
      <c r="G196" s="76">
        <f>+Passwörter_Agenturen!N228</f>
        <v>0</v>
      </c>
      <c r="H196" s="76">
        <f>+Passwörter_Agenturen!P228</f>
        <v>0</v>
      </c>
      <c r="I196" s="76">
        <f>+Passwörter_Agenturen!Q228</f>
        <v>0</v>
      </c>
      <c r="J196" s="76">
        <f>+Passwörter_Agenturen!R228</f>
        <v>0</v>
      </c>
      <c r="K196" s="76">
        <f>+Passwörter_Agenturen!S228</f>
        <v>0</v>
      </c>
      <c r="L196" s="76">
        <f>+Passwörter_Agenturen!T228</f>
        <v>0</v>
      </c>
      <c r="M196" s="76">
        <f>+Passwörter_Agenturen!U228</f>
        <v>0</v>
      </c>
      <c r="N196" s="76">
        <f>+Passwörter_Agenturen!V228</f>
        <v>0</v>
      </c>
      <c r="O196" s="76">
        <f>+Passwörter_Agenturen!W228</f>
        <v>0</v>
      </c>
      <c r="P196" s="76">
        <f>+Passwörter_Agenturen!X228</f>
        <v>0</v>
      </c>
      <c r="Q196" s="76">
        <f>+Passwörter_Agenturen!Y228</f>
        <v>0</v>
      </c>
      <c r="R196" s="76">
        <f>+Passwörter_Agenturen!Z228</f>
        <v>0</v>
      </c>
      <c r="S196" s="76">
        <f>+Passwörter_Agenturen!AA228</f>
        <v>0</v>
      </c>
      <c r="T196" s="76">
        <f>+Passwörter_Agenturen!AB228</f>
        <v>0</v>
      </c>
      <c r="U196" s="76">
        <f>+Passwörter_Agenturen!AC228</f>
        <v>0</v>
      </c>
      <c r="V196" s="76">
        <f>+Passwörter_Agenturen!AD228</f>
        <v>0</v>
      </c>
      <c r="W196" s="76">
        <f>+Passwörter_Agenturen!AE228</f>
        <v>0</v>
      </c>
      <c r="X196" s="76">
        <f>+Passwörter_Agenturen!AF228</f>
        <v>0</v>
      </c>
      <c r="Y196" s="76">
        <f>+Passwörter_Agenturen!AG228</f>
        <v>0</v>
      </c>
      <c r="Z196" s="76">
        <f>+Passwörter_Agenturen!AH228</f>
        <v>0</v>
      </c>
    </row>
    <row r="197" spans="1:26" x14ac:dyDescent="0.25">
      <c r="A197" s="75" t="str">
        <f>+Passwörter_Agenturen!H229</f>
        <v xml:space="preserve">WWK </v>
      </c>
      <c r="B197" s="76">
        <f>+Passwörter_Agenturen!J229</f>
        <v>0</v>
      </c>
      <c r="C197" s="76" t="str">
        <f>+Passwörter_Agenturen!I229</f>
        <v>Q9837025</v>
      </c>
      <c r="D197" s="76">
        <f>+Passwörter_Agenturen!K229</f>
        <v>0</v>
      </c>
      <c r="E197" s="76" t="str">
        <f>+Passwörter_Agenturen!L229</f>
        <v>Q9821554</v>
      </c>
      <c r="F197" s="76">
        <f>+Passwörter_Agenturen!M229</f>
        <v>0</v>
      </c>
      <c r="G197" s="76">
        <f>+Passwörter_Agenturen!N229</f>
        <v>0</v>
      </c>
      <c r="H197" s="76">
        <f>+Passwörter_Agenturen!P229</f>
        <v>0</v>
      </c>
      <c r="I197" s="76">
        <f>+Passwörter_Agenturen!Q229</f>
        <v>0</v>
      </c>
      <c r="J197" s="76">
        <f>+Passwörter_Agenturen!R229</f>
        <v>0</v>
      </c>
      <c r="K197" s="76">
        <f>+Passwörter_Agenturen!S229</f>
        <v>0</v>
      </c>
      <c r="L197" s="76">
        <f>+Passwörter_Agenturen!T229</f>
        <v>0</v>
      </c>
      <c r="M197" s="76">
        <f>+Passwörter_Agenturen!U229</f>
        <v>0</v>
      </c>
      <c r="N197" s="76">
        <f>+Passwörter_Agenturen!V229</f>
        <v>0</v>
      </c>
      <c r="O197" s="76">
        <f>+Passwörter_Agenturen!W229</f>
        <v>0</v>
      </c>
      <c r="P197" s="76">
        <f>+Passwörter_Agenturen!X229</f>
        <v>0</v>
      </c>
      <c r="Q197" s="76">
        <f>+Passwörter_Agenturen!Y229</f>
        <v>0</v>
      </c>
      <c r="R197" s="76">
        <f>+Passwörter_Agenturen!Z229</f>
        <v>0</v>
      </c>
      <c r="S197" s="76">
        <f>+Passwörter_Agenturen!AA229</f>
        <v>0</v>
      </c>
      <c r="T197" s="76">
        <f>+Passwörter_Agenturen!AB229</f>
        <v>0</v>
      </c>
      <c r="U197" s="76">
        <f>+Passwörter_Agenturen!AC229</f>
        <v>0</v>
      </c>
      <c r="V197" s="76">
        <f>+Passwörter_Agenturen!AD229</f>
        <v>0</v>
      </c>
      <c r="W197" s="76">
        <f>+Passwörter_Agenturen!AE229</f>
        <v>0</v>
      </c>
      <c r="X197" s="76">
        <f>+Passwörter_Agenturen!AF229</f>
        <v>0</v>
      </c>
      <c r="Y197" s="76">
        <f>+Passwörter_Agenturen!AG229</f>
        <v>0</v>
      </c>
      <c r="Z197" s="76">
        <f>+Passwörter_Agenturen!AH229</f>
        <v>0</v>
      </c>
    </row>
    <row r="198" spans="1:26" x14ac:dyDescent="0.25">
      <c r="A198" s="75" t="str">
        <f>+Passwörter_Agenturen!H231</f>
        <v>Zurich (Patria) Sach alt</v>
      </c>
      <c r="B198" s="76" t="str">
        <f>+Passwörter_Agenturen!J231</f>
        <v>7005484 alt</v>
      </c>
      <c r="C198" s="76">
        <f>+Passwörter_Agenturen!I231</f>
        <v>0</v>
      </c>
      <c r="D198" s="76">
        <f>+Passwörter_Agenturen!K231</f>
        <v>0</v>
      </c>
      <c r="E198" s="76">
        <f>+Passwörter_Agenturen!L231</f>
        <v>0</v>
      </c>
      <c r="F198" s="76">
        <f>+Passwörter_Agenturen!M231</f>
        <v>0</v>
      </c>
      <c r="G198" s="76">
        <f>+Passwörter_Agenturen!N231</f>
        <v>0</v>
      </c>
      <c r="H198" s="76">
        <f>+Passwörter_Agenturen!P231</f>
        <v>0</v>
      </c>
      <c r="I198" s="76">
        <f>+Passwörter_Agenturen!Q231</f>
        <v>0</v>
      </c>
      <c r="J198" s="76">
        <f>+Passwörter_Agenturen!R231</f>
        <v>0</v>
      </c>
      <c r="K198" s="76">
        <f>+Passwörter_Agenturen!S231</f>
        <v>0</v>
      </c>
      <c r="L198" s="76">
        <f>+Passwörter_Agenturen!T231</f>
        <v>0</v>
      </c>
      <c r="M198" s="76">
        <f>+Passwörter_Agenturen!U231</f>
        <v>0</v>
      </c>
      <c r="N198" s="76">
        <f>+Passwörter_Agenturen!V231</f>
        <v>0</v>
      </c>
      <c r="O198" s="76">
        <f>+Passwörter_Agenturen!W231</f>
        <v>0</v>
      </c>
      <c r="P198" s="76">
        <f>+Passwörter_Agenturen!X231</f>
        <v>0</v>
      </c>
      <c r="Q198" s="76">
        <f>+Passwörter_Agenturen!Y231</f>
        <v>0</v>
      </c>
      <c r="R198" s="76">
        <f>+Passwörter_Agenturen!Z231</f>
        <v>0</v>
      </c>
      <c r="S198" s="76">
        <f>+Passwörter_Agenturen!AA231</f>
        <v>0</v>
      </c>
      <c r="T198" s="76">
        <f>+Passwörter_Agenturen!AB231</f>
        <v>0</v>
      </c>
      <c r="U198" s="76">
        <f>+Passwörter_Agenturen!AC231</f>
        <v>0</v>
      </c>
      <c r="V198" s="76">
        <f>+Passwörter_Agenturen!AD231</f>
        <v>0</v>
      </c>
      <c r="W198" s="76">
        <f>+Passwörter_Agenturen!AE231</f>
        <v>0</v>
      </c>
      <c r="X198" s="76">
        <f>+Passwörter_Agenturen!AF231</f>
        <v>0</v>
      </c>
      <c r="Y198" s="76">
        <f>+Passwörter_Agenturen!AG231</f>
        <v>0</v>
      </c>
      <c r="Z198" s="76">
        <f>+Passwörter_Agenturen!AH231</f>
        <v>0</v>
      </c>
    </row>
    <row r="199" spans="1:26" x14ac:dyDescent="0.25">
      <c r="A199" s="75" t="str">
        <f>+Passwörter_Agenturen!H232</f>
        <v>Zurich Leben Deutscher Herold</v>
      </c>
      <c r="B199" s="76" t="str">
        <f>+Passwörter_Agenturen!J232</f>
        <v>5017933</v>
      </c>
      <c r="C199" s="76" t="str">
        <f>+Passwörter_Agenturen!I232</f>
        <v>5017933</v>
      </c>
      <c r="D199" s="76">
        <f>+Passwörter_Agenturen!K232</f>
        <v>0</v>
      </c>
      <c r="E199" s="76">
        <f>+Passwörter_Agenturen!L232</f>
        <v>0</v>
      </c>
      <c r="F199" s="76">
        <f>+Passwörter_Agenturen!M232</f>
        <v>0</v>
      </c>
      <c r="G199" s="76">
        <f>+Passwörter_Agenturen!N232</f>
        <v>0</v>
      </c>
      <c r="H199" s="76">
        <f>+Passwörter_Agenturen!P232</f>
        <v>0</v>
      </c>
      <c r="I199" s="76">
        <f>+Passwörter_Agenturen!Q232</f>
        <v>0</v>
      </c>
      <c r="J199" s="76">
        <f>+Passwörter_Agenturen!R232</f>
        <v>0</v>
      </c>
      <c r="K199" s="76">
        <f>+Passwörter_Agenturen!S232</f>
        <v>0</v>
      </c>
      <c r="L199" s="76">
        <f>+Passwörter_Agenturen!T232</f>
        <v>0</v>
      </c>
      <c r="M199" s="76">
        <f>+Passwörter_Agenturen!U232</f>
        <v>0</v>
      </c>
      <c r="N199" s="76">
        <f>+Passwörter_Agenturen!V232</f>
        <v>0</v>
      </c>
      <c r="O199" s="76">
        <f>+Passwörter_Agenturen!W232</f>
        <v>0</v>
      </c>
      <c r="P199" s="76">
        <f>+Passwörter_Agenturen!X232</f>
        <v>0</v>
      </c>
      <c r="Q199" s="76">
        <f>+Passwörter_Agenturen!Y232</f>
        <v>0</v>
      </c>
      <c r="R199" s="76">
        <f>+Passwörter_Agenturen!Z232</f>
        <v>0</v>
      </c>
      <c r="S199" s="76">
        <f>+Passwörter_Agenturen!AA232</f>
        <v>0</v>
      </c>
      <c r="T199" s="76">
        <f>+Passwörter_Agenturen!AB232</f>
        <v>0</v>
      </c>
      <c r="U199" s="76">
        <f>+Passwörter_Agenturen!AC232</f>
        <v>0</v>
      </c>
      <c r="V199" s="76">
        <f>+Passwörter_Agenturen!AD232</f>
        <v>0</v>
      </c>
      <c r="W199" s="76">
        <f>+Passwörter_Agenturen!AE232</f>
        <v>0</v>
      </c>
      <c r="X199" s="76" t="str">
        <f>+Passwörter_Agenturen!AF232</f>
        <v>7798161</v>
      </c>
      <c r="Y199" s="76">
        <f>+Passwörter_Agenturen!AG232</f>
        <v>0</v>
      </c>
      <c r="Z199" s="76">
        <f>+Passwörter_Agenturen!AH232</f>
        <v>0</v>
      </c>
    </row>
    <row r="200" spans="1:26" x14ac:dyDescent="0.25">
      <c r="A200" s="75" t="e">
        <f>+Passwörter_Agenturen!#REF!</f>
        <v>#REF!</v>
      </c>
      <c r="B200" s="76" t="e">
        <f>+Passwörter_Agenturen!#REF!</f>
        <v>#REF!</v>
      </c>
      <c r="C200" s="76" t="e">
        <f>+Passwörter_Agenturen!#REF!</f>
        <v>#REF!</v>
      </c>
      <c r="D200" s="76" t="e">
        <f>+Passwörter_Agenturen!#REF!</f>
        <v>#REF!</v>
      </c>
      <c r="E200" s="76" t="e">
        <f>+Passwörter_Agenturen!#REF!</f>
        <v>#REF!</v>
      </c>
      <c r="F200" s="76" t="e">
        <f>+Passwörter_Agenturen!#REF!</f>
        <v>#REF!</v>
      </c>
      <c r="G200" s="76" t="e">
        <f>+Passwörter_Agenturen!#REF!</f>
        <v>#REF!</v>
      </c>
      <c r="H200" s="76" t="e">
        <f>+Passwörter_Agenturen!#REF!</f>
        <v>#REF!</v>
      </c>
      <c r="I200" s="76" t="e">
        <f>+Passwörter_Agenturen!#REF!</f>
        <v>#REF!</v>
      </c>
      <c r="J200" s="76" t="e">
        <f>+Passwörter_Agenturen!#REF!</f>
        <v>#REF!</v>
      </c>
      <c r="K200" s="76" t="e">
        <f>+Passwörter_Agenturen!#REF!</f>
        <v>#REF!</v>
      </c>
      <c r="L200" s="76" t="e">
        <f>+Passwörter_Agenturen!#REF!</f>
        <v>#REF!</v>
      </c>
      <c r="M200" s="76" t="e">
        <f>+Passwörter_Agenturen!#REF!</f>
        <v>#REF!</v>
      </c>
      <c r="N200" s="76" t="e">
        <f>+Passwörter_Agenturen!#REF!</f>
        <v>#REF!</v>
      </c>
      <c r="O200" s="76" t="e">
        <f>+Passwörter_Agenturen!#REF!</f>
        <v>#REF!</v>
      </c>
      <c r="P200" s="76" t="e">
        <f>+Passwörter_Agenturen!#REF!</f>
        <v>#REF!</v>
      </c>
      <c r="Q200" s="76" t="e">
        <f>+Passwörter_Agenturen!#REF!</f>
        <v>#REF!</v>
      </c>
      <c r="R200" s="76" t="e">
        <f>+Passwörter_Agenturen!#REF!</f>
        <v>#REF!</v>
      </c>
      <c r="S200" s="76" t="e">
        <f>+Passwörter_Agenturen!#REF!</f>
        <v>#REF!</v>
      </c>
      <c r="T200" s="76" t="e">
        <f>+Passwörter_Agenturen!#REF!</f>
        <v>#REF!</v>
      </c>
      <c r="U200" s="76" t="e">
        <f>+Passwörter_Agenturen!#REF!</f>
        <v>#REF!</v>
      </c>
      <c r="V200" s="76" t="e">
        <f>+Passwörter_Agenturen!#REF!</f>
        <v>#REF!</v>
      </c>
      <c r="W200" s="76" t="e">
        <f>+Passwörter_Agenturen!#REF!</f>
        <v>#REF!</v>
      </c>
      <c r="X200" s="76" t="e">
        <f>+Passwörter_Agenturen!#REF!</f>
        <v>#REF!</v>
      </c>
      <c r="Y200" s="76" t="e">
        <f>+Passwörter_Agenturen!#REF!</f>
        <v>#REF!</v>
      </c>
      <c r="Z200" s="76" t="e">
        <f>+Passwörter_Agenturen!#REF!</f>
        <v>#REF!</v>
      </c>
    </row>
    <row r="201" spans="1:26" x14ac:dyDescent="0.25">
      <c r="A201" s="75" t="str">
        <f>+Passwörter_Agenturen!H233</f>
        <v>Zurich Life</v>
      </c>
      <c r="B201" s="76">
        <f>+Passwörter_Agenturen!J233</f>
        <v>0</v>
      </c>
      <c r="C201" s="76" t="str">
        <f>+Passwörter_Agenturen!I233</f>
        <v>73160 (vorläufig)</v>
      </c>
      <c r="D201" s="76">
        <f>+Passwörter_Agenturen!K233</f>
        <v>0</v>
      </c>
      <c r="E201" s="76" t="str">
        <f>+Passwörter_Agenturen!L233</f>
        <v>74485</v>
      </c>
      <c r="F201" s="76">
        <f>+Passwörter_Agenturen!M233</f>
        <v>0</v>
      </c>
      <c r="G201" s="76">
        <f>+Passwörter_Agenturen!N233</f>
        <v>0</v>
      </c>
      <c r="H201" s="76" t="str">
        <f>+Passwörter_Agenturen!P233</f>
        <v>73105 (alt)</v>
      </c>
      <c r="I201" s="76">
        <f>+Passwörter_Agenturen!Q233</f>
        <v>0</v>
      </c>
      <c r="J201" s="76">
        <f>+Passwörter_Agenturen!R233</f>
        <v>0</v>
      </c>
      <c r="K201" s="76">
        <f>+Passwörter_Agenturen!S233</f>
        <v>0</v>
      </c>
      <c r="L201" s="76">
        <f>+Passwörter_Agenturen!T233</f>
        <v>0</v>
      </c>
      <c r="M201" s="76">
        <f>+Passwörter_Agenturen!U233</f>
        <v>0</v>
      </c>
      <c r="N201" s="76">
        <f>+Passwörter_Agenturen!V233</f>
        <v>0</v>
      </c>
      <c r="O201" s="76">
        <f>+Passwörter_Agenturen!W233</f>
        <v>0</v>
      </c>
      <c r="P201" s="76">
        <f>+Passwörter_Agenturen!X233</f>
        <v>0</v>
      </c>
      <c r="Q201" s="76">
        <f>+Passwörter_Agenturen!Y233</f>
        <v>0</v>
      </c>
      <c r="R201" s="76">
        <f>+Passwörter_Agenturen!Z233</f>
        <v>0</v>
      </c>
      <c r="S201" s="76">
        <f>+Passwörter_Agenturen!AA233</f>
        <v>0</v>
      </c>
      <c r="T201" s="76">
        <f>+Passwörter_Agenturen!AB233</f>
        <v>0</v>
      </c>
      <c r="U201" s="76">
        <f>+Passwörter_Agenturen!AC233</f>
        <v>0</v>
      </c>
      <c r="V201" s="76">
        <f>+Passwörter_Agenturen!AD233</f>
        <v>0</v>
      </c>
      <c r="W201" s="76">
        <f>+Passwörter_Agenturen!AE233</f>
        <v>0</v>
      </c>
      <c r="X201" s="76">
        <f>+Passwörter_Agenturen!AF233</f>
        <v>0</v>
      </c>
      <c r="Y201" s="76">
        <f>+Passwörter_Agenturen!AG233</f>
        <v>0</v>
      </c>
      <c r="Z201" s="76">
        <f>+Passwörter_Agenturen!AH233</f>
        <v>0</v>
      </c>
    </row>
    <row r="202" spans="1:26" x14ac:dyDescent="0.25">
      <c r="A202" s="75" t="str">
        <f>+Passwörter_Agenturen!H180</f>
        <v>NV-Versicherung über Invers</v>
      </c>
      <c r="B202" s="76" t="str">
        <f>+Passwörter_Agenturen!J179</f>
        <v>11072</v>
      </c>
      <c r="C202" s="76" t="str">
        <f>+Passwörter_Agenturen!I179</f>
        <v>11072</v>
      </c>
      <c r="D202" s="76">
        <f>+Passwörter_Agenturen!K180</f>
        <v>0</v>
      </c>
      <c r="E202" s="76" t="str">
        <f>+Passwörter_Agenturen!L180</f>
        <v>7993201</v>
      </c>
      <c r="F202" s="76">
        <f>+Passwörter_Agenturen!M180</f>
        <v>0</v>
      </c>
      <c r="G202" s="76">
        <f>+Passwörter_Agenturen!N180</f>
        <v>0</v>
      </c>
      <c r="H202" s="76">
        <f>+Passwörter_Agenturen!P180</f>
        <v>0</v>
      </c>
      <c r="I202" s="76">
        <f>+Passwörter_Agenturen!Q180</f>
        <v>0</v>
      </c>
      <c r="J202" s="76">
        <f>+Passwörter_Agenturen!R180</f>
        <v>0</v>
      </c>
      <c r="K202" s="76">
        <f>+Passwörter_Agenturen!S180</f>
        <v>0</v>
      </c>
      <c r="L202" s="76">
        <f>+Passwörter_Agenturen!T180</f>
        <v>0</v>
      </c>
      <c r="M202" s="76">
        <f>+Passwörter_Agenturen!U180</f>
        <v>0</v>
      </c>
      <c r="N202" s="76">
        <f>+Passwörter_Agenturen!V180</f>
        <v>0</v>
      </c>
      <c r="O202" s="76">
        <f>+Passwörter_Agenturen!W180</f>
        <v>0</v>
      </c>
      <c r="P202" s="76">
        <f>+Passwörter_Agenturen!X180</f>
        <v>0</v>
      </c>
      <c r="Q202" s="76">
        <f>+Passwörter_Agenturen!Y180</f>
        <v>0</v>
      </c>
      <c r="R202" s="76">
        <f>+Passwörter_Agenturen!Z180</f>
        <v>0</v>
      </c>
      <c r="S202" s="76">
        <f>+Passwörter_Agenturen!AA180</f>
        <v>0</v>
      </c>
      <c r="T202" s="76">
        <f>+Passwörter_Agenturen!AB180</f>
        <v>0</v>
      </c>
      <c r="U202" s="76">
        <f>+Passwörter_Agenturen!AC180</f>
        <v>0</v>
      </c>
      <c r="V202" s="76">
        <f>+Passwörter_Agenturen!AD180</f>
        <v>0</v>
      </c>
      <c r="W202" s="76">
        <f>+Passwörter_Agenturen!AE180</f>
        <v>0</v>
      </c>
      <c r="X202" s="76">
        <f>+Passwörter_Agenturen!AF180</f>
        <v>0</v>
      </c>
      <c r="Y202" s="76">
        <f>+Passwörter_Agenturen!AG180</f>
        <v>0</v>
      </c>
      <c r="Z202" s="76">
        <f>+Passwörter_Agenturen!AH180</f>
        <v>0</v>
      </c>
    </row>
    <row r="203" spans="1:26" x14ac:dyDescent="0.25">
      <c r="A203" s="75">
        <f>+Passwörter_Agenturen!H234</f>
        <v>0</v>
      </c>
      <c r="B203" s="76">
        <f>+Passwörter_Agenturen!J234</f>
        <v>0</v>
      </c>
      <c r="C203" s="76">
        <f>+Passwörter_Agenturen!I234</f>
        <v>0</v>
      </c>
      <c r="D203" s="76">
        <f>+Passwörter_Agenturen!K234</f>
        <v>0</v>
      </c>
      <c r="E203" s="76">
        <f>+Passwörter_Agenturen!L234</f>
        <v>0</v>
      </c>
      <c r="F203" s="76">
        <f>+Passwörter_Agenturen!M234</f>
        <v>0</v>
      </c>
      <c r="G203" s="76">
        <f>+Passwörter_Agenturen!N234</f>
        <v>0</v>
      </c>
      <c r="H203" s="76">
        <f>+Passwörter_Agenturen!P234</f>
        <v>0</v>
      </c>
      <c r="I203" s="76">
        <f>+Passwörter_Agenturen!Q234</f>
        <v>0</v>
      </c>
      <c r="J203" s="76">
        <f>+Passwörter_Agenturen!R234</f>
        <v>0</v>
      </c>
      <c r="K203" s="76">
        <f>+Passwörter_Agenturen!S234</f>
        <v>0</v>
      </c>
      <c r="L203" s="76">
        <f>+Passwörter_Agenturen!T234</f>
        <v>0</v>
      </c>
      <c r="M203" s="76">
        <f>+Passwörter_Agenturen!U234</f>
        <v>0</v>
      </c>
      <c r="N203" s="76">
        <f>+Passwörter_Agenturen!V234</f>
        <v>0</v>
      </c>
      <c r="O203" s="76">
        <f>+Passwörter_Agenturen!W234</f>
        <v>0</v>
      </c>
      <c r="P203" s="76">
        <f>+Passwörter_Agenturen!X234</f>
        <v>0</v>
      </c>
      <c r="Q203" s="76">
        <f>+Passwörter_Agenturen!Y234</f>
        <v>0</v>
      </c>
      <c r="R203" s="76">
        <f>+Passwörter_Agenturen!Z234</f>
        <v>0</v>
      </c>
      <c r="S203" s="76">
        <f>+Passwörter_Agenturen!AA234</f>
        <v>0</v>
      </c>
      <c r="T203" s="76">
        <f>+Passwörter_Agenturen!AB234</f>
        <v>0</v>
      </c>
      <c r="U203" s="76">
        <f>+Passwörter_Agenturen!AC234</f>
        <v>0</v>
      </c>
      <c r="V203" s="76">
        <f>+Passwörter_Agenturen!AD234</f>
        <v>0</v>
      </c>
      <c r="W203" s="76">
        <f>+Passwörter_Agenturen!AE234</f>
        <v>0</v>
      </c>
      <c r="X203" s="76">
        <f>+Passwörter_Agenturen!AF234</f>
        <v>0</v>
      </c>
      <c r="Y203" s="76">
        <f>+Passwörter_Agenturen!AG234</f>
        <v>0</v>
      </c>
      <c r="Z203" s="76">
        <f>+Passwörter_Agenturen!AH234</f>
        <v>0</v>
      </c>
    </row>
    <row r="204" spans="1:26" x14ac:dyDescent="0.25">
      <c r="A204" s="75">
        <f>+Passwörter_Agenturen!H235</f>
        <v>0</v>
      </c>
      <c r="B204" s="76">
        <f>+Passwörter_Agenturen!J235</f>
        <v>0</v>
      </c>
      <c r="C204" s="76">
        <f>+Passwörter_Agenturen!I235</f>
        <v>0</v>
      </c>
      <c r="D204" s="76">
        <f>+Passwörter_Agenturen!K235</f>
        <v>0</v>
      </c>
      <c r="E204" s="76">
        <f>+Passwörter_Agenturen!L235</f>
        <v>0</v>
      </c>
      <c r="F204" s="76">
        <f>+Passwörter_Agenturen!M235</f>
        <v>0</v>
      </c>
      <c r="G204" s="76">
        <f>+Passwörter_Agenturen!N235</f>
        <v>0</v>
      </c>
      <c r="H204" s="76">
        <f>+Passwörter_Agenturen!P235</f>
        <v>0</v>
      </c>
      <c r="I204" s="76">
        <f>+Passwörter_Agenturen!Q235</f>
        <v>0</v>
      </c>
      <c r="J204" s="76">
        <f>+Passwörter_Agenturen!R235</f>
        <v>0</v>
      </c>
      <c r="K204" s="76">
        <f>+Passwörter_Agenturen!S235</f>
        <v>0</v>
      </c>
      <c r="L204" s="76">
        <f>+Passwörter_Agenturen!T235</f>
        <v>0</v>
      </c>
      <c r="M204" s="76">
        <f>+Passwörter_Agenturen!U235</f>
        <v>0</v>
      </c>
      <c r="N204" s="76">
        <f>+Passwörter_Agenturen!V235</f>
        <v>0</v>
      </c>
      <c r="O204" s="76">
        <f>+Passwörter_Agenturen!W235</f>
        <v>0</v>
      </c>
      <c r="P204" s="76">
        <f>+Passwörter_Agenturen!X235</f>
        <v>0</v>
      </c>
      <c r="Q204" s="76">
        <f>+Passwörter_Agenturen!Y235</f>
        <v>0</v>
      </c>
      <c r="R204" s="76">
        <f>+Passwörter_Agenturen!Z235</f>
        <v>0</v>
      </c>
      <c r="S204" s="76">
        <f>+Passwörter_Agenturen!AA235</f>
        <v>0</v>
      </c>
      <c r="T204" s="76">
        <f>+Passwörter_Agenturen!AB235</f>
        <v>0</v>
      </c>
      <c r="U204" s="76">
        <f>+Passwörter_Agenturen!AC235</f>
        <v>0</v>
      </c>
      <c r="V204" s="76">
        <f>+Passwörter_Agenturen!AD235</f>
        <v>0</v>
      </c>
      <c r="W204" s="76">
        <f>+Passwörter_Agenturen!AE235</f>
        <v>0</v>
      </c>
      <c r="X204" s="76">
        <f>+Passwörter_Agenturen!AF235</f>
        <v>0</v>
      </c>
      <c r="Y204" s="76">
        <f>+Passwörter_Agenturen!AG235</f>
        <v>0</v>
      </c>
      <c r="Z204" s="76">
        <f>+Passwörter_Agenturen!AH235</f>
        <v>0</v>
      </c>
    </row>
    <row r="205" spans="1:26" x14ac:dyDescent="0.25">
      <c r="A205" s="75">
        <f>+Passwörter_Agenturen!H236</f>
        <v>0</v>
      </c>
      <c r="B205" s="76">
        <f>+Passwörter_Agenturen!J236</f>
        <v>0</v>
      </c>
      <c r="C205" s="76">
        <f>+Passwörter_Agenturen!I236</f>
        <v>0</v>
      </c>
      <c r="D205" s="76">
        <f>+Passwörter_Agenturen!K236</f>
        <v>0</v>
      </c>
      <c r="E205" s="76">
        <f>+Passwörter_Agenturen!L236</f>
        <v>0</v>
      </c>
      <c r="F205" s="76">
        <f>+Passwörter_Agenturen!M236</f>
        <v>0</v>
      </c>
      <c r="G205" s="76">
        <f>+Passwörter_Agenturen!N236</f>
        <v>0</v>
      </c>
      <c r="H205" s="76">
        <f>+Passwörter_Agenturen!P236</f>
        <v>0</v>
      </c>
      <c r="I205" s="76">
        <f>+Passwörter_Agenturen!Q236</f>
        <v>0</v>
      </c>
      <c r="J205" s="76">
        <f>+Passwörter_Agenturen!R236</f>
        <v>0</v>
      </c>
      <c r="K205" s="76">
        <f>+Passwörter_Agenturen!S236</f>
        <v>0</v>
      </c>
      <c r="L205" s="76">
        <f>+Passwörter_Agenturen!T236</f>
        <v>0</v>
      </c>
      <c r="M205" s="76">
        <f>+Passwörter_Agenturen!U236</f>
        <v>0</v>
      </c>
      <c r="N205" s="76">
        <f>+Passwörter_Agenturen!V236</f>
        <v>0</v>
      </c>
      <c r="O205" s="76">
        <f>+Passwörter_Agenturen!W236</f>
        <v>0</v>
      </c>
      <c r="P205" s="76">
        <f>+Passwörter_Agenturen!X236</f>
        <v>0</v>
      </c>
      <c r="Q205" s="76">
        <f>+Passwörter_Agenturen!Y236</f>
        <v>0</v>
      </c>
      <c r="R205" s="76">
        <f>+Passwörter_Agenturen!Z236</f>
        <v>0</v>
      </c>
      <c r="S205" s="76">
        <f>+Passwörter_Agenturen!AA236</f>
        <v>0</v>
      </c>
      <c r="T205" s="76">
        <f>+Passwörter_Agenturen!AB236</f>
        <v>0</v>
      </c>
      <c r="U205" s="76">
        <f>+Passwörter_Agenturen!AC236</f>
        <v>0</v>
      </c>
      <c r="V205" s="76">
        <f>+Passwörter_Agenturen!AD236</f>
        <v>0</v>
      </c>
      <c r="W205" s="76">
        <f>+Passwörter_Agenturen!AE236</f>
        <v>0</v>
      </c>
      <c r="X205" s="76">
        <f>+Passwörter_Agenturen!AF236</f>
        <v>0</v>
      </c>
      <c r="Y205" s="76">
        <f>+Passwörter_Agenturen!AG236</f>
        <v>0</v>
      </c>
      <c r="Z205" s="76">
        <f>+Passwörter_Agenturen!AH236</f>
        <v>0</v>
      </c>
    </row>
  </sheetData>
  <customSheetViews>
    <customSheetView guid="{EF60762C-634B-4E37-9575-37987277FB5D}" hiddenColumns="1" topLeftCell="A58">
      <selection activeCell="A2" sqref="A2"/>
      <pageMargins left="0.7" right="0.7" top="0.78749999999999998" bottom="0.78749999999999998" header="0.51180555555555496" footer="0.51180555555555496"/>
      <pageSetup paperSize="9" firstPageNumber="0" orientation="portrait" horizontalDpi="300" verticalDpi="300"/>
    </customSheetView>
    <customSheetView guid="{BCD1B658-489F-4064-A696-D5FA21A794F2}" hiddenColumns="1">
      <selection activeCell="A2" sqref="A2"/>
      <pageMargins left="0.7" right="0.7" top="0.78749999999999998" bottom="0.78749999999999998" header="0.51180555555555496" footer="0.51180555555555496"/>
      <pageSetup paperSize="9" firstPageNumber="0" orientation="portrait" horizontalDpi="300" verticalDpi="300"/>
    </customSheetView>
    <customSheetView guid="{B17FADA9-6408-445B-BA12-02AB62834AE3}" showPageBreaks="1">
      <selection activeCell="A2" sqref="A2"/>
      <pageMargins left="0.7" right="0.7" top="0.78749999999999998" bottom="0.78749999999999998" header="0.51180555555555496" footer="0.51180555555555496"/>
      <pageSetup paperSize="9" firstPageNumber="0" orientation="portrait" horizontalDpi="300" verticalDpi="300" r:id="rId1"/>
    </customSheetView>
    <customSheetView guid="{3306A449-89C6-46B4-ABF7-658F003FF274}" hiddenColumns="1" topLeftCell="A58">
      <selection activeCell="A2" sqref="A2"/>
      <pageMargins left="0.7" right="0.7" top="0.78749999999999998" bottom="0.78749999999999998" header="0.51180555555555496" footer="0.51180555555555496"/>
      <pageSetup paperSize="9" firstPageNumber="0" orientation="portrait" horizontalDpi="300" verticalDpi="300"/>
    </customSheetView>
  </customSheetViews>
  <pageMargins left="0.7" right="0.7" top="0.78749999999999998" bottom="0.78749999999999998"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1"/>
  <sheetViews>
    <sheetView topLeftCell="A55" zoomScaleNormal="100" workbookViewId="0">
      <selection activeCell="A60" sqref="A60"/>
    </sheetView>
  </sheetViews>
  <sheetFormatPr baseColWidth="10" defaultColWidth="8.5703125" defaultRowHeight="15" x14ac:dyDescent="0.25"/>
  <cols>
    <col min="1" max="1" width="51.5703125" customWidth="1"/>
    <col min="2" max="2" width="12.42578125" customWidth="1"/>
    <col min="3" max="3" width="83.85546875" customWidth="1"/>
    <col min="4" max="1025" width="10.42578125" customWidth="1"/>
  </cols>
  <sheetData>
    <row r="1" spans="1:3" x14ac:dyDescent="0.25">
      <c r="A1" t="s">
        <v>1230</v>
      </c>
    </row>
    <row r="2" spans="1:3" s="77" customFormat="1" ht="18.75" x14ac:dyDescent="0.3">
      <c r="A2" s="77" t="s">
        <v>1231</v>
      </c>
      <c r="B2" s="77" t="s">
        <v>1232</v>
      </c>
      <c r="C2" s="77" t="s">
        <v>1233</v>
      </c>
    </row>
    <row r="3" spans="1:3" x14ac:dyDescent="0.25">
      <c r="A3" t="s">
        <v>1234</v>
      </c>
    </row>
    <row r="4" spans="1:3" x14ac:dyDescent="0.25">
      <c r="A4" t="s">
        <v>223</v>
      </c>
      <c r="B4" t="s">
        <v>224</v>
      </c>
      <c r="C4" t="s">
        <v>1235</v>
      </c>
    </row>
    <row r="5" spans="1:3" x14ac:dyDescent="0.25">
      <c r="A5" t="s">
        <v>1534</v>
      </c>
      <c r="B5" s="83">
        <v>950212022</v>
      </c>
    </row>
    <row r="6" spans="1:3" x14ac:dyDescent="0.25">
      <c r="A6" t="s">
        <v>1236</v>
      </c>
      <c r="B6" t="s">
        <v>1237</v>
      </c>
      <c r="C6" t="s">
        <v>1238</v>
      </c>
    </row>
    <row r="7" spans="1:3" x14ac:dyDescent="0.25">
      <c r="A7" t="s">
        <v>1239</v>
      </c>
    </row>
    <row r="8" spans="1:3" x14ac:dyDescent="0.25">
      <c r="A8" t="s">
        <v>1106</v>
      </c>
      <c r="B8" t="s">
        <v>1109</v>
      </c>
      <c r="C8" t="s">
        <v>1238</v>
      </c>
    </row>
    <row r="9" spans="1:3" x14ac:dyDescent="0.25">
      <c r="A9" t="s">
        <v>1240</v>
      </c>
    </row>
    <row r="10" spans="1:3" ht="45" x14ac:dyDescent="0.25">
      <c r="A10" t="s">
        <v>1241</v>
      </c>
      <c r="B10" t="s">
        <v>1242</v>
      </c>
      <c r="C10" s="78" t="s">
        <v>1243</v>
      </c>
    </row>
    <row r="11" spans="1:3" ht="30" x14ac:dyDescent="0.25">
      <c r="A11" t="s">
        <v>1241</v>
      </c>
      <c r="B11" t="s">
        <v>224</v>
      </c>
      <c r="C11" s="78" t="s">
        <v>1244</v>
      </c>
    </row>
    <row r="12" spans="1:3" ht="30" x14ac:dyDescent="0.25">
      <c r="A12" t="s">
        <v>1241</v>
      </c>
      <c r="B12" t="s">
        <v>1245</v>
      </c>
      <c r="C12" s="78" t="s">
        <v>1246</v>
      </c>
    </row>
    <row r="13" spans="1:3" ht="75" x14ac:dyDescent="0.25">
      <c r="A13" t="s">
        <v>1241</v>
      </c>
      <c r="B13" t="s">
        <v>1247</v>
      </c>
      <c r="C13" s="78" t="s">
        <v>1248</v>
      </c>
    </row>
    <row r="14" spans="1:3" ht="30" x14ac:dyDescent="0.25">
      <c r="A14" t="s">
        <v>1241</v>
      </c>
      <c r="B14" t="s">
        <v>1249</v>
      </c>
      <c r="C14" s="78" t="s">
        <v>1250</v>
      </c>
    </row>
    <row r="15" spans="1:3" x14ac:dyDescent="0.25">
      <c r="A15" t="s">
        <v>1251</v>
      </c>
    </row>
    <row r="16" spans="1:3" x14ac:dyDescent="0.25">
      <c r="A16" t="s">
        <v>1252</v>
      </c>
    </row>
    <row r="17" spans="1:3" ht="45" x14ac:dyDescent="0.25">
      <c r="A17" t="s">
        <v>1253</v>
      </c>
      <c r="B17" t="s">
        <v>256</v>
      </c>
      <c r="C17" s="78" t="s">
        <v>1254</v>
      </c>
    </row>
    <row r="18" spans="1:3" x14ac:dyDescent="0.25">
      <c r="A18" t="s">
        <v>1253</v>
      </c>
      <c r="B18" t="s">
        <v>1255</v>
      </c>
      <c r="C18" t="s">
        <v>1256</v>
      </c>
    </row>
    <row r="19" spans="1:3" x14ac:dyDescent="0.25">
      <c r="A19" t="s">
        <v>1257</v>
      </c>
    </row>
    <row r="20" spans="1:3" x14ac:dyDescent="0.25">
      <c r="A20" t="s">
        <v>1258</v>
      </c>
    </row>
    <row r="21" spans="1:3" x14ac:dyDescent="0.25">
      <c r="A21" t="s">
        <v>1259</v>
      </c>
      <c r="B21" t="s">
        <v>264</v>
      </c>
      <c r="C21" t="s">
        <v>1238</v>
      </c>
    </row>
    <row r="22" spans="1:3" x14ac:dyDescent="0.25">
      <c r="A22" t="s">
        <v>1260</v>
      </c>
    </row>
    <row r="23" spans="1:3" x14ac:dyDescent="0.25">
      <c r="A23" t="s">
        <v>272</v>
      </c>
      <c r="B23" t="s">
        <v>224</v>
      </c>
      <c r="C23" t="s">
        <v>1235</v>
      </c>
    </row>
    <row r="24" spans="1:3" x14ac:dyDescent="0.25">
      <c r="A24" t="s">
        <v>1261</v>
      </c>
    </row>
    <row r="25" spans="1:3" x14ac:dyDescent="0.25">
      <c r="A25" t="s">
        <v>297</v>
      </c>
      <c r="B25" t="s">
        <v>298</v>
      </c>
      <c r="C25" t="s">
        <v>1238</v>
      </c>
    </row>
    <row r="26" spans="1:3" ht="60" x14ac:dyDescent="0.25">
      <c r="A26" t="s">
        <v>297</v>
      </c>
      <c r="B26" t="s">
        <v>300</v>
      </c>
      <c r="C26" s="78" t="s">
        <v>1262</v>
      </c>
    </row>
    <row r="27" spans="1:3" ht="30" x14ac:dyDescent="0.25">
      <c r="A27" t="s">
        <v>1263</v>
      </c>
      <c r="B27" t="s">
        <v>347</v>
      </c>
      <c r="C27" s="78" t="s">
        <v>1264</v>
      </c>
    </row>
    <row r="28" spans="1:3" ht="45" x14ac:dyDescent="0.25">
      <c r="A28" t="s">
        <v>1263</v>
      </c>
      <c r="B28" t="s">
        <v>1265</v>
      </c>
      <c r="C28" s="78" t="s">
        <v>1266</v>
      </c>
    </row>
    <row r="29" spans="1:3" ht="30" x14ac:dyDescent="0.25">
      <c r="A29" t="s">
        <v>1263</v>
      </c>
      <c r="B29" t="s">
        <v>1267</v>
      </c>
      <c r="C29" s="78" t="s">
        <v>1268</v>
      </c>
    </row>
    <row r="30" spans="1:3" ht="30" x14ac:dyDescent="0.25">
      <c r="A30" t="s">
        <v>1263</v>
      </c>
      <c r="B30" t="s">
        <v>1269</v>
      </c>
      <c r="C30" s="78" t="s">
        <v>1268</v>
      </c>
    </row>
    <row r="31" spans="1:3" ht="30" x14ac:dyDescent="0.25">
      <c r="A31" t="s">
        <v>1263</v>
      </c>
      <c r="B31" t="s">
        <v>1270</v>
      </c>
      <c r="C31" s="78" t="s">
        <v>1268</v>
      </c>
    </row>
    <row r="32" spans="1:3" ht="30" x14ac:dyDescent="0.25">
      <c r="A32" t="s">
        <v>1263</v>
      </c>
      <c r="B32" t="s">
        <v>1271</v>
      </c>
      <c r="C32" s="78" t="s">
        <v>1268</v>
      </c>
    </row>
    <row r="33" spans="1:3" ht="30" x14ac:dyDescent="0.25">
      <c r="A33" t="s">
        <v>1263</v>
      </c>
      <c r="B33" t="s">
        <v>310</v>
      </c>
      <c r="C33" s="78" t="s">
        <v>1272</v>
      </c>
    </row>
    <row r="34" spans="1:3" x14ac:dyDescent="0.25">
      <c r="A34" t="s">
        <v>1273</v>
      </c>
      <c r="B34" t="s">
        <v>355</v>
      </c>
      <c r="C34" t="s">
        <v>1238</v>
      </c>
    </row>
    <row r="35" spans="1:3" x14ac:dyDescent="0.25">
      <c r="A35" t="s">
        <v>1274</v>
      </c>
    </row>
    <row r="36" spans="1:3" x14ac:dyDescent="0.25">
      <c r="A36" t="s">
        <v>128</v>
      </c>
      <c r="B36" t="s">
        <v>360</v>
      </c>
      <c r="C36" t="s">
        <v>1275</v>
      </c>
    </row>
    <row r="37" spans="1:3" x14ac:dyDescent="0.25">
      <c r="A37" t="s">
        <v>1276</v>
      </c>
      <c r="B37" t="s">
        <v>375</v>
      </c>
      <c r="C37" t="s">
        <v>1238</v>
      </c>
    </row>
    <row r="38" spans="1:3" x14ac:dyDescent="0.25">
      <c r="A38" t="s">
        <v>1277</v>
      </c>
    </row>
    <row r="39" spans="1:3" x14ac:dyDescent="0.25">
      <c r="A39" t="s">
        <v>1278</v>
      </c>
      <c r="B39" t="s">
        <v>681</v>
      </c>
      <c r="C39" t="s">
        <v>1238</v>
      </c>
    </row>
    <row r="40" spans="1:3" x14ac:dyDescent="0.25">
      <c r="A40" t="s">
        <v>1279</v>
      </c>
    </row>
    <row r="41" spans="1:3" x14ac:dyDescent="0.25">
      <c r="A41" t="s">
        <v>1280</v>
      </c>
    </row>
    <row r="42" spans="1:3" x14ac:dyDescent="0.25">
      <c r="A42" t="s">
        <v>399</v>
      </c>
    </row>
    <row r="43" spans="1:3" x14ac:dyDescent="0.25">
      <c r="A43" t="s">
        <v>1281</v>
      </c>
      <c r="B43" t="s">
        <v>377</v>
      </c>
      <c r="C43" t="s">
        <v>1238</v>
      </c>
    </row>
    <row r="44" spans="1:3" x14ac:dyDescent="0.25">
      <c r="A44" t="s">
        <v>129</v>
      </c>
      <c r="B44" t="s">
        <v>412</v>
      </c>
      <c r="C44" t="s">
        <v>1238</v>
      </c>
    </row>
    <row r="45" spans="1:3" x14ac:dyDescent="0.25">
      <c r="A45" t="s">
        <v>1282</v>
      </c>
    </row>
    <row r="46" spans="1:3" x14ac:dyDescent="0.25">
      <c r="A46" t="s">
        <v>1283</v>
      </c>
    </row>
    <row r="47" spans="1:3" x14ac:dyDescent="0.25">
      <c r="A47" t="s">
        <v>1284</v>
      </c>
      <c r="B47" t="s">
        <v>224</v>
      </c>
      <c r="C47" t="s">
        <v>1235</v>
      </c>
    </row>
    <row r="48" spans="1:3" x14ac:dyDescent="0.25">
      <c r="A48" t="s">
        <v>1285</v>
      </c>
    </row>
    <row r="49" spans="1:3" x14ac:dyDescent="0.25">
      <c r="A49" t="s">
        <v>1286</v>
      </c>
    </row>
    <row r="50" spans="1:3" x14ac:dyDescent="0.25">
      <c r="A50" t="s">
        <v>1287</v>
      </c>
      <c r="B50" t="s">
        <v>433</v>
      </c>
      <c r="C50" t="s">
        <v>1238</v>
      </c>
    </row>
    <row r="51" spans="1:3" x14ac:dyDescent="0.25">
      <c r="A51" t="s">
        <v>1288</v>
      </c>
    </row>
    <row r="52" spans="1:3" ht="45" x14ac:dyDescent="0.25">
      <c r="A52" t="s">
        <v>1289</v>
      </c>
      <c r="B52" t="s">
        <v>1290</v>
      </c>
      <c r="C52" s="78" t="s">
        <v>1291</v>
      </c>
    </row>
    <row r="53" spans="1:3" ht="45" x14ac:dyDescent="0.25">
      <c r="A53" t="s">
        <v>1289</v>
      </c>
      <c r="B53">
        <v>806252</v>
      </c>
      <c r="C53" s="78" t="s">
        <v>1292</v>
      </c>
    </row>
    <row r="54" spans="1:3" x14ac:dyDescent="0.25">
      <c r="A54" t="s">
        <v>1293</v>
      </c>
    </row>
    <row r="55" spans="1:3" x14ac:dyDescent="0.25">
      <c r="A55" t="s">
        <v>1294</v>
      </c>
    </row>
    <row r="56" spans="1:3" ht="11.25" customHeight="1" x14ac:dyDescent="0.25">
      <c r="A56" t="s">
        <v>1295</v>
      </c>
      <c r="B56" t="s">
        <v>1296</v>
      </c>
      <c r="C56" s="78" t="s">
        <v>1297</v>
      </c>
    </row>
    <row r="57" spans="1:3" x14ac:dyDescent="0.25">
      <c r="A57" t="s">
        <v>1298</v>
      </c>
    </row>
    <row r="58" spans="1:3" x14ac:dyDescent="0.25">
      <c r="A58" t="s">
        <v>1299</v>
      </c>
    </row>
    <row r="59" spans="1:3" x14ac:dyDescent="0.25">
      <c r="A59" t="s">
        <v>1300</v>
      </c>
      <c r="B59" t="s">
        <v>492</v>
      </c>
      <c r="C59" t="s">
        <v>1238</v>
      </c>
    </row>
    <row r="60" spans="1:3" x14ac:dyDescent="0.25">
      <c r="A60" t="s">
        <v>1300</v>
      </c>
      <c r="B60" t="s">
        <v>493</v>
      </c>
      <c r="C60" t="s">
        <v>1301</v>
      </c>
    </row>
    <row r="61" spans="1:3" ht="14.25" customHeight="1" x14ac:dyDescent="0.25">
      <c r="A61" t="s">
        <v>1302</v>
      </c>
      <c r="B61" t="s">
        <v>1303</v>
      </c>
      <c r="C61" s="78" t="s">
        <v>1243</v>
      </c>
    </row>
    <row r="62" spans="1:3" x14ac:dyDescent="0.25">
      <c r="A62" t="s">
        <v>1304</v>
      </c>
    </row>
    <row r="63" spans="1:3" x14ac:dyDescent="0.25">
      <c r="A63" t="s">
        <v>1305</v>
      </c>
    </row>
    <row r="64" spans="1:3" x14ac:dyDescent="0.25">
      <c r="A64" t="s">
        <v>1306</v>
      </c>
      <c r="B64" t="s">
        <v>512</v>
      </c>
      <c r="C64" t="s">
        <v>1238</v>
      </c>
    </row>
    <row r="65" spans="1:3" x14ac:dyDescent="0.25">
      <c r="A65" t="s">
        <v>1307</v>
      </c>
    </row>
    <row r="66" spans="1:3" x14ac:dyDescent="0.25">
      <c r="A66" t="s">
        <v>1308</v>
      </c>
      <c r="B66" t="s">
        <v>517</v>
      </c>
      <c r="C66" t="s">
        <v>1238</v>
      </c>
    </row>
    <row r="67" spans="1:3" x14ac:dyDescent="0.25">
      <c r="A67" t="s">
        <v>1309</v>
      </c>
    </row>
    <row r="68" spans="1:3" x14ac:dyDescent="0.25">
      <c r="A68" t="s">
        <v>1310</v>
      </c>
      <c r="B68" t="s">
        <v>565</v>
      </c>
      <c r="C68" t="s">
        <v>1275</v>
      </c>
    </row>
    <row r="69" spans="1:3" x14ac:dyDescent="0.25">
      <c r="A69" t="s">
        <v>1310</v>
      </c>
      <c r="B69" t="s">
        <v>1311</v>
      </c>
      <c r="C69" t="s">
        <v>1238</v>
      </c>
    </row>
    <row r="70" spans="1:3" ht="17.25" customHeight="1" x14ac:dyDescent="0.25">
      <c r="A70" t="s">
        <v>1310</v>
      </c>
      <c r="B70" t="s">
        <v>1312</v>
      </c>
      <c r="C70" s="78" t="s">
        <v>1313</v>
      </c>
    </row>
    <row r="71" spans="1:3" x14ac:dyDescent="0.25">
      <c r="A71" t="s">
        <v>530</v>
      </c>
      <c r="B71" t="s">
        <v>531</v>
      </c>
      <c r="C71" s="136" t="s">
        <v>1238</v>
      </c>
    </row>
    <row r="72" spans="1:3" x14ac:dyDescent="0.25">
      <c r="A72" t="s">
        <v>1314</v>
      </c>
      <c r="C72" s="136"/>
    </row>
    <row r="73" spans="1:3" x14ac:dyDescent="0.25">
      <c r="A73" t="s">
        <v>1315</v>
      </c>
      <c r="B73" t="s">
        <v>536</v>
      </c>
      <c r="C73" s="136" t="s">
        <v>1238</v>
      </c>
    </row>
    <row r="74" spans="1:3" x14ac:dyDescent="0.25">
      <c r="A74" t="s">
        <v>1316</v>
      </c>
      <c r="C74" s="136"/>
    </row>
    <row r="75" spans="1:3" ht="15" customHeight="1" x14ac:dyDescent="0.25">
      <c r="A75" t="s">
        <v>1673</v>
      </c>
      <c r="B75" t="s">
        <v>557</v>
      </c>
      <c r="C75" s="142" t="s">
        <v>1317</v>
      </c>
    </row>
    <row r="76" spans="1:3" x14ac:dyDescent="0.25">
      <c r="A76" t="s">
        <v>554</v>
      </c>
      <c r="B76" t="s">
        <v>570</v>
      </c>
      <c r="C76" s="136" t="s">
        <v>1275</v>
      </c>
    </row>
    <row r="77" spans="1:3" ht="18" customHeight="1" x14ac:dyDescent="0.25">
      <c r="A77" t="s">
        <v>1673</v>
      </c>
      <c r="B77" t="s">
        <v>1312</v>
      </c>
      <c r="C77" s="136" t="s">
        <v>1318</v>
      </c>
    </row>
    <row r="78" spans="1:3" x14ac:dyDescent="0.25">
      <c r="A78" t="s">
        <v>1319</v>
      </c>
      <c r="B78" t="s">
        <v>1320</v>
      </c>
      <c r="C78" t="s">
        <v>1238</v>
      </c>
    </row>
    <row r="79" spans="1:3" x14ac:dyDescent="0.25">
      <c r="A79" t="s">
        <v>1321</v>
      </c>
    </row>
    <row r="80" spans="1:3" x14ac:dyDescent="0.25">
      <c r="A80" t="s">
        <v>1322</v>
      </c>
    </row>
    <row r="81" spans="1:3" x14ac:dyDescent="0.25">
      <c r="A81" t="s">
        <v>1323</v>
      </c>
    </row>
    <row r="82" spans="1:3" x14ac:dyDescent="0.25">
      <c r="A82" t="s">
        <v>1324</v>
      </c>
      <c r="B82" t="s">
        <v>224</v>
      </c>
      <c r="C82" t="s">
        <v>1325</v>
      </c>
    </row>
    <row r="83" spans="1:3" x14ac:dyDescent="0.25">
      <c r="A83" t="s">
        <v>1326</v>
      </c>
    </row>
    <row r="84" spans="1:3" x14ac:dyDescent="0.25">
      <c r="A84" t="s">
        <v>1327</v>
      </c>
      <c r="B84" t="s">
        <v>625</v>
      </c>
      <c r="C84" t="s">
        <v>1238</v>
      </c>
    </row>
    <row r="85" spans="1:3" x14ac:dyDescent="0.25">
      <c r="A85" t="s">
        <v>1328</v>
      </c>
    </row>
    <row r="86" spans="1:3" x14ac:dyDescent="0.25">
      <c r="A86" t="s">
        <v>1329</v>
      </c>
      <c r="B86" t="s">
        <v>224</v>
      </c>
      <c r="C86" t="s">
        <v>1235</v>
      </c>
    </row>
    <row r="87" spans="1:3" ht="19.5" customHeight="1" x14ac:dyDescent="0.25">
      <c r="A87" t="s">
        <v>144</v>
      </c>
      <c r="B87" t="s">
        <v>646</v>
      </c>
      <c r="C87" s="78" t="s">
        <v>1330</v>
      </c>
    </row>
    <row r="88" spans="1:3" ht="17.25" customHeight="1" x14ac:dyDescent="0.25">
      <c r="A88" t="s">
        <v>144</v>
      </c>
      <c r="B88" t="s">
        <v>642</v>
      </c>
      <c r="C88" s="78" t="s">
        <v>1331</v>
      </c>
    </row>
    <row r="89" spans="1:3" x14ac:dyDescent="0.25">
      <c r="A89" t="s">
        <v>1332</v>
      </c>
    </row>
    <row r="90" spans="1:3" x14ac:dyDescent="0.25">
      <c r="A90" t="s">
        <v>1333</v>
      </c>
      <c r="B90" t="s">
        <v>652</v>
      </c>
      <c r="C90" t="s">
        <v>1238</v>
      </c>
    </row>
    <row r="91" spans="1:3" ht="30" x14ac:dyDescent="0.25">
      <c r="A91" t="s">
        <v>1334</v>
      </c>
      <c r="B91" t="s">
        <v>1335</v>
      </c>
      <c r="C91" s="78" t="s">
        <v>1272</v>
      </c>
    </row>
    <row r="92" spans="1:3" x14ac:dyDescent="0.25">
      <c r="A92" t="s">
        <v>1334</v>
      </c>
      <c r="B92" t="s">
        <v>1255</v>
      </c>
      <c r="C92" t="s">
        <v>1256</v>
      </c>
    </row>
    <row r="93" spans="1:3" x14ac:dyDescent="0.25">
      <c r="A93" t="s">
        <v>1336</v>
      </c>
      <c r="B93" t="s">
        <v>1080</v>
      </c>
      <c r="C93" t="s">
        <v>1238</v>
      </c>
    </row>
    <row r="94" spans="1:3" x14ac:dyDescent="0.25">
      <c r="A94" t="s">
        <v>1337</v>
      </c>
    </row>
    <row r="95" spans="1:3" x14ac:dyDescent="0.25">
      <c r="A95" t="s">
        <v>1338</v>
      </c>
    </row>
    <row r="96" spans="1:3" ht="45" x14ac:dyDescent="0.25">
      <c r="A96" t="s">
        <v>1339</v>
      </c>
      <c r="B96" t="s">
        <v>1340</v>
      </c>
      <c r="C96" s="78" t="s">
        <v>1341</v>
      </c>
    </row>
    <row r="97" spans="1:3" ht="30" x14ac:dyDescent="0.25">
      <c r="A97" t="s">
        <v>1339</v>
      </c>
      <c r="B97" t="s">
        <v>1342</v>
      </c>
      <c r="C97" s="78" t="s">
        <v>1343</v>
      </c>
    </row>
    <row r="98" spans="1:3" ht="30" x14ac:dyDescent="0.25">
      <c r="A98" t="s">
        <v>1339</v>
      </c>
      <c r="B98" t="s">
        <v>684</v>
      </c>
      <c r="C98" s="78" t="s">
        <v>1343</v>
      </c>
    </row>
    <row r="99" spans="1:3" ht="30" x14ac:dyDescent="0.25">
      <c r="A99" t="s">
        <v>1339</v>
      </c>
      <c r="B99" t="s">
        <v>1344</v>
      </c>
      <c r="C99" s="78" t="s">
        <v>1343</v>
      </c>
    </row>
    <row r="100" spans="1:3" ht="30" x14ac:dyDescent="0.25">
      <c r="A100" t="s">
        <v>1339</v>
      </c>
      <c r="B100" t="s">
        <v>1345</v>
      </c>
      <c r="C100" s="78" t="s">
        <v>1343</v>
      </c>
    </row>
    <row r="101" spans="1:3" x14ac:dyDescent="0.25">
      <c r="A101" t="s">
        <v>1346</v>
      </c>
    </row>
    <row r="102" spans="1:3" x14ac:dyDescent="0.25">
      <c r="A102" t="s">
        <v>700</v>
      </c>
    </row>
    <row r="103" spans="1:3" x14ac:dyDescent="0.25">
      <c r="A103" t="s">
        <v>1347</v>
      </c>
      <c r="B103" t="s">
        <v>1348</v>
      </c>
      <c r="C103" t="s">
        <v>1238</v>
      </c>
    </row>
    <row r="104" spans="1:3" x14ac:dyDescent="0.25">
      <c r="A104" t="s">
        <v>1349</v>
      </c>
    </row>
    <row r="105" spans="1:3" x14ac:dyDescent="0.25">
      <c r="A105" t="s">
        <v>1350</v>
      </c>
      <c r="B105" t="s">
        <v>656</v>
      </c>
      <c r="C105" t="s">
        <v>1238</v>
      </c>
    </row>
    <row r="106" spans="1:3" x14ac:dyDescent="0.25">
      <c r="A106" t="s">
        <v>1351</v>
      </c>
    </row>
    <row r="107" spans="1:3" x14ac:dyDescent="0.25">
      <c r="A107" t="s">
        <v>1352</v>
      </c>
    </row>
    <row r="108" spans="1:3" x14ac:dyDescent="0.25">
      <c r="A108" t="s">
        <v>1353</v>
      </c>
      <c r="B108" t="s">
        <v>706</v>
      </c>
      <c r="C108" t="s">
        <v>1238</v>
      </c>
    </row>
    <row r="109" spans="1:3" x14ac:dyDescent="0.25">
      <c r="A109" t="s">
        <v>1354</v>
      </c>
    </row>
    <row r="110" spans="1:3" x14ac:dyDescent="0.25">
      <c r="A110" t="s">
        <v>1355</v>
      </c>
    </row>
    <row r="111" spans="1:3" x14ac:dyDescent="0.25">
      <c r="A111" t="s">
        <v>1356</v>
      </c>
    </row>
    <row r="112" spans="1:3" ht="30" x14ac:dyDescent="0.25">
      <c r="A112" t="s">
        <v>1357</v>
      </c>
      <c r="B112" t="s">
        <v>722</v>
      </c>
      <c r="C112" s="78" t="s">
        <v>1246</v>
      </c>
    </row>
    <row r="113" spans="1:3" ht="45" x14ac:dyDescent="0.25">
      <c r="A113" t="s">
        <v>1357</v>
      </c>
      <c r="B113" t="s">
        <v>729</v>
      </c>
      <c r="C113" s="78" t="s">
        <v>1266</v>
      </c>
    </row>
    <row r="114" spans="1:3" ht="30" x14ac:dyDescent="0.25">
      <c r="A114" t="s">
        <v>1358</v>
      </c>
      <c r="B114" t="s">
        <v>1359</v>
      </c>
      <c r="C114" s="78" t="s">
        <v>1360</v>
      </c>
    </row>
    <row r="115" spans="1:3" x14ac:dyDescent="0.25">
      <c r="A115" t="s">
        <v>1361</v>
      </c>
      <c r="B115" t="s">
        <v>1362</v>
      </c>
      <c r="C115" t="s">
        <v>1363</v>
      </c>
    </row>
    <row r="116" spans="1:3" x14ac:dyDescent="0.25">
      <c r="A116" t="s">
        <v>1361</v>
      </c>
      <c r="B116" t="s">
        <v>1364</v>
      </c>
      <c r="C116" t="s">
        <v>1238</v>
      </c>
    </row>
    <row r="117" spans="1:3" x14ac:dyDescent="0.25">
      <c r="A117" t="s">
        <v>1365</v>
      </c>
      <c r="B117" t="s">
        <v>800</v>
      </c>
      <c r="C117" t="s">
        <v>1238</v>
      </c>
    </row>
    <row r="118" spans="1:3" x14ac:dyDescent="0.25">
      <c r="A118" t="s">
        <v>1366</v>
      </c>
    </row>
    <row r="119" spans="1:3" x14ac:dyDescent="0.25">
      <c r="A119" t="s">
        <v>1367</v>
      </c>
    </row>
    <row r="120" spans="1:3" x14ac:dyDescent="0.25">
      <c r="A120" t="s">
        <v>1368</v>
      </c>
    </row>
    <row r="121" spans="1:3" x14ac:dyDescent="0.25">
      <c r="A121" t="s">
        <v>1369</v>
      </c>
    </row>
    <row r="122" spans="1:3" x14ac:dyDescent="0.25">
      <c r="A122" t="s">
        <v>1370</v>
      </c>
    </row>
    <row r="123" spans="1:3" x14ac:dyDescent="0.25">
      <c r="A123" t="s">
        <v>1371</v>
      </c>
      <c r="B123" t="s">
        <v>829</v>
      </c>
      <c r="C123" t="s">
        <v>1238</v>
      </c>
    </row>
    <row r="124" spans="1:3" ht="60" x14ac:dyDescent="0.25">
      <c r="A124" t="s">
        <v>1372</v>
      </c>
      <c r="B124" t="s">
        <v>852</v>
      </c>
      <c r="C124" s="78" t="s">
        <v>1330</v>
      </c>
    </row>
    <row r="125" spans="1:3" ht="30" x14ac:dyDescent="0.25">
      <c r="A125" t="s">
        <v>1372</v>
      </c>
      <c r="B125" t="s">
        <v>846</v>
      </c>
      <c r="C125" s="78" t="s">
        <v>1373</v>
      </c>
    </row>
    <row r="126" spans="1:3" x14ac:dyDescent="0.25">
      <c r="A126" t="s">
        <v>1374</v>
      </c>
    </row>
    <row r="127" spans="1:3" x14ac:dyDescent="0.25">
      <c r="A127" t="s">
        <v>1375</v>
      </c>
    </row>
    <row r="128" spans="1:3" ht="30" x14ac:dyDescent="0.25">
      <c r="A128" t="s">
        <v>1376</v>
      </c>
      <c r="B128" t="s">
        <v>888</v>
      </c>
      <c r="C128" s="78" t="s">
        <v>1377</v>
      </c>
    </row>
    <row r="129" spans="1:3" x14ac:dyDescent="0.25">
      <c r="A129" t="s">
        <v>1378</v>
      </c>
      <c r="B129" t="s">
        <v>1379</v>
      </c>
      <c r="C129" t="s">
        <v>1380</v>
      </c>
    </row>
    <row r="130" spans="1:3" x14ac:dyDescent="0.25">
      <c r="A130" t="s">
        <v>1381</v>
      </c>
    </row>
    <row r="131" spans="1:3" x14ac:dyDescent="0.25">
      <c r="A131" t="s">
        <v>1382</v>
      </c>
    </row>
    <row r="132" spans="1:3" x14ac:dyDescent="0.25">
      <c r="A132" t="s">
        <v>1383</v>
      </c>
    </row>
    <row r="133" spans="1:3" x14ac:dyDescent="0.25">
      <c r="A133" t="s">
        <v>1384</v>
      </c>
    </row>
    <row r="134" spans="1:3" x14ac:dyDescent="0.25">
      <c r="A134" t="s">
        <v>1385</v>
      </c>
      <c r="B134" t="s">
        <v>935</v>
      </c>
      <c r="C134" t="s">
        <v>1238</v>
      </c>
    </row>
    <row r="135" spans="1:3" x14ac:dyDescent="0.25">
      <c r="A135" t="s">
        <v>1386</v>
      </c>
      <c r="B135" t="s">
        <v>1387</v>
      </c>
      <c r="C135" t="s">
        <v>1238</v>
      </c>
    </row>
    <row r="136" spans="1:3" x14ac:dyDescent="0.25">
      <c r="A136" t="s">
        <v>1388</v>
      </c>
    </row>
    <row r="137" spans="1:3" x14ac:dyDescent="0.25">
      <c r="A137" t="s">
        <v>1389</v>
      </c>
    </row>
    <row r="138" spans="1:3" x14ac:dyDescent="0.25">
      <c r="A138" t="s">
        <v>1390</v>
      </c>
    </row>
    <row r="139" spans="1:3" x14ac:dyDescent="0.25">
      <c r="A139" t="s">
        <v>1391</v>
      </c>
    </row>
    <row r="140" spans="1:3" x14ac:dyDescent="0.25">
      <c r="A140" t="s">
        <v>1392</v>
      </c>
    </row>
    <row r="141" spans="1:3" x14ac:dyDescent="0.25">
      <c r="A141" t="s">
        <v>1393</v>
      </c>
      <c r="B141" t="s">
        <v>965</v>
      </c>
      <c r="C141" t="s">
        <v>1275</v>
      </c>
    </row>
    <row r="142" spans="1:3" x14ac:dyDescent="0.25">
      <c r="A142" t="s">
        <v>1393</v>
      </c>
      <c r="B142" t="s">
        <v>442</v>
      </c>
      <c r="C142" t="s">
        <v>1275</v>
      </c>
    </row>
    <row r="143" spans="1:3" x14ac:dyDescent="0.25">
      <c r="A143" t="s">
        <v>1394</v>
      </c>
      <c r="B143" t="s">
        <v>982</v>
      </c>
      <c r="C143" t="s">
        <v>1238</v>
      </c>
    </row>
    <row r="144" spans="1:3" x14ac:dyDescent="0.25">
      <c r="A144" t="s">
        <v>1395</v>
      </c>
      <c r="B144" t="s">
        <v>986</v>
      </c>
      <c r="C144" t="s">
        <v>1238</v>
      </c>
    </row>
    <row r="145" spans="1:3" x14ac:dyDescent="0.25">
      <c r="A145" t="s">
        <v>1396</v>
      </c>
    </row>
    <row r="146" spans="1:3" x14ac:dyDescent="0.25">
      <c r="A146" t="s">
        <v>1397</v>
      </c>
    </row>
    <row r="147" spans="1:3" x14ac:dyDescent="0.25">
      <c r="A147" t="s">
        <v>1398</v>
      </c>
      <c r="B147" t="s">
        <v>1399</v>
      </c>
      <c r="C147" t="s">
        <v>1238</v>
      </c>
    </row>
    <row r="148" spans="1:3" x14ac:dyDescent="0.25">
      <c r="A148" t="s">
        <v>1400</v>
      </c>
    </row>
    <row r="149" spans="1:3" x14ac:dyDescent="0.25">
      <c r="A149" t="s">
        <v>1401</v>
      </c>
      <c r="B149" t="s">
        <v>1012</v>
      </c>
      <c r="C149" t="s">
        <v>1238</v>
      </c>
    </row>
    <row r="150" spans="1:3" x14ac:dyDescent="0.25">
      <c r="A150" t="s">
        <v>1402</v>
      </c>
    </row>
    <row r="151" spans="1:3" x14ac:dyDescent="0.25">
      <c r="A151" t="s">
        <v>1403</v>
      </c>
    </row>
    <row r="152" spans="1:3" x14ac:dyDescent="0.25">
      <c r="A152" t="s">
        <v>1404</v>
      </c>
      <c r="B152" t="s">
        <v>224</v>
      </c>
      <c r="C152" t="s">
        <v>1235</v>
      </c>
    </row>
    <row r="153" spans="1:3" x14ac:dyDescent="0.25">
      <c r="A153" t="s">
        <v>1405</v>
      </c>
      <c r="B153" t="s">
        <v>1029</v>
      </c>
      <c r="C153" t="s">
        <v>1238</v>
      </c>
    </row>
    <row r="154" spans="1:3" x14ac:dyDescent="0.25">
      <c r="A154" t="s">
        <v>1406</v>
      </c>
    </row>
    <row r="155" spans="1:3" x14ac:dyDescent="0.25">
      <c r="A155" t="s">
        <v>1407</v>
      </c>
      <c r="B155" t="s">
        <v>1037</v>
      </c>
      <c r="C155" t="s">
        <v>1238</v>
      </c>
    </row>
    <row r="156" spans="1:3" x14ac:dyDescent="0.25">
      <c r="A156" t="s">
        <v>1408</v>
      </c>
    </row>
    <row r="157" spans="1:3" x14ac:dyDescent="0.25">
      <c r="A157" t="s">
        <v>1409</v>
      </c>
      <c r="B157" t="s">
        <v>1056</v>
      </c>
      <c r="C157" t="s">
        <v>1238</v>
      </c>
    </row>
    <row r="158" spans="1:3" x14ac:dyDescent="0.25">
      <c r="A158" t="s">
        <v>1410</v>
      </c>
      <c r="B158" t="s">
        <v>1079</v>
      </c>
      <c r="C158" t="s">
        <v>1411</v>
      </c>
    </row>
    <row r="159" spans="1:3" x14ac:dyDescent="0.25">
      <c r="A159" t="s">
        <v>1410</v>
      </c>
      <c r="B159" t="s">
        <v>1080</v>
      </c>
      <c r="C159" t="s">
        <v>1238</v>
      </c>
    </row>
    <row r="160" spans="1:3" x14ac:dyDescent="0.25">
      <c r="A160" t="s">
        <v>1412</v>
      </c>
    </row>
    <row r="161" spans="1:3" x14ac:dyDescent="0.25">
      <c r="A161" t="s">
        <v>1413</v>
      </c>
      <c r="B161" t="s">
        <v>1414</v>
      </c>
      <c r="C161" t="s">
        <v>1238</v>
      </c>
    </row>
    <row r="162" spans="1:3" x14ac:dyDescent="0.25">
      <c r="A162" t="s">
        <v>1415</v>
      </c>
    </row>
    <row r="163" spans="1:3" x14ac:dyDescent="0.25">
      <c r="A163" t="s">
        <v>1416</v>
      </c>
    </row>
    <row r="164" spans="1:3" x14ac:dyDescent="0.25">
      <c r="A164" t="s">
        <v>1417</v>
      </c>
      <c r="B164" t="s">
        <v>224</v>
      </c>
      <c r="C164" t="s">
        <v>1235</v>
      </c>
    </row>
    <row r="165" spans="1:3" x14ac:dyDescent="0.25">
      <c r="A165" t="s">
        <v>1418</v>
      </c>
      <c r="B165" t="s">
        <v>1419</v>
      </c>
      <c r="C165" t="s">
        <v>1420</v>
      </c>
    </row>
    <row r="166" spans="1:3" ht="21" customHeight="1" x14ac:dyDescent="0.25">
      <c r="A166" t="s">
        <v>1421</v>
      </c>
      <c r="B166" t="s">
        <v>1118</v>
      </c>
      <c r="C166" s="78" t="s">
        <v>1422</v>
      </c>
    </row>
    <row r="167" spans="1:3" ht="30" x14ac:dyDescent="0.25">
      <c r="A167" t="s">
        <v>1423</v>
      </c>
      <c r="B167" t="s">
        <v>1424</v>
      </c>
      <c r="C167" s="78" t="s">
        <v>1425</v>
      </c>
    </row>
    <row r="168" spans="1:3" ht="30" x14ac:dyDescent="0.25">
      <c r="A168" t="s">
        <v>1423</v>
      </c>
      <c r="B168" t="s">
        <v>1426</v>
      </c>
      <c r="C168" s="78" t="s">
        <v>1427</v>
      </c>
    </row>
    <row r="169" spans="1:3" ht="60" x14ac:dyDescent="0.25">
      <c r="A169" t="s">
        <v>1423</v>
      </c>
      <c r="B169" t="s">
        <v>1428</v>
      </c>
      <c r="C169" s="78" t="s">
        <v>1330</v>
      </c>
    </row>
    <row r="170" spans="1:3" ht="45" x14ac:dyDescent="0.25">
      <c r="A170" t="s">
        <v>8</v>
      </c>
      <c r="B170" t="s">
        <v>1150</v>
      </c>
      <c r="C170" s="78" t="s">
        <v>1266</v>
      </c>
    </row>
    <row r="171" spans="1:3" ht="45" x14ac:dyDescent="0.25">
      <c r="A171" t="s">
        <v>8</v>
      </c>
      <c r="B171" t="s">
        <v>1146</v>
      </c>
      <c r="C171" s="78" t="s">
        <v>1429</v>
      </c>
    </row>
  </sheetData>
  <customSheetViews>
    <customSheetView guid="{EF60762C-634B-4E37-9575-37987277FB5D}" topLeftCell="A55">
      <selection activeCell="A60" sqref="A60"/>
      <pageMargins left="0.7" right="0.7" top="0.78749999999999998" bottom="0.78749999999999998" header="0.51180555555555496" footer="0.51180555555555496"/>
      <pageSetup paperSize="9" firstPageNumber="0" orientation="portrait" horizontalDpi="300" verticalDpi="300"/>
    </customSheetView>
    <customSheetView guid="{BCD1B658-489F-4064-A696-D5FA21A794F2}" topLeftCell="A49">
      <selection activeCell="A60" sqref="A60"/>
      <pageMargins left="0.7" right="0.7" top="0.78749999999999998" bottom="0.78749999999999998" header="0.51180555555555496" footer="0.51180555555555496"/>
      <pageSetup paperSize="9" firstPageNumber="0" orientation="portrait" horizontalDpi="300" verticalDpi="300"/>
    </customSheetView>
    <customSheetView guid="{B17FADA9-6408-445B-BA12-02AB62834AE3}" showPageBreaks="1" topLeftCell="A43">
      <selection activeCell="B53" sqref="B53"/>
      <pageMargins left="0.7" right="0.7" top="0.78749999999999998" bottom="0.78749999999999998" header="0.51180555555555496" footer="0.51180555555555496"/>
      <pageSetup paperSize="9" firstPageNumber="0" orientation="portrait" horizontalDpi="300" verticalDpi="300" r:id="rId1"/>
    </customSheetView>
    <customSheetView guid="{3306A449-89C6-46B4-ABF7-658F003FF274}" topLeftCell="A55">
      <selection activeCell="A60" sqref="A60"/>
      <pageMargins left="0.7" right="0.7" top="0.78749999999999998" bottom="0.78749999999999998" header="0.51180555555555496" footer="0.51180555555555496"/>
      <pageSetup paperSize="9" firstPageNumber="0" orientation="portrait" horizontalDpi="300" verticalDpi="300"/>
    </customSheetView>
  </customSheetViews>
  <pageMargins left="0.7" right="0.7" top="0.78749999999999998" bottom="0.78749999999999998"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zoomScaleNormal="100" workbookViewId="0">
      <selection activeCell="C24" sqref="C24"/>
    </sheetView>
  </sheetViews>
  <sheetFormatPr baseColWidth="10" defaultColWidth="8.5703125" defaultRowHeight="15" x14ac:dyDescent="0.25"/>
  <cols>
    <col min="1" max="1" width="18" customWidth="1"/>
    <col min="2" max="2" width="30.5703125" customWidth="1"/>
    <col min="3" max="3" width="44.42578125" customWidth="1"/>
    <col min="4" max="1025" width="11" customWidth="1"/>
  </cols>
  <sheetData>
    <row r="1" spans="1:3" ht="15.75" x14ac:dyDescent="0.25">
      <c r="A1" s="79" t="s">
        <v>1430</v>
      </c>
      <c r="B1" s="79" t="s">
        <v>1431</v>
      </c>
      <c r="C1" s="79" t="s">
        <v>1432</v>
      </c>
    </row>
    <row r="2" spans="1:3" ht="15.75" x14ac:dyDescent="0.25">
      <c r="A2" s="80" t="s">
        <v>1433</v>
      </c>
      <c r="B2" s="80" t="s">
        <v>1434</v>
      </c>
      <c r="C2" s="80" t="s">
        <v>1435</v>
      </c>
    </row>
    <row r="3" spans="1:3" ht="15.75" x14ac:dyDescent="0.25">
      <c r="A3" s="80" t="s">
        <v>1436</v>
      </c>
      <c r="B3" s="80" t="s">
        <v>1437</v>
      </c>
      <c r="C3" s="80" t="s">
        <v>364</v>
      </c>
    </row>
    <row r="4" spans="1:3" ht="31.5" x14ac:dyDescent="0.25">
      <c r="A4" s="80" t="s">
        <v>1438</v>
      </c>
      <c r="B4" s="80" t="s">
        <v>1439</v>
      </c>
      <c r="C4" s="80" t="s">
        <v>1440</v>
      </c>
    </row>
    <row r="5" spans="1:3" ht="15.75" x14ac:dyDescent="0.25">
      <c r="A5" s="80" t="s">
        <v>1441</v>
      </c>
      <c r="B5" s="80" t="s">
        <v>295</v>
      </c>
      <c r="C5" s="80" t="s">
        <v>299</v>
      </c>
    </row>
    <row r="6" spans="1:3" ht="15.75" x14ac:dyDescent="0.25">
      <c r="A6" s="80" t="s">
        <v>1442</v>
      </c>
      <c r="B6" s="80" t="s">
        <v>1443</v>
      </c>
      <c r="C6" s="80" t="s">
        <v>1444</v>
      </c>
    </row>
    <row r="7" spans="1:3" ht="15.75" x14ac:dyDescent="0.25">
      <c r="A7" s="80" t="s">
        <v>1445</v>
      </c>
      <c r="B7" s="80" t="s">
        <v>1446</v>
      </c>
      <c r="C7" s="80" t="s">
        <v>356</v>
      </c>
    </row>
    <row r="8" spans="1:3" ht="15.75" x14ac:dyDescent="0.25">
      <c r="A8" s="80" t="s">
        <v>1447</v>
      </c>
      <c r="B8" s="80" t="s">
        <v>1448</v>
      </c>
      <c r="C8" s="80" t="s">
        <v>1449</v>
      </c>
    </row>
    <row r="9" spans="1:3" ht="15.75" x14ac:dyDescent="0.25">
      <c r="A9" s="80" t="s">
        <v>1450</v>
      </c>
      <c r="B9" s="80" t="s">
        <v>1276</v>
      </c>
      <c r="C9" s="80" t="s">
        <v>1451</v>
      </c>
    </row>
    <row r="10" spans="1:3" ht="31.5" x14ac:dyDescent="0.25">
      <c r="A10" s="80" t="s">
        <v>1452</v>
      </c>
      <c r="B10" s="80" t="s">
        <v>1453</v>
      </c>
      <c r="C10" s="80" t="s">
        <v>1454</v>
      </c>
    </row>
    <row r="11" spans="1:3" ht="47.25" x14ac:dyDescent="0.25">
      <c r="A11" s="80" t="s">
        <v>1455</v>
      </c>
      <c r="B11" s="80" t="s">
        <v>1456</v>
      </c>
      <c r="C11" s="80" t="s">
        <v>1457</v>
      </c>
    </row>
    <row r="12" spans="1:3" ht="15.75" x14ac:dyDescent="0.25">
      <c r="A12" s="80" t="s">
        <v>1458</v>
      </c>
      <c r="B12" s="80" t="s">
        <v>1459</v>
      </c>
      <c r="C12" s="80" t="s">
        <v>493</v>
      </c>
    </row>
    <row r="13" spans="1:3" ht="31.5" x14ac:dyDescent="0.25">
      <c r="A13" s="80" t="s">
        <v>1460</v>
      </c>
      <c r="B13" s="80" t="s">
        <v>1461</v>
      </c>
      <c r="C13" s="80" t="s">
        <v>1462</v>
      </c>
    </row>
    <row r="14" spans="1:3" ht="15.75" x14ac:dyDescent="0.25">
      <c r="A14" s="80" t="s">
        <v>1463</v>
      </c>
      <c r="B14" s="80" t="s">
        <v>1464</v>
      </c>
      <c r="C14" s="80" t="s">
        <v>1146</v>
      </c>
    </row>
    <row r="15" spans="1:3" ht="15.75" x14ac:dyDescent="0.25">
      <c r="A15" s="80" t="s">
        <v>1465</v>
      </c>
      <c r="B15" s="80" t="s">
        <v>540</v>
      </c>
      <c r="C15" s="80" t="s">
        <v>1466</v>
      </c>
    </row>
    <row r="16" spans="1:3" ht="15.75" x14ac:dyDescent="0.25">
      <c r="A16" s="80" t="s">
        <v>1467</v>
      </c>
      <c r="B16" s="80" t="s">
        <v>1468</v>
      </c>
      <c r="C16" s="80" t="s">
        <v>1469</v>
      </c>
    </row>
    <row r="17" spans="1:3" ht="31.5" x14ac:dyDescent="0.25">
      <c r="A17" s="80" t="s">
        <v>1470</v>
      </c>
      <c r="B17" s="80" t="s">
        <v>1471</v>
      </c>
      <c r="C17" s="80" t="s">
        <v>1472</v>
      </c>
    </row>
    <row r="18" spans="1:3" ht="15.75" x14ac:dyDescent="0.25">
      <c r="A18" s="80" t="s">
        <v>1473</v>
      </c>
      <c r="B18" s="80" t="s">
        <v>1474</v>
      </c>
      <c r="C18" s="80" t="s">
        <v>936</v>
      </c>
    </row>
    <row r="19" spans="1:3" ht="15.75" x14ac:dyDescent="0.25">
      <c r="A19" s="80" t="s">
        <v>1475</v>
      </c>
      <c r="B19" s="80" t="s">
        <v>1476</v>
      </c>
      <c r="C19" s="80" t="s">
        <v>1477</v>
      </c>
    </row>
    <row r="20" spans="1:3" ht="31.5" x14ac:dyDescent="0.25">
      <c r="A20" s="80" t="s">
        <v>1478</v>
      </c>
      <c r="B20" s="80" t="s">
        <v>1479</v>
      </c>
      <c r="C20" s="80" t="s">
        <v>1480</v>
      </c>
    </row>
    <row r="21" spans="1:3" ht="15.75" x14ac:dyDescent="0.25">
      <c r="A21" s="80" t="s">
        <v>1481</v>
      </c>
      <c r="B21" s="80" t="s">
        <v>1482</v>
      </c>
      <c r="C21" s="80" t="s">
        <v>647</v>
      </c>
    </row>
    <row r="22" spans="1:3" ht="15.75" x14ac:dyDescent="0.25">
      <c r="A22" s="80" t="s">
        <v>1483</v>
      </c>
      <c r="B22" s="80" t="s">
        <v>1484</v>
      </c>
      <c r="C22" s="80" t="s">
        <v>1485</v>
      </c>
    </row>
    <row r="23" spans="1:3" ht="15.75" x14ac:dyDescent="0.25">
      <c r="A23" s="80" t="s">
        <v>152</v>
      </c>
      <c r="B23" s="80" t="s">
        <v>1486</v>
      </c>
      <c r="C23" s="80" t="s">
        <v>657</v>
      </c>
    </row>
    <row r="24" spans="1:3" ht="15.75" x14ac:dyDescent="0.25">
      <c r="A24" s="80" t="s">
        <v>1487</v>
      </c>
      <c r="B24" s="80" t="s">
        <v>1488</v>
      </c>
      <c r="C24" s="80" t="s">
        <v>936</v>
      </c>
    </row>
    <row r="25" spans="1:3" ht="15.75" x14ac:dyDescent="0.25">
      <c r="A25" s="80" t="s">
        <v>1489</v>
      </c>
      <c r="B25" s="80" t="s">
        <v>1490</v>
      </c>
      <c r="C25" s="80" t="s">
        <v>730</v>
      </c>
    </row>
    <row r="26" spans="1:3" ht="15.75" x14ac:dyDescent="0.25">
      <c r="A26" s="80" t="s">
        <v>1491</v>
      </c>
      <c r="B26" s="80" t="s">
        <v>1361</v>
      </c>
      <c r="C26" s="80" t="s">
        <v>772</v>
      </c>
    </row>
    <row r="27" spans="1:3" ht="15.75" x14ac:dyDescent="0.25">
      <c r="A27" s="80" t="s">
        <v>1492</v>
      </c>
      <c r="B27" s="80" t="s">
        <v>1493</v>
      </c>
      <c r="C27" s="80" t="s">
        <v>1494</v>
      </c>
    </row>
    <row r="28" spans="1:3" ht="47.25" x14ac:dyDescent="0.25">
      <c r="A28" s="80" t="s">
        <v>1495</v>
      </c>
      <c r="B28" s="80" t="s">
        <v>1496</v>
      </c>
      <c r="C28" s="80" t="s">
        <v>936</v>
      </c>
    </row>
    <row r="29" spans="1:3" ht="15.75" x14ac:dyDescent="0.25">
      <c r="A29" s="80" t="s">
        <v>1497</v>
      </c>
      <c r="B29" s="80" t="s">
        <v>1498</v>
      </c>
      <c r="C29" s="80" t="s">
        <v>936</v>
      </c>
    </row>
    <row r="30" spans="1:3" ht="15.75" x14ac:dyDescent="0.25">
      <c r="A30" s="80" t="s">
        <v>1499</v>
      </c>
      <c r="B30" s="80" t="s">
        <v>1500</v>
      </c>
      <c r="C30" s="80" t="s">
        <v>940</v>
      </c>
    </row>
    <row r="31" spans="1:3" ht="31.5" x14ac:dyDescent="0.25">
      <c r="A31" s="80" t="s">
        <v>45</v>
      </c>
      <c r="B31" s="80" t="s">
        <v>1501</v>
      </c>
      <c r="C31" s="80" t="s">
        <v>1502</v>
      </c>
    </row>
    <row r="32" spans="1:3" ht="31.5" x14ac:dyDescent="0.25">
      <c r="A32" s="80" t="s">
        <v>1503</v>
      </c>
      <c r="B32" s="80" t="s">
        <v>1504</v>
      </c>
      <c r="C32" s="80" t="s">
        <v>1030</v>
      </c>
    </row>
    <row r="33" spans="1:3" ht="31.5" x14ac:dyDescent="0.25">
      <c r="A33" s="80" t="s">
        <v>20</v>
      </c>
      <c r="B33" s="80" t="s">
        <v>1505</v>
      </c>
      <c r="C33" s="80" t="s">
        <v>1081</v>
      </c>
    </row>
    <row r="34" spans="1:3" ht="31.5" x14ac:dyDescent="0.25">
      <c r="A34" s="80" t="s">
        <v>1506</v>
      </c>
      <c r="B34" s="80" t="s">
        <v>1507</v>
      </c>
      <c r="C34" s="80" t="s">
        <v>1119</v>
      </c>
    </row>
    <row r="35" spans="1:3" ht="15.75" x14ac:dyDescent="0.25">
      <c r="A35" s="80" t="s">
        <v>1508</v>
      </c>
      <c r="B35" s="80" t="s">
        <v>1509</v>
      </c>
      <c r="C35" s="80" t="s">
        <v>1119</v>
      </c>
    </row>
    <row r="36" spans="1:3" ht="31.5" x14ac:dyDescent="0.25">
      <c r="A36" s="80" t="s">
        <v>1510</v>
      </c>
      <c r="B36" s="80" t="s">
        <v>1423</v>
      </c>
      <c r="C36" s="80" t="s">
        <v>1511</v>
      </c>
    </row>
    <row r="37" spans="1:3" ht="15.75" x14ac:dyDescent="0.25">
      <c r="A37" s="80" t="s">
        <v>1512</v>
      </c>
      <c r="B37" s="80" t="s">
        <v>1513</v>
      </c>
      <c r="C37" s="80" t="s">
        <v>1514</v>
      </c>
    </row>
    <row r="38" spans="1:3" ht="31.5" x14ac:dyDescent="0.25">
      <c r="A38" s="80" t="s">
        <v>1515</v>
      </c>
      <c r="B38" s="80" t="s">
        <v>1516</v>
      </c>
      <c r="C38" s="80" t="s">
        <v>1517</v>
      </c>
    </row>
    <row r="39" spans="1:3" ht="31.5" x14ac:dyDescent="0.25">
      <c r="A39" s="80" t="s">
        <v>1518</v>
      </c>
      <c r="B39" s="80" t="s">
        <v>1519</v>
      </c>
      <c r="C39" s="80" t="s">
        <v>1520</v>
      </c>
    </row>
  </sheetData>
  <customSheetViews>
    <customSheetView guid="{EF60762C-634B-4E37-9575-37987277FB5D}">
      <selection activeCell="C24" sqref="C24"/>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Roman,Standard"&amp;12&amp;A</oddHeader>
        <oddFooter>&amp;C&amp;"Times New Roman,Standard"&amp;12Seite &amp;P</oddFooter>
      </headerFooter>
    </customSheetView>
    <customSheetView guid="{BCD1B658-489F-4064-A696-D5FA21A794F2}">
      <selection activeCell="C24" sqref="C24"/>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Roman,Standard"&amp;12&amp;A</oddHeader>
        <oddFooter>&amp;C&amp;"Times New Roman,Standard"&amp;12Seite &amp;P</oddFooter>
      </headerFooter>
    </customSheetView>
    <customSheetView guid="{B17FADA9-6408-445B-BA12-02AB62834AE3}" showPageBreaks="1">
      <selection activeCell="C24" sqref="C24"/>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Roman,Standard"&amp;12&amp;A</oddHeader>
        <oddFooter>&amp;C&amp;"Times New Roman,Standard"&amp;12Seite &amp;P</oddFooter>
      </headerFooter>
    </customSheetView>
    <customSheetView guid="{3306A449-89C6-46B4-ABF7-658F003FF274}">
      <selection activeCell="C24" sqref="C24"/>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Roman,Standard"&amp;12&amp;A</oddHeader>
        <oddFooter>&amp;C&amp;"Times New Roman,Standard"&amp;12Seite &amp;P</oddFooter>
      </headerFooter>
    </customSheetView>
  </customSheetView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Roman,Standard"&amp;12&amp;A</oddHeader>
    <oddFooter>&amp;C&amp;"Times New Roman,Standard"&amp;12Seite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8080"/>
  </sheetPr>
  <dimension ref="A1:G128"/>
  <sheetViews>
    <sheetView zoomScaleNormal="100" workbookViewId="0">
      <pane xSplit="1" ySplit="3" topLeftCell="B90" activePane="bottomRight" state="frozen"/>
      <selection pane="topRight" activeCell="B1" sqref="B1"/>
      <selection pane="bottomLeft" activeCell="A4" sqref="A4"/>
      <selection pane="bottomRight" activeCell="D128" sqref="D128"/>
    </sheetView>
  </sheetViews>
  <sheetFormatPr baseColWidth="10" defaultRowHeight="15" x14ac:dyDescent="0.25"/>
  <cols>
    <col min="1" max="1" width="25.28515625" customWidth="1"/>
    <col min="2" max="2" width="21" customWidth="1"/>
    <col min="3" max="3" width="16.28515625" style="143" customWidth="1"/>
    <col min="4" max="4" width="19.5703125" style="144" customWidth="1"/>
    <col min="5" max="5" width="25.7109375" style="118" bestFit="1" customWidth="1"/>
    <col min="6" max="6" width="26.85546875" style="144" customWidth="1"/>
    <col min="7" max="7" width="42.42578125" style="118" customWidth="1"/>
  </cols>
  <sheetData>
    <row r="1" spans="1:7" x14ac:dyDescent="0.25">
      <c r="A1" t="s">
        <v>1678</v>
      </c>
    </row>
    <row r="2" spans="1:7" ht="15.75" thickBot="1" x14ac:dyDescent="0.3"/>
    <row r="3" spans="1:7" ht="15.75" thickBot="1" x14ac:dyDescent="0.3">
      <c r="A3" s="145" t="s">
        <v>97</v>
      </c>
      <c r="B3" s="145" t="s">
        <v>1679</v>
      </c>
      <c r="C3" s="146" t="s">
        <v>1680</v>
      </c>
      <c r="D3" s="147" t="s">
        <v>1681</v>
      </c>
      <c r="E3" s="148" t="s">
        <v>71</v>
      </c>
      <c r="F3" s="147" t="s">
        <v>191</v>
      </c>
      <c r="G3" s="148" t="s">
        <v>1682</v>
      </c>
    </row>
    <row r="4" spans="1:7" x14ac:dyDescent="0.25">
      <c r="A4" s="149"/>
      <c r="B4" s="150"/>
      <c r="C4" s="151"/>
      <c r="D4" s="152"/>
      <c r="E4" s="153"/>
      <c r="F4" s="152"/>
      <c r="G4" s="153"/>
    </row>
    <row r="5" spans="1:7" x14ac:dyDescent="0.25">
      <c r="A5" s="154" t="s">
        <v>1683</v>
      </c>
      <c r="B5" s="155"/>
      <c r="C5" s="156"/>
      <c r="E5" s="157">
        <v>36809</v>
      </c>
      <c r="F5" s="144" t="s">
        <v>1684</v>
      </c>
      <c r="G5" s="158" t="s">
        <v>1685</v>
      </c>
    </row>
    <row r="6" spans="1:7" x14ac:dyDescent="0.25">
      <c r="A6" s="159"/>
      <c r="B6" s="155"/>
      <c r="C6" s="156"/>
      <c r="E6" s="157"/>
      <c r="G6" s="158"/>
    </row>
    <row r="7" spans="1:7" ht="15.75" thickBot="1" x14ac:dyDescent="0.3">
      <c r="A7" s="160"/>
      <c r="B7" s="161"/>
      <c r="C7" s="162"/>
      <c r="E7" s="163"/>
      <c r="G7" s="163"/>
    </row>
    <row r="8" spans="1:7" x14ac:dyDescent="0.25">
      <c r="A8" s="159"/>
      <c r="B8" s="150"/>
      <c r="C8" s="156"/>
      <c r="D8" s="164"/>
      <c r="E8" s="157"/>
      <c r="F8" s="164"/>
      <c r="G8" s="157"/>
    </row>
    <row r="9" spans="1:7" x14ac:dyDescent="0.25">
      <c r="A9" s="154" t="s">
        <v>267</v>
      </c>
      <c r="B9" s="155"/>
      <c r="C9" s="156"/>
      <c r="D9" s="165"/>
      <c r="E9" s="157" t="s">
        <v>1686</v>
      </c>
      <c r="F9" s="165">
        <v>101045</v>
      </c>
      <c r="G9" s="158" t="s">
        <v>1687</v>
      </c>
    </row>
    <row r="10" spans="1:7" ht="15.75" thickBot="1" x14ac:dyDescent="0.3">
      <c r="A10" s="159"/>
      <c r="B10" s="161"/>
      <c r="C10" s="156"/>
      <c r="D10" s="166"/>
      <c r="E10" s="157"/>
      <c r="F10" s="166"/>
      <c r="G10" s="157"/>
    </row>
    <row r="11" spans="1:7" x14ac:dyDescent="0.25">
      <c r="A11" s="150"/>
      <c r="B11" s="150"/>
      <c r="C11" s="151"/>
      <c r="D11" s="164"/>
      <c r="E11" s="153"/>
      <c r="F11" s="164"/>
      <c r="G11" s="153"/>
    </row>
    <row r="12" spans="1:7" x14ac:dyDescent="0.25">
      <c r="A12" s="167" t="s">
        <v>1688</v>
      </c>
      <c r="B12" s="155" t="s">
        <v>1689</v>
      </c>
      <c r="C12" s="156"/>
      <c r="D12" s="165" t="s">
        <v>1690</v>
      </c>
      <c r="E12" s="157" t="s">
        <v>1691</v>
      </c>
      <c r="F12" s="165">
        <v>160568</v>
      </c>
      <c r="G12" s="158" t="s">
        <v>1692</v>
      </c>
    </row>
    <row r="13" spans="1:7" x14ac:dyDescent="0.25">
      <c r="A13" s="155"/>
      <c r="B13" s="155" t="s">
        <v>1693</v>
      </c>
      <c r="C13" s="156"/>
      <c r="D13" s="165" t="s">
        <v>1694</v>
      </c>
      <c r="E13" s="157"/>
      <c r="F13" s="165"/>
      <c r="G13" s="157"/>
    </row>
    <row r="14" spans="1:7" x14ac:dyDescent="0.25">
      <c r="A14" s="155"/>
      <c r="B14" s="155"/>
      <c r="C14" s="156"/>
      <c r="D14" s="165"/>
      <c r="E14" s="157" t="s">
        <v>1695</v>
      </c>
      <c r="F14" s="165">
        <v>191108</v>
      </c>
      <c r="G14" s="157"/>
    </row>
    <row r="15" spans="1:7" ht="15.75" thickBot="1" x14ac:dyDescent="0.3">
      <c r="A15" s="161"/>
      <c r="B15" s="161"/>
      <c r="C15" s="162"/>
      <c r="D15" s="166"/>
      <c r="E15" s="163"/>
      <c r="F15" s="166"/>
      <c r="G15" s="163"/>
    </row>
    <row r="16" spans="1:7" x14ac:dyDescent="0.25">
      <c r="B16" s="150"/>
      <c r="C16" s="168"/>
      <c r="D16" s="169"/>
      <c r="E16" s="170"/>
      <c r="F16" s="169"/>
      <c r="G16" s="170"/>
    </row>
    <row r="17" spans="1:7" x14ac:dyDescent="0.25">
      <c r="A17" s="171" t="s">
        <v>1610</v>
      </c>
      <c r="B17" s="155" t="s">
        <v>1696</v>
      </c>
      <c r="C17" s="172" t="s">
        <v>1697</v>
      </c>
      <c r="D17" s="173" t="s">
        <v>1698</v>
      </c>
      <c r="E17" s="174"/>
      <c r="F17" s="173"/>
      <c r="G17" s="175" t="s">
        <v>1699</v>
      </c>
    </row>
    <row r="18" spans="1:7" ht="15.75" thickBot="1" x14ac:dyDescent="0.3">
      <c r="B18" s="161" t="s">
        <v>1700</v>
      </c>
      <c r="C18" s="176" t="s">
        <v>1701</v>
      </c>
      <c r="D18" s="177"/>
      <c r="E18" s="178"/>
      <c r="F18" s="177"/>
      <c r="G18" s="178"/>
    </row>
    <row r="19" spans="1:7" x14ac:dyDescent="0.25">
      <c r="A19" s="150"/>
      <c r="B19" s="150"/>
      <c r="C19" s="151"/>
      <c r="D19" s="164"/>
      <c r="E19" s="153"/>
      <c r="F19" s="164"/>
      <c r="G19" s="153"/>
    </row>
    <row r="20" spans="1:7" x14ac:dyDescent="0.25">
      <c r="A20" s="167" t="s">
        <v>1702</v>
      </c>
      <c r="B20" s="155" t="s">
        <v>1703</v>
      </c>
      <c r="C20" s="156"/>
      <c r="D20" s="165" t="s">
        <v>1704</v>
      </c>
      <c r="E20" s="157" t="s">
        <v>1705</v>
      </c>
      <c r="F20" s="165" t="s">
        <v>1706</v>
      </c>
      <c r="G20" s="158" t="s">
        <v>1707</v>
      </c>
    </row>
    <row r="21" spans="1:7" x14ac:dyDescent="0.25">
      <c r="A21" s="155"/>
      <c r="B21" s="155" t="s">
        <v>1708</v>
      </c>
      <c r="C21" s="156"/>
      <c r="D21" s="165" t="s">
        <v>1709</v>
      </c>
      <c r="E21" s="157"/>
      <c r="F21" s="165" t="s">
        <v>1710</v>
      </c>
      <c r="G21" s="157"/>
    </row>
    <row r="22" spans="1:7" ht="15.75" thickBot="1" x14ac:dyDescent="0.3">
      <c r="A22" s="161"/>
      <c r="B22" s="161"/>
      <c r="C22" s="162"/>
      <c r="D22" s="166"/>
      <c r="E22" s="163"/>
      <c r="F22" s="166"/>
      <c r="G22" s="163"/>
    </row>
    <row r="23" spans="1:7" x14ac:dyDescent="0.25">
      <c r="A23" s="155"/>
      <c r="B23" s="155"/>
      <c r="C23" s="156"/>
      <c r="D23" s="165"/>
      <c r="E23" s="157"/>
      <c r="F23" s="165"/>
      <c r="G23" s="157"/>
    </row>
    <row r="24" spans="1:7" x14ac:dyDescent="0.25">
      <c r="A24" s="167" t="s">
        <v>1446</v>
      </c>
      <c r="B24" s="155"/>
      <c r="C24" s="156"/>
      <c r="D24" s="165" t="s">
        <v>1711</v>
      </c>
      <c r="E24" s="157">
        <v>77005410</v>
      </c>
      <c r="F24" s="165" t="s">
        <v>1712</v>
      </c>
      <c r="G24" s="179" t="s">
        <v>1713</v>
      </c>
    </row>
    <row r="25" spans="1:7" x14ac:dyDescent="0.25">
      <c r="B25" s="155"/>
      <c r="C25" s="156"/>
      <c r="D25" s="165"/>
      <c r="E25" s="157"/>
      <c r="F25" s="165"/>
      <c r="G25" s="157"/>
    </row>
    <row r="26" spans="1:7" x14ac:dyDescent="0.25">
      <c r="A26" s="155"/>
      <c r="B26" s="155"/>
      <c r="C26" s="156"/>
      <c r="D26" s="165"/>
      <c r="E26" s="157"/>
      <c r="F26" s="165"/>
      <c r="G26" s="157"/>
    </row>
    <row r="27" spans="1:7" x14ac:dyDescent="0.25">
      <c r="A27" s="155"/>
      <c r="B27" s="155"/>
      <c r="C27" s="156"/>
      <c r="D27" s="165"/>
      <c r="E27" s="157"/>
      <c r="F27" s="165"/>
      <c r="G27" s="157"/>
    </row>
    <row r="28" spans="1:7" ht="15.75" thickBot="1" x14ac:dyDescent="0.3">
      <c r="A28" s="155"/>
      <c r="B28" s="155"/>
      <c r="C28" s="156"/>
      <c r="D28" s="165"/>
      <c r="E28" s="157"/>
      <c r="F28" s="165"/>
      <c r="G28" s="157"/>
    </row>
    <row r="29" spans="1:7" x14ac:dyDescent="0.25">
      <c r="A29" s="150"/>
      <c r="B29" s="150"/>
      <c r="C29" s="151"/>
      <c r="D29" s="164"/>
      <c r="E29" s="153"/>
      <c r="F29" s="164"/>
      <c r="G29" s="153"/>
    </row>
    <row r="30" spans="1:7" x14ac:dyDescent="0.25">
      <c r="A30" s="167" t="s">
        <v>1714</v>
      </c>
      <c r="B30" s="155" t="s">
        <v>1715</v>
      </c>
      <c r="C30" s="165" t="s">
        <v>1716</v>
      </c>
      <c r="D30" s="165" t="s">
        <v>1717</v>
      </c>
      <c r="E30" s="157" t="s">
        <v>1718</v>
      </c>
      <c r="F30" s="165" t="s">
        <v>1719</v>
      </c>
      <c r="G30" s="158" t="s">
        <v>1720</v>
      </c>
    </row>
    <row r="31" spans="1:7" x14ac:dyDescent="0.25">
      <c r="A31" s="155"/>
      <c r="B31" s="155" t="s">
        <v>1721</v>
      </c>
      <c r="C31" s="156"/>
      <c r="D31" s="165" t="s">
        <v>1722</v>
      </c>
      <c r="E31" s="157" t="s">
        <v>1723</v>
      </c>
      <c r="F31" s="165" t="s">
        <v>1719</v>
      </c>
      <c r="G31" s="157"/>
    </row>
    <row r="32" spans="1:7" ht="15.75" thickBot="1" x14ac:dyDescent="0.3">
      <c r="A32" s="161"/>
      <c r="B32" s="161"/>
      <c r="C32" s="162"/>
      <c r="D32" s="166"/>
      <c r="E32" s="163"/>
      <c r="F32" s="166"/>
      <c r="G32" s="163"/>
    </row>
    <row r="33" spans="1:7" x14ac:dyDescent="0.25">
      <c r="A33" s="150"/>
      <c r="B33" s="180"/>
      <c r="C33" s="168"/>
      <c r="D33" s="169"/>
      <c r="E33" s="170"/>
      <c r="F33" s="169"/>
      <c r="G33" s="170"/>
    </row>
    <row r="34" spans="1:7" x14ac:dyDescent="0.25">
      <c r="A34" s="167" t="s">
        <v>1211</v>
      </c>
      <c r="B34" s="181" t="s">
        <v>1724</v>
      </c>
      <c r="C34" s="173" t="s">
        <v>1725</v>
      </c>
      <c r="D34" s="173">
        <v>78468</v>
      </c>
      <c r="E34" s="174">
        <v>78468</v>
      </c>
      <c r="F34" s="173" t="s">
        <v>1706</v>
      </c>
      <c r="G34" s="175" t="s">
        <v>1726</v>
      </c>
    </row>
    <row r="35" spans="1:7" x14ac:dyDescent="0.25">
      <c r="A35" s="155"/>
      <c r="B35" s="181" t="s">
        <v>1727</v>
      </c>
      <c r="C35" s="173" t="s">
        <v>1728</v>
      </c>
      <c r="D35" s="173"/>
      <c r="E35" s="182" t="s">
        <v>1729</v>
      </c>
      <c r="F35" s="173"/>
      <c r="G35" s="174"/>
    </row>
    <row r="36" spans="1:7" ht="15.75" thickBot="1" x14ac:dyDescent="0.3">
      <c r="A36" s="161"/>
      <c r="B36" s="183"/>
      <c r="C36" s="176"/>
      <c r="D36" s="177"/>
      <c r="E36" s="178"/>
      <c r="F36" s="177"/>
      <c r="G36" s="178"/>
    </row>
    <row r="37" spans="1:7" x14ac:dyDescent="0.25">
      <c r="A37" s="155"/>
      <c r="B37" s="181"/>
      <c r="C37" s="172"/>
      <c r="D37" s="173"/>
      <c r="E37" s="174"/>
      <c r="F37" s="173"/>
      <c r="G37" s="174"/>
    </row>
    <row r="38" spans="1:7" x14ac:dyDescent="0.25">
      <c r="A38" s="167" t="s">
        <v>23</v>
      </c>
      <c r="B38" s="181"/>
      <c r="C38" s="172"/>
      <c r="D38" s="173" t="s">
        <v>1730</v>
      </c>
      <c r="E38" s="174">
        <v>55197000</v>
      </c>
      <c r="F38" s="173" t="s">
        <v>437</v>
      </c>
      <c r="G38" s="175" t="s">
        <v>1731</v>
      </c>
    </row>
    <row r="39" spans="1:7" ht="15.75" thickBot="1" x14ac:dyDescent="0.3">
      <c r="A39" s="155"/>
      <c r="B39" s="181"/>
      <c r="C39" s="172"/>
      <c r="D39" s="173"/>
      <c r="E39" s="174"/>
      <c r="F39" s="173"/>
      <c r="G39" s="174"/>
    </row>
    <row r="40" spans="1:7" x14ac:dyDescent="0.25">
      <c r="A40" s="150"/>
      <c r="B40" s="180"/>
      <c r="C40" s="151"/>
      <c r="D40" s="169"/>
      <c r="E40" s="153"/>
      <c r="F40" s="169"/>
      <c r="G40" s="153" t="s">
        <v>1732</v>
      </c>
    </row>
    <row r="41" spans="1:7" x14ac:dyDescent="0.25">
      <c r="A41" s="167" t="s">
        <v>1458</v>
      </c>
      <c r="B41" s="181" t="s">
        <v>1733</v>
      </c>
      <c r="C41" s="156" t="s">
        <v>1734</v>
      </c>
      <c r="D41" s="173">
        <v>21003</v>
      </c>
      <c r="E41" s="157">
        <v>21003</v>
      </c>
      <c r="F41" s="173" t="s">
        <v>1735</v>
      </c>
      <c r="G41" s="158" t="s">
        <v>1736</v>
      </c>
    </row>
    <row r="42" spans="1:7" x14ac:dyDescent="0.25">
      <c r="A42" s="167"/>
      <c r="B42" s="181" t="s">
        <v>1737</v>
      </c>
      <c r="C42" s="156" t="s">
        <v>1738</v>
      </c>
      <c r="D42" s="173"/>
      <c r="E42" s="157"/>
      <c r="F42" s="184" t="s">
        <v>1739</v>
      </c>
      <c r="G42" s="185" t="s">
        <v>1740</v>
      </c>
    </row>
    <row r="43" spans="1:7" ht="15.75" thickBot="1" x14ac:dyDescent="0.3">
      <c r="A43" s="161"/>
      <c r="B43" s="183"/>
      <c r="C43" s="162"/>
      <c r="D43" s="177"/>
      <c r="E43" s="163"/>
      <c r="F43" s="177" t="s">
        <v>1741</v>
      </c>
      <c r="G43" s="163" t="s">
        <v>1742</v>
      </c>
    </row>
    <row r="44" spans="1:7" x14ac:dyDescent="0.25">
      <c r="A44" s="155"/>
      <c r="B44" s="181"/>
      <c r="C44" s="156"/>
      <c r="D44" s="173"/>
      <c r="E44" s="157"/>
      <c r="F44" s="173"/>
      <c r="G44" s="157"/>
    </row>
    <row r="45" spans="1:7" x14ac:dyDescent="0.25">
      <c r="A45" s="155"/>
      <c r="B45" s="181"/>
      <c r="C45" s="156"/>
      <c r="D45" s="173"/>
      <c r="E45" s="157">
        <v>9111984</v>
      </c>
      <c r="F45" s="173" t="s">
        <v>1743</v>
      </c>
      <c r="G45" s="158" t="s">
        <v>1744</v>
      </c>
    </row>
    <row r="46" spans="1:7" x14ac:dyDescent="0.25">
      <c r="A46" s="167" t="s">
        <v>1745</v>
      </c>
      <c r="B46" s="181" t="s">
        <v>1746</v>
      </c>
      <c r="C46" s="156" t="s">
        <v>1747</v>
      </c>
      <c r="D46" s="173" t="s">
        <v>1748</v>
      </c>
      <c r="E46" s="157" t="s">
        <v>1749</v>
      </c>
      <c r="F46" s="173"/>
      <c r="G46" s="157"/>
    </row>
    <row r="47" spans="1:7" ht="15.75" thickBot="1" x14ac:dyDescent="0.3">
      <c r="A47" s="161"/>
      <c r="B47" s="161" t="s">
        <v>1727</v>
      </c>
      <c r="C47" s="162" t="s">
        <v>1750</v>
      </c>
      <c r="D47" s="166"/>
      <c r="E47" s="163" t="s">
        <v>1751</v>
      </c>
      <c r="F47" s="166"/>
      <c r="G47" s="163"/>
    </row>
    <row r="48" spans="1:7" x14ac:dyDescent="0.25">
      <c r="A48" s="155"/>
      <c r="B48" s="181"/>
      <c r="C48" s="156"/>
      <c r="D48" s="173" t="s">
        <v>1752</v>
      </c>
      <c r="E48" s="157"/>
      <c r="F48" s="173"/>
      <c r="G48" s="157"/>
    </row>
    <row r="49" spans="1:7" x14ac:dyDescent="0.25">
      <c r="A49" s="167" t="s">
        <v>1753</v>
      </c>
      <c r="B49" s="181"/>
      <c r="C49" s="156" t="s">
        <v>1754</v>
      </c>
      <c r="D49" s="173" t="s">
        <v>1755</v>
      </c>
      <c r="E49" s="157" t="s">
        <v>1756</v>
      </c>
      <c r="F49" s="173" t="s">
        <v>1735</v>
      </c>
      <c r="G49" s="158" t="s">
        <v>30</v>
      </c>
    </row>
    <row r="50" spans="1:7" ht="15.75" thickBot="1" x14ac:dyDescent="0.3">
      <c r="A50" s="155"/>
      <c r="B50" s="181"/>
      <c r="C50" s="156"/>
      <c r="D50" s="173" t="s">
        <v>1757</v>
      </c>
      <c r="E50" s="157"/>
      <c r="F50" s="173"/>
      <c r="G50" s="157"/>
    </row>
    <row r="51" spans="1:7" x14ac:dyDescent="0.25">
      <c r="A51" s="150"/>
      <c r="B51" s="150"/>
      <c r="C51" s="151"/>
      <c r="D51" s="164"/>
      <c r="E51" s="153" t="s">
        <v>1758</v>
      </c>
      <c r="F51" s="164" t="s">
        <v>1759</v>
      </c>
      <c r="G51" s="153"/>
    </row>
    <row r="52" spans="1:7" x14ac:dyDescent="0.25">
      <c r="A52" s="167" t="s">
        <v>1760</v>
      </c>
      <c r="B52" s="155" t="s">
        <v>1761</v>
      </c>
      <c r="C52" s="156" t="s">
        <v>1762</v>
      </c>
      <c r="D52" s="165" t="s">
        <v>104</v>
      </c>
      <c r="E52" s="157" t="s">
        <v>1763</v>
      </c>
      <c r="F52" s="165" t="s">
        <v>104</v>
      </c>
      <c r="G52" s="158" t="s">
        <v>1764</v>
      </c>
    </row>
    <row r="53" spans="1:7" x14ac:dyDescent="0.25">
      <c r="A53" s="155"/>
      <c r="B53" s="155" t="s">
        <v>1765</v>
      </c>
      <c r="C53" s="156"/>
      <c r="D53" s="165"/>
      <c r="E53" s="157"/>
      <c r="F53" s="165" t="s">
        <v>1766</v>
      </c>
      <c r="G53" s="158" t="s">
        <v>1767</v>
      </c>
    </row>
    <row r="54" spans="1:7" ht="15.75" thickBot="1" x14ac:dyDescent="0.3">
      <c r="A54" s="161"/>
      <c r="B54" s="161"/>
      <c r="C54" s="162"/>
      <c r="D54" s="166"/>
      <c r="E54" s="163" t="s">
        <v>1768</v>
      </c>
      <c r="F54" s="166" t="s">
        <v>104</v>
      </c>
      <c r="G54" s="163"/>
    </row>
    <row r="55" spans="1:7" x14ac:dyDescent="0.25">
      <c r="A55" s="155"/>
      <c r="B55" s="155"/>
      <c r="C55" s="156"/>
      <c r="D55" s="165" t="s">
        <v>1769</v>
      </c>
      <c r="E55" s="174"/>
      <c r="F55" s="173"/>
      <c r="G55" s="157"/>
    </row>
    <row r="56" spans="1:7" x14ac:dyDescent="0.25">
      <c r="A56" s="167" t="s">
        <v>141</v>
      </c>
      <c r="B56" s="155" t="s">
        <v>1770</v>
      </c>
      <c r="C56" s="156" t="s">
        <v>1771</v>
      </c>
      <c r="D56" s="165" t="s">
        <v>1772</v>
      </c>
      <c r="E56" s="174" t="s">
        <v>1773</v>
      </c>
      <c r="F56" s="173" t="s">
        <v>1774</v>
      </c>
      <c r="G56" s="158" t="s">
        <v>1775</v>
      </c>
    </row>
    <row r="57" spans="1:7" ht="15.75" thickBot="1" x14ac:dyDescent="0.3">
      <c r="A57" s="155"/>
      <c r="B57" s="155" t="s">
        <v>1721</v>
      </c>
      <c r="C57" s="156"/>
      <c r="D57" s="165" t="s">
        <v>1776</v>
      </c>
      <c r="E57" s="174" t="s">
        <v>1777</v>
      </c>
      <c r="F57" s="173" t="s">
        <v>1719</v>
      </c>
      <c r="G57" s="158" t="s">
        <v>1778</v>
      </c>
    </row>
    <row r="58" spans="1:7" x14ac:dyDescent="0.25">
      <c r="A58" s="150"/>
      <c r="B58" s="150"/>
      <c r="C58" s="151"/>
      <c r="D58" s="164"/>
      <c r="E58" s="170"/>
      <c r="F58" s="169"/>
      <c r="G58" s="186"/>
    </row>
    <row r="59" spans="1:7" x14ac:dyDescent="0.25">
      <c r="A59" s="167" t="s">
        <v>144</v>
      </c>
      <c r="B59" s="155"/>
      <c r="C59" s="156"/>
      <c r="D59" s="165" t="s">
        <v>1779</v>
      </c>
      <c r="E59" s="174" t="s">
        <v>1780</v>
      </c>
      <c r="F59" s="173" t="s">
        <v>1948</v>
      </c>
      <c r="G59" s="158" t="s">
        <v>1781</v>
      </c>
    </row>
    <row r="60" spans="1:7" ht="15.75" thickBot="1" x14ac:dyDescent="0.3">
      <c r="A60" s="161"/>
      <c r="B60" s="161"/>
      <c r="C60" s="162"/>
      <c r="D60" s="166"/>
      <c r="E60" s="178"/>
      <c r="F60" s="177"/>
      <c r="G60" s="187"/>
    </row>
    <row r="61" spans="1:7" x14ac:dyDescent="0.25">
      <c r="A61" s="155"/>
      <c r="B61" s="155"/>
      <c r="C61" s="156" t="s">
        <v>1782</v>
      </c>
      <c r="D61" s="165"/>
      <c r="E61" s="174"/>
      <c r="F61" s="173"/>
      <c r="G61" s="158"/>
    </row>
    <row r="62" spans="1:7" x14ac:dyDescent="0.25">
      <c r="A62" s="167" t="s">
        <v>655</v>
      </c>
      <c r="B62" s="155" t="s">
        <v>1783</v>
      </c>
      <c r="C62" s="156" t="s">
        <v>1784</v>
      </c>
      <c r="D62" s="165" t="s">
        <v>1785</v>
      </c>
      <c r="E62" s="174"/>
      <c r="F62" s="173"/>
      <c r="G62" s="158"/>
    </row>
    <row r="63" spans="1:7" x14ac:dyDescent="0.25">
      <c r="A63" s="155"/>
      <c r="B63" s="155" t="s">
        <v>1786</v>
      </c>
      <c r="C63" s="156" t="s">
        <v>1787</v>
      </c>
      <c r="D63" s="165"/>
      <c r="E63" s="174"/>
      <c r="F63" s="173"/>
      <c r="G63" s="158"/>
    </row>
    <row r="64" spans="1:7" ht="15.75" thickBot="1" x14ac:dyDescent="0.3">
      <c r="A64" s="161"/>
      <c r="B64" s="161"/>
      <c r="C64" s="162"/>
      <c r="D64" s="166"/>
      <c r="E64" s="163"/>
      <c r="F64" s="166"/>
      <c r="G64" s="187"/>
    </row>
    <row r="65" spans="1:7" x14ac:dyDescent="0.25">
      <c r="A65" s="155"/>
      <c r="B65" s="155"/>
      <c r="C65" s="156"/>
      <c r="D65" s="165"/>
      <c r="E65" s="174"/>
      <c r="F65" s="173"/>
      <c r="G65" s="158"/>
    </row>
    <row r="66" spans="1:7" x14ac:dyDescent="0.25">
      <c r="A66" s="167" t="s">
        <v>1189</v>
      </c>
      <c r="B66" s="155" t="s">
        <v>1788</v>
      </c>
      <c r="C66" s="156" t="s">
        <v>1789</v>
      </c>
      <c r="D66" s="165" t="s">
        <v>1790</v>
      </c>
      <c r="E66" s="174" t="s">
        <v>1791</v>
      </c>
      <c r="F66" s="173" t="s">
        <v>1949</v>
      </c>
      <c r="G66" s="158" t="s">
        <v>1792</v>
      </c>
    </row>
    <row r="67" spans="1:7" ht="15.75" thickBot="1" x14ac:dyDescent="0.3">
      <c r="A67" s="161"/>
      <c r="B67" s="161" t="s">
        <v>1793</v>
      </c>
      <c r="C67" s="162" t="s">
        <v>1794</v>
      </c>
      <c r="D67" s="166"/>
      <c r="E67" s="163" t="s">
        <v>1795</v>
      </c>
      <c r="F67" s="166" t="s">
        <v>1796</v>
      </c>
      <c r="G67" s="187"/>
    </row>
    <row r="68" spans="1:7" x14ac:dyDescent="0.25">
      <c r="A68" s="155"/>
      <c r="B68" s="155"/>
      <c r="C68" s="156"/>
      <c r="D68" s="165"/>
      <c r="E68" s="174"/>
      <c r="F68" s="173" t="s">
        <v>1797</v>
      </c>
      <c r="G68" s="158"/>
    </row>
    <row r="69" spans="1:7" x14ac:dyDescent="0.25">
      <c r="A69" s="167" t="s">
        <v>1798</v>
      </c>
      <c r="B69" s="155"/>
      <c r="C69" s="156"/>
      <c r="D69" s="165"/>
      <c r="E69" s="174">
        <v>62698</v>
      </c>
      <c r="F69" s="173"/>
      <c r="G69" s="158" t="s">
        <v>1799</v>
      </c>
    </row>
    <row r="70" spans="1:7" ht="15.75" thickBot="1" x14ac:dyDescent="0.3">
      <c r="A70" s="161"/>
      <c r="B70" s="161"/>
      <c r="C70" s="162"/>
      <c r="D70" s="166"/>
      <c r="E70" s="163"/>
      <c r="F70" s="166"/>
      <c r="G70" s="187"/>
    </row>
    <row r="71" spans="1:7" x14ac:dyDescent="0.25">
      <c r="A71" s="155"/>
      <c r="B71" s="155"/>
      <c r="C71" s="156"/>
      <c r="D71" s="165"/>
      <c r="E71" s="174"/>
      <c r="F71" s="173"/>
      <c r="G71" s="158"/>
    </row>
    <row r="72" spans="1:7" x14ac:dyDescent="0.25">
      <c r="A72" s="167" t="s">
        <v>158</v>
      </c>
      <c r="B72" s="155" t="s">
        <v>1696</v>
      </c>
      <c r="C72" s="156" t="s">
        <v>1800</v>
      </c>
      <c r="D72" s="165" t="s">
        <v>1801</v>
      </c>
      <c r="E72" s="174" t="s">
        <v>1802</v>
      </c>
      <c r="F72" s="173" t="s">
        <v>1719</v>
      </c>
      <c r="G72" s="158" t="s">
        <v>1803</v>
      </c>
    </row>
    <row r="73" spans="1:7" x14ac:dyDescent="0.25">
      <c r="A73" s="167"/>
      <c r="B73" s="155" t="s">
        <v>1804</v>
      </c>
      <c r="C73" s="156"/>
      <c r="D73" s="165" t="s">
        <v>1805</v>
      </c>
      <c r="E73" s="174"/>
      <c r="F73" s="173"/>
      <c r="G73" s="158"/>
    </row>
    <row r="74" spans="1:7" ht="15.75" thickBot="1" x14ac:dyDescent="0.3">
      <c r="A74" s="188"/>
      <c r="B74" s="161"/>
      <c r="C74" s="162"/>
      <c r="D74" s="166"/>
      <c r="E74" s="163"/>
      <c r="F74" s="166"/>
      <c r="G74" s="187"/>
    </row>
    <row r="75" spans="1:7" x14ac:dyDescent="0.25">
      <c r="A75" s="167"/>
      <c r="B75" s="155"/>
      <c r="C75" s="156"/>
      <c r="D75" s="165"/>
      <c r="E75" s="174"/>
      <c r="F75" s="173"/>
      <c r="G75" s="158"/>
    </row>
    <row r="76" spans="1:7" x14ac:dyDescent="0.25">
      <c r="A76" s="167" t="s">
        <v>40</v>
      </c>
      <c r="B76" s="155"/>
      <c r="C76" s="156"/>
      <c r="D76" s="165" t="s">
        <v>1806</v>
      </c>
      <c r="E76" s="174" t="s">
        <v>1807</v>
      </c>
      <c r="F76" s="173" t="s">
        <v>1808</v>
      </c>
      <c r="G76" s="158" t="s">
        <v>1809</v>
      </c>
    </row>
    <row r="77" spans="1:7" ht="15.75" thickBot="1" x14ac:dyDescent="0.3">
      <c r="A77" s="161"/>
      <c r="B77" s="161"/>
      <c r="C77" s="162"/>
      <c r="D77" s="166"/>
      <c r="E77" s="163" t="s">
        <v>1810</v>
      </c>
      <c r="F77" s="166"/>
      <c r="G77" s="187"/>
    </row>
    <row r="78" spans="1:7" x14ac:dyDescent="0.25">
      <c r="A78" s="155"/>
      <c r="B78" s="155"/>
      <c r="C78" s="156"/>
      <c r="D78" s="165"/>
      <c r="E78" s="174"/>
      <c r="F78" s="173"/>
      <c r="G78" s="158"/>
    </row>
    <row r="79" spans="1:7" x14ac:dyDescent="0.25">
      <c r="A79" s="155"/>
      <c r="B79" s="155"/>
      <c r="C79" s="156"/>
      <c r="D79" s="165"/>
      <c r="E79" s="174"/>
      <c r="F79" s="173" t="s">
        <v>1811</v>
      </c>
      <c r="G79" s="158"/>
    </row>
    <row r="80" spans="1:7" x14ac:dyDescent="0.25">
      <c r="A80" s="167" t="s">
        <v>159</v>
      </c>
      <c r="B80" s="155" t="s">
        <v>1812</v>
      </c>
      <c r="C80" s="156" t="s">
        <v>1813</v>
      </c>
      <c r="D80" s="165">
        <v>8704</v>
      </c>
      <c r="E80" s="174">
        <v>8704</v>
      </c>
      <c r="F80" s="173" t="s">
        <v>1814</v>
      </c>
      <c r="G80" s="157"/>
    </row>
    <row r="81" spans="1:7" ht="15.75" thickBot="1" x14ac:dyDescent="0.3">
      <c r="A81" s="161"/>
      <c r="B81" s="161" t="s">
        <v>1815</v>
      </c>
      <c r="C81" s="162"/>
      <c r="D81" s="166" t="s">
        <v>1816</v>
      </c>
      <c r="E81" s="189"/>
      <c r="F81" s="190" t="s">
        <v>1605</v>
      </c>
      <c r="G81" s="163"/>
    </row>
    <row r="82" spans="1:7" x14ac:dyDescent="0.25">
      <c r="A82" s="155"/>
      <c r="B82" s="155"/>
      <c r="C82" s="172"/>
      <c r="D82" s="173"/>
      <c r="E82" s="175"/>
      <c r="F82" s="191"/>
      <c r="G82" s="157"/>
    </row>
    <row r="83" spans="1:7" x14ac:dyDescent="0.25">
      <c r="A83" s="167" t="s">
        <v>162</v>
      </c>
      <c r="B83" s="155"/>
      <c r="C83" s="172" t="s">
        <v>1817</v>
      </c>
      <c r="D83" s="173" t="s">
        <v>1931</v>
      </c>
      <c r="E83" s="192" t="s">
        <v>1818</v>
      </c>
      <c r="F83" s="193">
        <v>160568</v>
      </c>
      <c r="G83" s="158" t="s">
        <v>1819</v>
      </c>
    </row>
    <row r="84" spans="1:7" ht="15.75" thickBot="1" x14ac:dyDescent="0.3">
      <c r="A84" s="161"/>
      <c r="B84" s="161"/>
      <c r="C84" s="162" t="s">
        <v>1820</v>
      </c>
      <c r="D84" s="166" t="s">
        <v>1932</v>
      </c>
      <c r="E84" s="187"/>
      <c r="F84" s="194"/>
      <c r="G84" s="163"/>
    </row>
    <row r="85" spans="1:7" x14ac:dyDescent="0.25">
      <c r="A85" s="155"/>
      <c r="B85" s="155"/>
      <c r="C85" s="172"/>
      <c r="D85" s="173"/>
      <c r="E85" s="175"/>
      <c r="F85" s="191"/>
      <c r="G85" s="157"/>
    </row>
    <row r="86" spans="1:7" x14ac:dyDescent="0.25">
      <c r="A86" s="167" t="s">
        <v>165</v>
      </c>
      <c r="B86" s="155"/>
      <c r="C86" s="172" t="s">
        <v>1821</v>
      </c>
      <c r="D86" s="173" t="s">
        <v>1822</v>
      </c>
      <c r="E86" s="192">
        <v>32309</v>
      </c>
      <c r="F86" s="195" t="s">
        <v>1719</v>
      </c>
      <c r="G86" s="158" t="s">
        <v>1823</v>
      </c>
    </row>
    <row r="87" spans="1:7" ht="15.75" thickBot="1" x14ac:dyDescent="0.3">
      <c r="A87" s="161"/>
      <c r="B87" s="161"/>
      <c r="C87" s="162" t="s">
        <v>1824</v>
      </c>
      <c r="D87" s="166"/>
      <c r="E87" s="187"/>
      <c r="F87" s="194"/>
      <c r="G87" s="163"/>
    </row>
    <row r="88" spans="1:7" x14ac:dyDescent="0.25">
      <c r="A88" s="155"/>
      <c r="B88" s="155"/>
      <c r="C88" s="156"/>
      <c r="D88" s="165"/>
      <c r="E88" s="175"/>
      <c r="F88" s="196"/>
      <c r="G88" s="157"/>
    </row>
    <row r="89" spans="1:7" x14ac:dyDescent="0.25">
      <c r="A89" s="167" t="s">
        <v>1825</v>
      </c>
      <c r="B89" s="155"/>
      <c r="C89" s="156"/>
      <c r="D89" s="244" t="s">
        <v>2023</v>
      </c>
      <c r="E89" s="175" t="s">
        <v>1605</v>
      </c>
      <c r="F89" s="197" t="s">
        <v>1719</v>
      </c>
      <c r="G89" s="158" t="s">
        <v>1826</v>
      </c>
    </row>
    <row r="90" spans="1:7" ht="15.75" thickBot="1" x14ac:dyDescent="0.3">
      <c r="A90" s="155"/>
      <c r="B90" s="155"/>
      <c r="C90" s="156"/>
      <c r="D90" s="165"/>
      <c r="E90" s="175"/>
      <c r="F90" s="197" t="s">
        <v>1827</v>
      </c>
      <c r="G90" s="157"/>
    </row>
    <row r="91" spans="1:7" x14ac:dyDescent="0.25">
      <c r="A91" s="150"/>
      <c r="B91" s="150"/>
      <c r="C91" s="151"/>
      <c r="D91" s="164"/>
      <c r="E91" s="170"/>
      <c r="F91" s="164"/>
      <c r="G91" s="153"/>
    </row>
    <row r="92" spans="1:7" x14ac:dyDescent="0.25">
      <c r="A92" s="167" t="s">
        <v>171</v>
      </c>
      <c r="B92" s="198" t="s">
        <v>1828</v>
      </c>
      <c r="C92" s="199" t="s">
        <v>1829</v>
      </c>
      <c r="D92" s="165" t="s">
        <v>1830</v>
      </c>
      <c r="E92" s="174" t="s">
        <v>1831</v>
      </c>
      <c r="F92" s="165" t="s">
        <v>1832</v>
      </c>
      <c r="G92" s="158" t="s">
        <v>1833</v>
      </c>
    </row>
    <row r="93" spans="1:7" ht="15.75" thickBot="1" x14ac:dyDescent="0.3">
      <c r="A93" s="188" t="s">
        <v>1834</v>
      </c>
      <c r="B93" s="200" t="s">
        <v>1835</v>
      </c>
      <c r="C93" s="162"/>
      <c r="D93" s="166"/>
      <c r="E93" s="178"/>
      <c r="F93" s="166"/>
      <c r="G93" s="163"/>
    </row>
    <row r="94" spans="1:7" x14ac:dyDescent="0.25">
      <c r="A94" s="150"/>
      <c r="B94" s="150"/>
      <c r="C94" s="168"/>
      <c r="D94" s="169"/>
      <c r="E94" s="170"/>
      <c r="F94" s="169"/>
      <c r="G94" s="153"/>
    </row>
    <row r="95" spans="1:7" x14ac:dyDescent="0.25">
      <c r="A95" s="167" t="s">
        <v>1836</v>
      </c>
      <c r="B95" s="155" t="s">
        <v>1837</v>
      </c>
      <c r="C95" s="172" t="s">
        <v>1838</v>
      </c>
      <c r="D95" s="173" t="s">
        <v>1839</v>
      </c>
      <c r="E95" s="174" t="s">
        <v>1840</v>
      </c>
      <c r="F95" s="173" t="s">
        <v>1719</v>
      </c>
      <c r="G95" s="158" t="s">
        <v>1841</v>
      </c>
    </row>
    <row r="96" spans="1:7" x14ac:dyDescent="0.25">
      <c r="A96" s="155"/>
      <c r="B96" s="155" t="s">
        <v>1842</v>
      </c>
      <c r="C96" s="172" t="s">
        <v>1843</v>
      </c>
      <c r="D96" s="173"/>
      <c r="E96" s="174"/>
      <c r="F96" s="173"/>
      <c r="G96" s="157"/>
    </row>
    <row r="97" spans="1:7" x14ac:dyDescent="0.25">
      <c r="A97" s="167" t="s">
        <v>1844</v>
      </c>
      <c r="B97" s="155"/>
      <c r="C97" s="172"/>
      <c r="D97" s="173" t="s">
        <v>1845</v>
      </c>
      <c r="E97" s="174" t="s">
        <v>1846</v>
      </c>
      <c r="F97" s="173" t="s">
        <v>1719</v>
      </c>
      <c r="G97" s="179" t="s">
        <v>1847</v>
      </c>
    </row>
    <row r="98" spans="1:7" ht="15.75" thickBot="1" x14ac:dyDescent="0.3">
      <c r="A98" s="161"/>
      <c r="B98" s="161"/>
      <c r="C98" s="176"/>
      <c r="D98" s="177"/>
      <c r="E98" s="178"/>
      <c r="F98" s="177"/>
      <c r="G98" s="163"/>
    </row>
    <row r="99" spans="1:7" x14ac:dyDescent="0.25">
      <c r="A99" s="155"/>
      <c r="B99" s="155"/>
      <c r="C99" s="168"/>
      <c r="D99" s="169"/>
      <c r="E99" s="153"/>
      <c r="F99" s="164"/>
      <c r="G99" s="153"/>
    </row>
    <row r="100" spans="1:7" x14ac:dyDescent="0.25">
      <c r="A100" s="167" t="s">
        <v>177</v>
      </c>
      <c r="B100" s="155" t="s">
        <v>1848</v>
      </c>
      <c r="C100" s="172" t="s">
        <v>1849</v>
      </c>
      <c r="D100" s="173"/>
      <c r="E100" s="157"/>
      <c r="F100" s="165"/>
      <c r="G100" s="157"/>
    </row>
    <row r="101" spans="1:7" x14ac:dyDescent="0.25">
      <c r="A101" s="167" t="s">
        <v>1850</v>
      </c>
      <c r="B101" s="155" t="s">
        <v>1851</v>
      </c>
      <c r="C101" s="172" t="s">
        <v>1852</v>
      </c>
      <c r="D101" s="173" t="s">
        <v>1853</v>
      </c>
      <c r="E101" s="157" t="s">
        <v>1854</v>
      </c>
      <c r="F101" s="165" t="s">
        <v>1855</v>
      </c>
      <c r="G101" s="158" t="s">
        <v>1856</v>
      </c>
    </row>
    <row r="102" spans="1:7" x14ac:dyDescent="0.25">
      <c r="A102" s="155"/>
      <c r="B102" s="155"/>
      <c r="C102" s="172" t="s">
        <v>1857</v>
      </c>
      <c r="D102" s="173"/>
      <c r="E102" s="157"/>
      <c r="F102" s="165"/>
      <c r="G102" s="157"/>
    </row>
    <row r="103" spans="1:7" ht="15.75" thickBot="1" x14ac:dyDescent="0.3">
      <c r="A103" s="161"/>
      <c r="B103" s="161"/>
      <c r="C103" s="176" t="s">
        <v>1858</v>
      </c>
      <c r="D103" s="177"/>
      <c r="E103" s="163"/>
      <c r="F103" s="166"/>
      <c r="G103" s="163"/>
    </row>
    <row r="104" spans="1:7" x14ac:dyDescent="0.25">
      <c r="A104" s="150"/>
      <c r="B104" s="150"/>
      <c r="D104" s="164"/>
      <c r="E104" s="153"/>
      <c r="F104" s="164"/>
      <c r="G104" s="153"/>
    </row>
    <row r="105" spans="1:7" x14ac:dyDescent="0.25">
      <c r="A105" s="167" t="s">
        <v>1859</v>
      </c>
      <c r="B105" s="155" t="s">
        <v>1860</v>
      </c>
      <c r="C105" s="143" t="s">
        <v>1861</v>
      </c>
      <c r="D105" s="165" t="s">
        <v>1862</v>
      </c>
      <c r="E105" s="157" t="s">
        <v>1863</v>
      </c>
      <c r="F105" s="165" t="s">
        <v>1864</v>
      </c>
      <c r="G105" s="158" t="s">
        <v>1865</v>
      </c>
    </row>
    <row r="106" spans="1:7" ht="15.75" thickBot="1" x14ac:dyDescent="0.3">
      <c r="A106" s="161"/>
      <c r="B106" s="161" t="s">
        <v>1866</v>
      </c>
      <c r="C106" s="201" t="s">
        <v>1867</v>
      </c>
      <c r="D106" s="166"/>
      <c r="E106" s="163"/>
      <c r="F106" s="166"/>
      <c r="G106" s="163"/>
    </row>
    <row r="107" spans="1:7" x14ac:dyDescent="0.25">
      <c r="A107" s="150"/>
      <c r="B107" s="150" t="s">
        <v>1868</v>
      </c>
      <c r="C107" s="151"/>
      <c r="D107" s="164"/>
      <c r="E107" s="153"/>
      <c r="F107" s="164"/>
      <c r="G107" s="153"/>
    </row>
    <row r="108" spans="1:7" x14ac:dyDescent="0.25">
      <c r="A108" s="167" t="s">
        <v>181</v>
      </c>
      <c r="B108" s="155" t="s">
        <v>1869</v>
      </c>
      <c r="C108" s="156" t="s">
        <v>1870</v>
      </c>
      <c r="D108" s="165"/>
      <c r="E108" s="158" t="s">
        <v>1605</v>
      </c>
      <c r="F108" s="165" t="s">
        <v>1719</v>
      </c>
      <c r="G108" s="158" t="s">
        <v>1871</v>
      </c>
    </row>
    <row r="109" spans="1:7" ht="15.75" thickBot="1" x14ac:dyDescent="0.3">
      <c r="A109" s="161"/>
      <c r="B109" s="161" t="s">
        <v>1872</v>
      </c>
      <c r="C109" s="162" t="s">
        <v>1873</v>
      </c>
      <c r="D109" s="166"/>
      <c r="E109" s="163"/>
      <c r="F109" s="166"/>
      <c r="G109" s="163"/>
    </row>
    <row r="110" spans="1:7" x14ac:dyDescent="0.25">
      <c r="A110" s="150"/>
      <c r="B110" s="150"/>
      <c r="C110" s="151"/>
      <c r="D110" s="164"/>
      <c r="E110" s="153"/>
      <c r="F110" s="164"/>
      <c r="G110" s="153"/>
    </row>
    <row r="111" spans="1:7" x14ac:dyDescent="0.25">
      <c r="A111" s="167" t="s">
        <v>1410</v>
      </c>
      <c r="B111" s="155"/>
      <c r="C111" s="156"/>
      <c r="D111" s="165"/>
      <c r="E111" s="157">
        <v>102909000</v>
      </c>
      <c r="F111" s="165" t="s">
        <v>1874</v>
      </c>
      <c r="G111" s="158" t="s">
        <v>1875</v>
      </c>
    </row>
    <row r="112" spans="1:7" ht="15.75" thickBot="1" x14ac:dyDescent="0.3">
      <c r="A112" s="161"/>
      <c r="B112" s="161"/>
      <c r="C112" s="162"/>
      <c r="D112" s="166"/>
      <c r="E112" s="163" t="s">
        <v>1876</v>
      </c>
      <c r="F112" s="166" t="s">
        <v>1877</v>
      </c>
      <c r="G112" s="163"/>
    </row>
    <row r="113" spans="1:7" x14ac:dyDescent="0.25">
      <c r="A113" s="155"/>
      <c r="B113" s="155"/>
      <c r="C113" s="156"/>
      <c r="D113" s="165"/>
      <c r="E113" s="157"/>
      <c r="F113" s="165"/>
      <c r="G113" s="157"/>
    </row>
    <row r="114" spans="1:7" x14ac:dyDescent="0.25">
      <c r="A114" s="167" t="s">
        <v>1878</v>
      </c>
      <c r="B114" s="155"/>
      <c r="C114" s="156"/>
      <c r="D114" s="165" t="s">
        <v>1879</v>
      </c>
      <c r="E114" s="157" t="s">
        <v>1880</v>
      </c>
      <c r="F114" s="165" t="s">
        <v>1881</v>
      </c>
      <c r="G114" s="202" t="s">
        <v>1882</v>
      </c>
    </row>
    <row r="115" spans="1:7" ht="15.75" thickBot="1" x14ac:dyDescent="0.3">
      <c r="A115" s="155"/>
      <c r="B115" s="155"/>
      <c r="C115" s="156"/>
      <c r="D115" s="165" t="s">
        <v>1883</v>
      </c>
      <c r="E115" s="157"/>
      <c r="F115" s="165"/>
      <c r="G115" s="157"/>
    </row>
    <row r="116" spans="1:7" x14ac:dyDescent="0.25">
      <c r="A116" s="150"/>
      <c r="B116" s="150"/>
      <c r="C116" s="151"/>
      <c r="D116" s="164"/>
      <c r="E116" s="153"/>
      <c r="F116" s="164"/>
      <c r="G116" s="153"/>
    </row>
    <row r="117" spans="1:7" x14ac:dyDescent="0.25">
      <c r="A117" s="167" t="s">
        <v>1884</v>
      </c>
      <c r="B117" s="155"/>
      <c r="C117" s="156"/>
      <c r="D117" s="165"/>
      <c r="E117" s="157">
        <v>9162477</v>
      </c>
      <c r="F117" s="165" t="s">
        <v>1885</v>
      </c>
      <c r="G117" s="158" t="s">
        <v>1886</v>
      </c>
    </row>
    <row r="118" spans="1:7" ht="15.75" thickBot="1" x14ac:dyDescent="0.3">
      <c r="A118" s="155"/>
      <c r="B118" s="161"/>
      <c r="C118" s="162"/>
      <c r="D118" s="166"/>
      <c r="E118" s="163"/>
      <c r="F118" s="166"/>
      <c r="G118" s="163"/>
    </row>
    <row r="119" spans="1:7" x14ac:dyDescent="0.25">
      <c r="A119" s="150"/>
      <c r="B119" s="150"/>
      <c r="C119" s="151"/>
      <c r="D119" s="164"/>
      <c r="E119" s="153"/>
      <c r="F119" s="164"/>
      <c r="G119" s="153"/>
    </row>
    <row r="120" spans="1:7" ht="15.75" thickBot="1" x14ac:dyDescent="0.3">
      <c r="A120" s="188" t="s">
        <v>1052</v>
      </c>
      <c r="B120" s="161"/>
      <c r="C120" s="162"/>
      <c r="D120" s="166" t="s">
        <v>1887</v>
      </c>
      <c r="E120" s="163" t="s">
        <v>1887</v>
      </c>
      <c r="F120" s="166" t="s">
        <v>1888</v>
      </c>
      <c r="G120" s="187" t="s">
        <v>1889</v>
      </c>
    </row>
    <row r="122" spans="1:7" x14ac:dyDescent="0.25">
      <c r="A122" t="s">
        <v>1890</v>
      </c>
      <c r="F122" s="203" t="s">
        <v>1891</v>
      </c>
    </row>
    <row r="124" spans="1:7" x14ac:dyDescent="0.25">
      <c r="A124" t="s">
        <v>1446</v>
      </c>
      <c r="D124" s="144" t="s">
        <v>1711</v>
      </c>
      <c r="E124" s="204">
        <v>77005410</v>
      </c>
      <c r="F124" s="144" t="s">
        <v>1719</v>
      </c>
      <c r="G124" s="118" t="s">
        <v>1892</v>
      </c>
    </row>
    <row r="126" spans="1:7" x14ac:dyDescent="0.25">
      <c r="A126" t="s">
        <v>147</v>
      </c>
    </row>
    <row r="128" spans="1:7" x14ac:dyDescent="0.25">
      <c r="A128" t="s">
        <v>2076</v>
      </c>
      <c r="D128" s="144" t="s">
        <v>2077</v>
      </c>
    </row>
  </sheetData>
  <customSheetViews>
    <customSheetView guid="{EF60762C-634B-4E37-9575-37987277FB5D}">
      <pane xSplit="1" ySplit="1" topLeftCell="E2" activePane="bottomRight" state="frozen"/>
      <selection pane="bottomRight" activeCell="G5" sqref="G5"/>
      <pageMargins left="0.15972222222222199" right="0.19027777777777799" top="0.209722222222222" bottom="0.17013888888888901" header="0.51180555555555496" footer="0.51180555555555496"/>
      <pageSetup paperSize="9" firstPageNumber="0" orientation="landscape" horizontalDpi="300" verticalDpi="300"/>
    </customSheetView>
    <customSheetView guid="{BCD1B658-489F-4064-A696-D5FA21A794F2}">
      <pane xSplit="1" ySplit="1" topLeftCell="B2" activePane="bottomRight" state="frozen"/>
      <selection pane="bottomRight" activeCell="D41" sqref="D41"/>
      <pageMargins left="0.15972222222222199" right="0.19027777777777799" top="0.209722222222222" bottom="0.17013888888888901" header="0.51180555555555496" footer="0.51180555555555496"/>
      <pageSetup paperSize="9" firstPageNumber="0" orientation="landscape" horizontalDpi="300" verticalDpi="300"/>
    </customSheetView>
    <customSheetView guid="{B17FADA9-6408-445B-BA12-02AB62834AE3}" showPageBreaks="1">
      <pane xSplit="1" ySplit="1" topLeftCell="B2" activePane="bottomRight" state="frozen"/>
      <selection pane="bottomRight"/>
      <pageMargins left="0.15972222222222199" right="0.19027777777777799" top="0.209722222222222" bottom="0.17013888888888901" header="0.51180555555555496" footer="0.51180555555555496"/>
      <pageSetup paperSize="9" firstPageNumber="0" orientation="landscape" horizontalDpi="300" verticalDpi="300" r:id="rId1"/>
    </customSheetView>
    <customSheetView guid="{3306A449-89C6-46B4-ABF7-658F003FF274}">
      <pane xSplit="1" ySplit="3" topLeftCell="B90" activePane="bottomRight" state="frozen"/>
      <selection pane="bottomRight" activeCell="D128" sqref="D128"/>
      <pageMargins left="0.15972222222222199" right="0.19027777777777799" top="0.209722222222222" bottom="0.17013888888888901" header="0.51180555555555496" footer="0.51180555555555496"/>
      <pageSetup paperSize="9" firstPageNumber="0" orientation="landscape" horizontalDpi="300" verticalDpi="300"/>
    </customSheetView>
  </customSheetViews>
  <pageMargins left="0.15972222222222199" right="0.19027777777777799" top="0.209722222222222" bottom="0.17013888888888901" header="0.51180555555555496" footer="0.51180555555555496"/>
  <pageSetup paperSize="9" firstPageNumber="0" orientation="landscape" horizontalDpi="300" verticalDpi="30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RowHeight="15" x14ac:dyDescent="0.25"/>
  <sheetData/>
  <customSheetViews>
    <customSheetView guid="{EF60762C-634B-4E37-9575-37987277FB5D}">
      <pageMargins left="0.7" right="0.7" top="0.78740157499999996" bottom="0.78740157499999996" header="0.3" footer="0.3"/>
    </customSheetView>
    <customSheetView guid="{BCD1B658-489F-4064-A696-D5FA21A794F2}">
      <pageMargins left="0.7" right="0.7" top="0.78740157499999996" bottom="0.78740157499999996" header="0.3" footer="0.3"/>
    </customSheetView>
    <customSheetView guid="{B17FADA9-6408-445B-BA12-02AB62834AE3}">
      <pageMargins left="0.7" right="0.7" top="0.78740157499999996" bottom="0.78740157499999996" header="0.3" footer="0.3"/>
    </customSheetView>
    <customSheetView guid="{3306A449-89C6-46B4-ABF7-658F003FF274}">
      <pageMargins left="0.7" right="0.7" top="0.78740157499999996" bottom="0.78740157499999996" header="0.3" footer="0.3"/>
    </customSheetView>
  </customSheetViews>
  <pageMargins left="0.7" right="0.7" top="0.78740157499999996" bottom="0.78740157499999996" header="0.3" footer="0.3"/>
</worksheet>
</file>

<file path=xl/worksheets/wsSortMap1.xml><?xml version="1.0" encoding="utf-8"?>
<worksheetSortMap xmlns="http://schemas.microsoft.com/office/excel/2006/main">
  <rowSortMap ref="A2:XFD232" count="217">
    <row newVal="1" oldVal="18"/>
    <row newVal="2" oldVal="23"/>
    <row newVal="3" oldVal="1"/>
    <row newVal="4" oldVal="2"/>
    <row newVal="5" oldVal="36"/>
    <row newVal="6" oldVal="31"/>
    <row newVal="7" oldVal="32"/>
    <row newVal="8" oldVal="64"/>
    <row newVal="9" oldVal="3"/>
    <row newVal="10" oldVal="218"/>
    <row newVal="11" oldVal="35"/>
    <row newVal="12" oldVal="4"/>
    <row newVal="13" oldVal="33"/>
    <row newVal="14" oldVal="7"/>
    <row newVal="15" oldVal="217"/>
    <row newVal="16" oldVal="10"/>
    <row newVal="17" oldVal="8"/>
    <row newVal="18" oldVal="5"/>
    <row newVal="19" oldVal="14"/>
    <row newVal="20" oldVal="12"/>
    <row newVal="21" oldVal="19"/>
    <row newVal="22" oldVal="16"/>
    <row newVal="23" oldVal="13"/>
    <row newVal="24" oldVal="9"/>
    <row newVal="25" oldVal="11"/>
    <row newVal="26" oldVal="66"/>
    <row newVal="27" oldVal="17"/>
    <row newVal="28" oldVal="30"/>
    <row newVal="29" oldVal="25"/>
    <row newVal="30" oldVal="27"/>
    <row newVal="31" oldVal="22"/>
    <row newVal="32" oldVal="29"/>
    <row newVal="33" oldVal="28"/>
    <row newVal="34" oldVal="62"/>
    <row newVal="35" oldVal="26"/>
    <row newVal="36" oldVal="24"/>
    <row newVal="40" oldVal="117"/>
    <row newVal="42" oldVal="129"/>
    <row newVal="43" oldVal="44"/>
    <row newVal="44" oldVal="40"/>
    <row newVal="45" oldVal="43"/>
    <row newVal="46" oldVal="45"/>
    <row newVal="47" oldVal="46"/>
    <row newVal="48" oldVal="47"/>
    <row newVal="49" oldVal="48"/>
    <row newVal="50" oldVal="51"/>
    <row newVal="51" oldVal="53"/>
    <row newVal="52" oldVal="54"/>
    <row newVal="53" oldVal="55"/>
    <row newVal="54" oldVal="56"/>
    <row newVal="55" oldVal="57"/>
    <row newVal="56" oldVal="58"/>
    <row newVal="57" oldVal="60"/>
    <row newVal="58" oldVal="59"/>
    <row newVal="59" oldVal="63"/>
    <row newVal="60" oldVal="61"/>
    <row newVal="61" oldVal="65"/>
    <row newVal="62" oldVal="67"/>
    <row newVal="63" oldVal="68"/>
    <row newVal="64" oldVal="69"/>
    <row newVal="65" oldVal="70"/>
    <row newVal="66" oldVal="34"/>
    <row newVal="67" oldVal="73"/>
    <row newVal="68" oldVal="72"/>
    <row newVal="69" oldVal="6"/>
    <row newVal="70" oldVal="71"/>
    <row newVal="71" oldVal="42"/>
    <row newVal="72" oldVal="74"/>
    <row newVal="73" oldVal="77"/>
    <row newVal="74" oldVal="82"/>
    <row newVal="76" oldVal="84"/>
    <row newVal="77" oldVal="85"/>
    <row newVal="78" oldVal="88"/>
    <row newVal="79" oldVal="89"/>
    <row newVal="81" oldVal="90"/>
    <row newVal="82" oldVal="98"/>
    <row newVal="83" oldVal="95"/>
    <row newVal="84" oldVal="91"/>
    <row newVal="85" oldVal="86"/>
    <row newVal="86" oldVal="87"/>
    <row newVal="87" oldVal="94"/>
    <row newVal="88" oldVal="96"/>
    <row newVal="89" oldVal="99"/>
    <row newVal="90" oldVal="100"/>
    <row newVal="91" oldVal="104"/>
    <row newVal="92" oldVal="109"/>
    <row newVal="93" oldVal="101"/>
    <row newVal="94" oldVal="102"/>
    <row newVal="95" oldVal="103"/>
    <row newVal="96" oldVal="107"/>
    <row newVal="97" oldVal="105"/>
    <row newVal="98" oldVal="108"/>
    <row newVal="99" oldVal="110"/>
    <row newVal="100" oldVal="111"/>
    <row newVal="101" oldVal="113"/>
    <row newVal="102" oldVal="115"/>
    <row newVal="103" oldVal="116"/>
    <row newVal="104" oldVal="121"/>
    <row newVal="105" oldVal="106"/>
    <row newVal="106" oldVal="119"/>
    <row newVal="107" oldVal="21"/>
    <row newVal="108" oldVal="118"/>
    <row newVal="109" oldVal="120"/>
    <row newVal="110" oldVal="122"/>
    <row newVal="111" oldVal="123"/>
    <row newVal="113" oldVal="114"/>
    <row newVal="114" oldVal="125"/>
    <row newVal="115" oldVal="127"/>
    <row newVal="116" oldVal="128"/>
    <row newVal="117" oldVal="15"/>
    <row newVal="118" oldVal="130"/>
    <row newVal="119" oldVal="131"/>
    <row newVal="120" oldVal="132"/>
    <row newVal="121" oldVal="133"/>
    <row newVal="122" oldVal="134"/>
    <row newVal="123" oldVal="124"/>
    <row newVal="124" oldVal="135"/>
    <row newVal="125" oldVal="137"/>
    <row newVal="127" oldVal="138"/>
    <row newVal="128" oldVal="139"/>
    <row newVal="129" oldVal="141"/>
    <row newVal="130" oldVal="140"/>
    <row newVal="131" oldVal="147"/>
    <row newVal="132" oldVal="148"/>
    <row newVal="133" oldVal="142"/>
    <row newVal="134" oldVal="143"/>
    <row newVal="135" oldVal="145"/>
    <row newVal="136" oldVal="149"/>
    <row newVal="137" oldVal="150"/>
    <row newVal="138" oldVal="151"/>
    <row newVal="139" oldVal="152"/>
    <row newVal="140" oldVal="153"/>
    <row newVal="141" oldVal="154"/>
    <row newVal="142" oldVal="155"/>
    <row newVal="143" oldVal="156"/>
    <row newVal="144" oldVal="162"/>
    <row newVal="145" oldVal="146"/>
    <row newVal="146" oldVal="157"/>
    <row newVal="147" oldVal="163"/>
    <row newVal="148" oldVal="159"/>
    <row newVal="149" oldVal="164"/>
    <row newVal="150" oldVal="167"/>
    <row newVal="151" oldVal="165"/>
    <row newVal="152" oldVal="168"/>
    <row newVal="153" oldVal="169"/>
    <row newVal="154" oldVal="186"/>
    <row newVal="155" oldVal="170"/>
    <row newVal="156" oldVal="171"/>
    <row newVal="157" oldVal="144"/>
    <row newVal="158" oldVal="173"/>
    <row newVal="159" oldVal="174"/>
    <row newVal="160" oldVal="175"/>
    <row newVal="162" oldVal="179"/>
    <row newVal="163" oldVal="180"/>
    <row newVal="164" oldVal="181"/>
    <row newVal="165" oldVal="182"/>
    <row newVal="166" oldVal="187"/>
    <row newVal="167" oldVal="183"/>
    <row newVal="168" oldVal="184"/>
    <row newVal="169" oldVal="188"/>
    <row newVal="170" oldVal="185"/>
    <row newVal="171" oldVal="189"/>
    <row newVal="172" oldVal="190"/>
    <row newVal="173" oldVal="193"/>
    <row newVal="174" oldVal="191"/>
    <row newVal="175" oldVal="192"/>
    <row newVal="177" oldVal="194"/>
    <row newVal="178" oldVal="195"/>
    <row newVal="179" oldVal="196"/>
    <row newVal="180" oldVal="199"/>
    <row newVal="181" oldVal="200"/>
    <row newVal="182" oldVal="201"/>
    <row newVal="183" oldVal="213"/>
    <row newVal="184" oldVal="216"/>
    <row newVal="185" oldVal="214"/>
    <row newVal="186" oldVal="215"/>
    <row newVal="187" oldVal="219"/>
    <row newVal="188" oldVal="220"/>
    <row newVal="189" oldVal="221"/>
    <row newVal="190" oldVal="222"/>
    <row newVal="191" oldVal="225"/>
    <row newVal="192" oldVal="226"/>
    <row newVal="193" oldVal="230"/>
    <row newVal="194" oldVal="227"/>
    <row newVal="195" oldVal="228"/>
    <row newVal="196" oldVal="229"/>
    <row newVal="199" oldVal="49"/>
    <row newVal="200" oldVal="50"/>
    <row newVal="201" oldVal="52"/>
    <row newVal="202" oldVal="20"/>
    <row newVal="203" oldVal="78"/>
    <row newVal="204" oldVal="79"/>
    <row newVal="205" oldVal="81"/>
    <row newVal="206" oldVal="83"/>
    <row newVal="207" oldVal="92"/>
    <row newVal="208" oldVal="93"/>
    <row newVal="209" oldVal="97"/>
    <row newVal="210" oldVal="212"/>
    <row newVal="212" oldVal="210"/>
    <row newVal="213" oldVal="76"/>
    <row newVal="214" oldVal="136"/>
    <row newVal="215" oldVal="158"/>
    <row newVal="216" oldVal="160"/>
    <row newVal="217" oldVal="166"/>
    <row newVal="218" oldVal="172"/>
    <row newVal="219" oldVal="177"/>
    <row newVal="220" oldVal="178"/>
    <row newVal="221" oldVal="202"/>
    <row newVal="222" oldVal="224"/>
    <row newVal="224" oldVal="203"/>
    <row newVal="225" oldVal="204"/>
    <row newVal="226" oldVal="205"/>
    <row newVal="227" oldVal="209"/>
    <row newVal="228" oldVal="206"/>
    <row newVal="229" oldVal="231"/>
    <row newVal="230" oldVal="207"/>
    <row newVal="231" oldVal="208"/>
  </rowSortMap>
</worksheetSortMap>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vt:i4>
      </vt:variant>
    </vt:vector>
  </HeadingPairs>
  <TitlesOfParts>
    <vt:vector size="12" baseType="lpstr">
      <vt:lpstr>Favoriten</vt:lpstr>
      <vt:lpstr>Tools</vt:lpstr>
      <vt:lpstr>GDV</vt:lpstr>
      <vt:lpstr>Passwörter_Agenturen</vt:lpstr>
      <vt:lpstr>BÜ´s</vt:lpstr>
      <vt:lpstr>Post</vt:lpstr>
      <vt:lpstr>Einzel</vt:lpstr>
      <vt:lpstr>VEMA-Nr´n</vt:lpstr>
      <vt:lpstr>Invers interne Nr´n</vt:lpstr>
      <vt:lpstr>Frank Malzahn</vt:lpstr>
      <vt:lpstr>Tabelle1</vt:lpstr>
      <vt:lpstr>Einzel!Z_4076B397_909E_4026_BE11_525A508BFFEA_.wvu.Cols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buero2</dc:creator>
  <dc:description/>
  <cp:lastModifiedBy>Volker Tippmann</cp:lastModifiedBy>
  <cp:revision>1</cp:revision>
  <cp:lastPrinted>2018-02-26T10:50:35Z</cp:lastPrinted>
  <dcterms:created xsi:type="dcterms:W3CDTF">2015-04-08T16:51:23Z</dcterms:created>
  <dcterms:modified xsi:type="dcterms:W3CDTF">2023-06-21T11:08:56Z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2</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